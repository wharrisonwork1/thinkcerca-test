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21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188.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89.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6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189.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03.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135.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12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119.xml"/>
  <Override ContentType="application/vnd.openxmlformats-officedocument.spreadsheetml.table+xml" PartName="/xl/tables/table55.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160.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105.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11.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M Vocabulary Scope and Sequen" sheetId="1" r:id="rId4"/>
    <sheet state="visible" name="FL S&amp;S Tracker" sheetId="2" r:id="rId5"/>
    <sheet state="visible" name="Vocabulary Scope and Sequence" sheetId="3" r:id="rId6"/>
    <sheet state="visible" name="Writing Scope and Sequence" sheetId="4" r:id="rId7"/>
    <sheet state="visible" name="Research Scope and Sequence" sheetId="5" r:id="rId8"/>
    <sheet state="visible" name="Reading Scope and Sequence" sheetId="6" r:id="rId9"/>
    <sheet state="visible" name="Speaking and Listening Scope an" sheetId="7" r:id="rId10"/>
    <sheet state="visible" name="Grammar Scope and Sequence" sheetId="8" r:id="rId11"/>
    <sheet state="hidden" name="Research Only" sheetId="9" r:id="rId12"/>
    <sheet state="hidden" name="1.k Grammar Scope and Sequence" sheetId="10" r:id="rId13"/>
  </sheets>
  <definedNames>
    <definedName hidden="1" localSheetId="5" name="_xlnm._FilterDatabase">'Reading Scope and Sequence'!$A$1:$E$256</definedName>
    <definedName hidden="1" localSheetId="6" name="_xlnm._FilterDatabase">'Speaking and Listening Scope an'!$A$1:$E$453</definedName>
    <definedName hidden="1" localSheetId="8" name="_xlnm._FilterDatabase">'Research Only'!$A$2:$Z$481</definedName>
  </definedNames>
  <calcPr/>
</workbook>
</file>

<file path=xl/sharedStrings.xml><?xml version="1.0" encoding="utf-8"?>
<sst xmlns="http://schemas.openxmlformats.org/spreadsheetml/2006/main" count="13895" uniqueCount="5785">
  <si>
    <t>Unit 1</t>
  </si>
  <si>
    <t>Unit 2</t>
  </si>
  <si>
    <t>Unit 3</t>
  </si>
  <si>
    <t>Unit 4</t>
  </si>
  <si>
    <t>Unit 5</t>
  </si>
  <si>
    <t>Unit 6</t>
  </si>
  <si>
    <t>Unit 7</t>
  </si>
  <si>
    <t>Front Matter</t>
  </si>
  <si>
    <t>Teacher-Led Direct Instruction
(Teacher Presentation and Direct Instruction)</t>
  </si>
  <si>
    <t>Module</t>
  </si>
  <si>
    <t>Strategies for Connecting to New Words 
(Teacher Introduction to Skills and Build Your Vocabulary)</t>
  </si>
  <si>
    <t>Collaborative and Independent Student Practice Tasks</t>
  </si>
  <si>
    <t>Teacher-Led Direct Instruction</t>
  </si>
  <si>
    <t>Strategies for Connecting to New Words</t>
  </si>
  <si>
    <t>Student Practice Tasks</t>
  </si>
  <si>
    <t>Our Approach</t>
  </si>
  <si>
    <t>Teacher-Led Explicit Instruction 
Direct Instruction: What is CERCA?</t>
  </si>
  <si>
    <t>Introducing the Vocabulary Notebook</t>
  </si>
  <si>
    <t>Recording Key Terms</t>
  </si>
  <si>
    <t>Teacher-Led Explicit Instruction and Direct Instruction Lessons</t>
  </si>
  <si>
    <t>Module 1:  Frayer Model;  Application: Vocabulary Hot Seat</t>
  </si>
  <si>
    <t>Module 1: Map a Word; Application: Quiz-Quiz-Trade</t>
  </si>
  <si>
    <t>Module 1: Root Words; Application: Root Word Challenge</t>
  </si>
  <si>
    <t xml:space="preserve">Module 1: Context Clues; Application: Contextualized Reading </t>
  </si>
  <si>
    <t>Module 1: Word Web; Application: Word Sort</t>
  </si>
  <si>
    <t xml:space="preserve">Module 1: Basic Direct Instruction Model; Application: Compare/Contrast with Conjunctions </t>
  </si>
  <si>
    <t>Scope and Sequence</t>
  </si>
  <si>
    <t>Introducing Word Maps</t>
  </si>
  <si>
    <t>Understanding Word Maps</t>
  </si>
  <si>
    <t>Module 2: Basic Direct Instruction Model;  Application: Vocabulary Bingo</t>
  </si>
  <si>
    <t>Module 2:    Application: Vocabulary Memory Match</t>
  </si>
  <si>
    <t>Module 2: Contextualized Learning through Storytelling; Application: Vocabulary Role Playing</t>
  </si>
  <si>
    <t>Module 2: Word Analysis; Application: Storytelling with Vocabulary</t>
  </si>
  <si>
    <t>Module 2: Anaolgy Chart; Application: Quiz-Quiz-Trade</t>
  </si>
  <si>
    <t>Module 2: Antonymns; Application: Vocabulary Timeline</t>
  </si>
  <si>
    <t>Vocabulary Notebooks and Routines</t>
  </si>
  <si>
    <t>Module 1: Word Parts; Application: Word Toss</t>
  </si>
  <si>
    <t xml:space="preserve">Recalling Words w/FamiliarMorphemes </t>
  </si>
  <si>
    <t>Module 3: Map a Word;  Application: Link It!</t>
  </si>
  <si>
    <t>Module 3: Word Origin; Application: Word Sort</t>
  </si>
  <si>
    <t>Module 3: Concept Map;   Application: Dig Into Root Words</t>
  </si>
  <si>
    <t xml:space="preserve">Module 3: Synonyms; Application: </t>
  </si>
  <si>
    <t>Module 3: Context Clues; Application: Vocabulary Bingo</t>
  </si>
  <si>
    <t>Module 3: Map a Word; Application:  Gallery Walk</t>
  </si>
  <si>
    <t>Best Practices</t>
  </si>
  <si>
    <t>Module 2: Word Relationships; Application: List, Group, Label</t>
  </si>
  <si>
    <t>Grouping, Sorting, and Labeling Words</t>
  </si>
  <si>
    <t>Module 4:  Antonymns;  Application: Storytelling with Vocabulary</t>
  </si>
  <si>
    <t>Module 4: Word Analysis; Application: Visual Vocabulary</t>
  </si>
  <si>
    <t>Module 4: T-Charts/Non-examples; Application:  Silly Sentences</t>
  </si>
  <si>
    <t>Module 4: N/A No Vocab</t>
  </si>
  <si>
    <t>Module 4: Anaolgy Chart; Application: Quiz-Quiz-Trade</t>
  </si>
  <si>
    <t xml:space="preserve">Module 4: Word Parts; Application: </t>
  </si>
  <si>
    <t>Skills Lessons</t>
  </si>
  <si>
    <t>Module 3: Prefixes; Application: Vocabulary Telephone</t>
  </si>
  <si>
    <t>Exploring Similarities and Differences in Related Words</t>
  </si>
  <si>
    <r>
      <rPr>
        <rFont val="Montserrat"/>
        <color rgb="FF1155CC"/>
        <u/>
      </rPr>
      <t>Key Academic Terms</t>
    </r>
    <r>
      <rPr>
        <rFont val="Montserrat"/>
        <color rgb="FF000000"/>
      </rPr>
      <t xml:space="preserve"> (Sanity Checks)</t>
    </r>
  </si>
  <si>
    <t>Module 4: Synonyms       Application: Vocabulary Memory Match</t>
  </si>
  <si>
    <t>Using Prefixes to Tackle New Words</t>
  </si>
  <si>
    <t>CERCA Terms</t>
  </si>
  <si>
    <t>5,6,7</t>
  </si>
  <si>
    <t>Application: Apply Vocabulary Practices</t>
  </si>
  <si>
    <t>Deconstructing Words</t>
  </si>
  <si>
    <t>Focus Words</t>
  </si>
  <si>
    <t>Digital Practice (Foundational)</t>
  </si>
  <si>
    <t>Online Morphology Unit</t>
  </si>
  <si>
    <t>Online Syllabication Unit</t>
  </si>
  <si>
    <t>Ancient Roots to Modern Spelling</t>
  </si>
  <si>
    <t>Where are these terms?</t>
  </si>
  <si>
    <t>Direct Instruction</t>
  </si>
  <si>
    <t>Student Guide: Build Your Vocabulary</t>
  </si>
  <si>
    <t>Selection Vocabulary</t>
  </si>
  <si>
    <t>Key Academic Terms</t>
  </si>
  <si>
    <t>CERCA Words: High Value Words</t>
  </si>
  <si>
    <t>Claim, Evidence, Reasoning, Counterargument, Audience</t>
  </si>
  <si>
    <t>conflict, misunderstanding, frustration</t>
  </si>
  <si>
    <t>Alley, Coatroom, Emotional, Misunderstanding, Nonsense, Raggedy, Rattling, Tippy-tip</t>
  </si>
  <si>
    <t>Debatable claim, Civic life</t>
  </si>
  <si>
    <t>success, well-being, research</t>
  </si>
  <si>
    <t>Analyzed, Concentrate, Controlled, Engage, Exhausted, Function, Highlights, Occurrence, Potential</t>
  </si>
  <si>
    <t>Narrative, Fiction, Non-fiction</t>
  </si>
  <si>
    <t>empower, perspective, impact</t>
  </si>
  <si>
    <t>Affectionate, Chaotic, Convoluted, Declare, Ethnicity, Exotic, Forbade, Immigrants, Inevitably, Ironically, Merge, Nuclear Family, Peasant, Pitied, Ushered, Vaguely</t>
  </si>
  <si>
    <t>Research writing, Thesis, Synthesize</t>
  </si>
  <si>
    <t>waste, landfill, prevalent</t>
  </si>
  <si>
    <t>Adapted, Appealing, Barrier, Consume, Deactivated, Decompose, Deteriorate, Extend, Infused, Modified, Moisture, Opaque, Prevalent, Resources, Sustainable</t>
  </si>
  <si>
    <t>Cause, Effect</t>
  </si>
  <si>
    <t>suspense, operators</t>
  </si>
  <si>
    <t xml:space="preserve">Bridles, Efficient, Explicitly, Frantically, Imperious, Neurotic, Overcome, Querulous, Unobtrusively, Unspeakably </t>
  </si>
  <si>
    <t>Personal statement, Anecdote, Insights</t>
  </si>
  <si>
    <t>extracurricular activities</t>
  </si>
  <si>
    <t xml:space="preserve">Blitzing, Cast, Chess master, Colt, Elite, Fortunate, Galloping, Hardwired, Mammals, Miraculous, Molded, Neurons </t>
  </si>
  <si>
    <t>Fiction, Non-fiction, Realistic, Historical,  Dystopian</t>
  </si>
  <si>
    <t>peril, renown, foreboding</t>
  </si>
  <si>
    <t xml:space="preserve">Abode, Bearing, Entreaties, Foreboding, Lithe, Perils, Perish, Procured, Prophecy, Renown </t>
  </si>
  <si>
    <t>Debatable, Precise, Supportable</t>
  </si>
  <si>
    <t>custom, ritual, independence</t>
  </si>
  <si>
    <t>Appalling, Assimilation, Astonished, Grimaced, Rituals, Shabby, Tweed</t>
  </si>
  <si>
    <t>Introduction, Body, Conclusion</t>
  </si>
  <si>
    <t>valuable, meaningful, appropriate</t>
  </si>
  <si>
    <t>Agony, Alternative, Assess, Burden, Contentious, Counterproductive, Debate, Districts, Domain, Equity, Implemented, Intersect</t>
  </si>
  <si>
    <t>Theme, Observation, Inferred</t>
  </si>
  <si>
    <t>disappointment, inspire, supportive</t>
  </si>
  <si>
    <t xml:space="preserve">Air Ball, Backboards, Baseline, Curtailed, Doorjamb, Dribbling, Foul line, Layups, Lettering, NBA, Paralyzed, Predicament, Retired, Rim Shots, Tip-off, Traveling </t>
  </si>
  <si>
    <t>Denotation, Connotation, Context</t>
  </si>
  <si>
    <t>food insecurity, harvest, equity</t>
  </si>
  <si>
    <t>Asset, Contributions, Distribute, Equity, Initiative, Launch, Nourish, Pandemic, Repurposed, Sustain</t>
  </si>
  <si>
    <t>Setting, Impact, Influence</t>
  </si>
  <si>
    <t>tension, humor</t>
  </si>
  <si>
    <t xml:space="preserve">Distinctly, Dreadfully, Exasperation, Fretfully, Nastily, Phony, Squirms, Stolidly, Tension, Unnerved </t>
  </si>
  <si>
    <t>Interaction, Analogies, Categorization</t>
  </si>
  <si>
    <t>prefrontal cortex</t>
  </si>
  <si>
    <t xml:space="preserve">Comprise, Data, Ensure, Forge, Function, Insulates, Integral, Probe, Steadily, Triggers </t>
  </si>
  <si>
    <t>Characteristics, Settings, Plot</t>
  </si>
  <si>
    <t>vainly, contempt, scornfully</t>
  </si>
  <si>
    <t xml:space="preserve">Befell, Contempt, Flung, Immortal, Intently, Pined, Scornfully, Unrequited, Vainly, Vanity </t>
  </si>
  <si>
    <t>Reason, Evidence, Reasoning</t>
  </si>
  <si>
    <t>unfounded, hesitant, and navigate</t>
  </si>
  <si>
    <t>Clunky, Confessed, Contraption, Hesitant, Navigate, Optometrist, Precision, Reminiscing, Supernatural, Unfounded</t>
  </si>
  <si>
    <t>Explicit, Implicit</t>
  </si>
  <si>
    <t>produce (noun), healthful, roadblock</t>
  </si>
  <si>
    <t xml:space="preserve">Bounty, Coaxing, Cultivating, Disparity, Fare, Inception, Intake, Meld, Thriving, Urban </t>
  </si>
  <si>
    <t>Knead, Vain, Vein</t>
  </si>
  <si>
    <t>cultural, heritage, cherish</t>
  </si>
  <si>
    <t>Article, Authentic, Bolo Tie, Butte Top, Moccasins, Procession, Reluctantly, Rosebud Reservation, Roused, Sheepishly, Sioux, Tar-paper Shack, Teton Sioux, Thong, Wearily</t>
  </si>
  <si>
    <t>Base words, Affixes, Word roots</t>
  </si>
  <si>
    <t>compost, implement, initiatives</t>
  </si>
  <si>
    <t xml:space="preserve">Audits, Aware, Coordinate, Depleted, Divert, Effective, Establish, Expense, Initiatives, Landfills, Ongoing, Personnel, Reduce, Restores, Vitality </t>
  </si>
  <si>
    <t>Informative Writing, Hook, Topic</t>
  </si>
  <si>
    <t>miscommunication, hysterical</t>
  </si>
  <si>
    <t>Catechizing, Frenzied, Fretful, Imperious, Infuses, Lethargic, Neurotic, Scarce, Stark, Storming</t>
  </si>
  <si>
    <t>Context, Cause, Effect</t>
  </si>
  <si>
    <t>neuroscience</t>
  </si>
  <si>
    <t>Adapted, Analyzes, Cognitive, Complex, Consume, Decoding, Empathy, Etched, Intricate, Perspective, Reeds, Regulating, Tolerant, Unconsciously</t>
  </si>
  <si>
    <t>Objective language, Literary analysis, Paraphrasing</t>
  </si>
  <si>
    <t>wretchedly, boon, dolefully</t>
  </si>
  <si>
    <t xml:space="preserve">Darted, Dreadfully, Enchanted, Fateful, Gloomy, Muttered, Residing, Sorrowful, Tumultuous, Uneasy </t>
  </si>
  <si>
    <t>Personal Narrative</t>
  </si>
  <si>
    <t>approval, expectations, self-esteem</t>
  </si>
  <si>
    <t>Accommodating, Ace, Bumbling, Chiseled, Corroding, Fractured, Futile, Gaping, Idolizes, Ignorant, Mimicking,  Persisted, Relentlessly, Serene</t>
  </si>
  <si>
    <t>Hook</t>
  </si>
  <si>
    <t>introvert, extrovert, assess</t>
  </si>
  <si>
    <t>Anecdote, Biases, Capacity, Compassion, Correlation, Disadvantage, Dominate, Emphasizes, Engagement, Flustered, Fosters, Gregarious, Influence</t>
  </si>
  <si>
    <t>Round, Flat, Dynamic, Static</t>
  </si>
  <si>
    <t>realistic, historical, wisdom</t>
  </si>
  <si>
    <t xml:space="preserve">Abbot, Aghast, Amnesty, Blanched, Chamber pots, Consequence, Junks, Lychees, Peevishly, Sampans, Sedan chairs, Shrine, Tried to spoil, Typhoon, Voluminous, Well-born  </t>
  </si>
  <si>
    <t>Text structure, Similarities, Differences</t>
  </si>
  <si>
    <t>hydroponic, vertical</t>
  </si>
  <si>
    <t>Centuries, Chambers, Circulates, Cluster, Coined, Contamination, Flourish, Investment, Lush, Searing</t>
  </si>
  <si>
    <t>Declarative, Interrogative, Imperative, Exclamatory</t>
  </si>
  <si>
    <t>Purpose, Emphasis, Interpretation</t>
  </si>
  <si>
    <t>growth mindset</t>
  </si>
  <si>
    <t>Anecdotes, Axons, Embrace, Improve, Mindset, Neurons, Permanent, Psychology, Tackle, Transmits</t>
  </si>
  <si>
    <t>Myth, Theme, Symbols, Characters</t>
  </si>
  <si>
    <t>wreckage, mischief, indulge</t>
  </si>
  <si>
    <t xml:space="preserve">Cruelty, Ferocious, Glistening, Indulged, Lure, Mischief, Radiant, Rash, Retched, Ripened, Rustling, Scolded, Shudder, Uneasy, Unfurled, Unsteadily, Whim, Woeful </t>
  </si>
  <si>
    <t>Literary texts, Quotation</t>
  </si>
  <si>
    <t>Independent clause, Dependent Clause</t>
  </si>
  <si>
    <t>Character</t>
  </si>
  <si>
    <t>Syllabication, Thesaurus</t>
  </si>
  <si>
    <t>Narrator, Point-of-view, Observer</t>
  </si>
  <si>
    <t>Linear, Non-linear, Flashback, Flash-forward</t>
  </si>
  <si>
    <t>Fairytale, Oral tradition, Protagonist</t>
  </si>
  <si>
    <t>Imagery, figurative language</t>
  </si>
  <si>
    <t>Evident, Relevant</t>
  </si>
  <si>
    <t>Dialogue, Punctuate</t>
  </si>
  <si>
    <t>Point of view, Counterclaim</t>
  </si>
  <si>
    <t>Informative Writing, Explanatory writing</t>
  </si>
  <si>
    <t>Emphasis, Repetition</t>
  </si>
  <si>
    <t>Genres, Themes, Compare, Contrast</t>
  </si>
  <si>
    <t>Subject nouns, Object nouns</t>
  </si>
  <si>
    <t>Source, Quotation</t>
  </si>
  <si>
    <t>Elements, Character setting, Plot</t>
  </si>
  <si>
    <t>Paraphrase, Summary</t>
  </si>
  <si>
    <t>Connotation, Denotation</t>
  </si>
  <si>
    <t>Synonym, Antonym, Analogy</t>
  </si>
  <si>
    <t>Plot, Setting</t>
  </si>
  <si>
    <t>Basic plot elements</t>
  </si>
  <si>
    <t>Heading, Subheading</t>
  </si>
  <si>
    <t>Setting, Narrative</t>
  </si>
  <si>
    <t>Evidence</t>
  </si>
  <si>
    <t>Conflict, Internal, External</t>
  </si>
  <si>
    <t>Imagery, Mood</t>
  </si>
  <si>
    <t>Form structure, Rhytm, Meter</t>
  </si>
  <si>
    <t>Explicit, Inferred</t>
  </si>
  <si>
    <t>Reason, Reasoning</t>
  </si>
  <si>
    <t>Phrases, Transition words</t>
  </si>
  <si>
    <t>Compare, Contrast</t>
  </si>
  <si>
    <t>Transition, Coherence</t>
  </si>
  <si>
    <t>Anecdotes, Analogies</t>
  </si>
  <si>
    <t>Fiction, Non-fiction, Inspiration</t>
  </si>
  <si>
    <t>Setting, Characters, Conflict</t>
  </si>
  <si>
    <t>Transition, Counterclaim</t>
  </si>
  <si>
    <t>Point of View, Omniscient</t>
  </si>
  <si>
    <t>Research question, Primary source, Secondary source</t>
  </si>
  <si>
    <t>Precise, Ambiguous, Domain-specific</t>
  </si>
  <si>
    <t>NOT IN PLATFORM</t>
  </si>
  <si>
    <t>Argumentation, Claim, Reasons, Benefits</t>
  </si>
  <si>
    <t>Double negative, Slang</t>
  </si>
  <si>
    <t>Formal, Informal</t>
  </si>
  <si>
    <t>Irony, Suspense</t>
  </si>
  <si>
    <t>Synthesizing</t>
  </si>
  <si>
    <t>Multimedia, Medium</t>
  </si>
  <si>
    <t>Personal Connection, Article, Image</t>
  </si>
  <si>
    <t>Writing analysis</t>
  </si>
  <si>
    <t>Author's message, Universal idea</t>
  </si>
  <si>
    <t>Issue, Claim, Rhetorical appeal</t>
  </si>
  <si>
    <t>Figurative, Similes, Metaphors</t>
  </si>
  <si>
    <t>Panel discussion, Moderator, Audience, Format</t>
  </si>
  <si>
    <t>Context, Engagement, Empathy</t>
  </si>
  <si>
    <t>Context, Evidence, Reasoning</t>
  </si>
  <si>
    <t>Persuasive, Informational text</t>
  </si>
  <si>
    <t>Subject, Occasion, Audience, Purpose</t>
  </si>
  <si>
    <t>Logical, Not logical</t>
  </si>
  <si>
    <t>Imagery, Theme, Structure</t>
  </si>
  <si>
    <t>Subtopic, Writing process</t>
  </si>
  <si>
    <t>Perform, Stage direction</t>
  </si>
  <si>
    <t>Audience</t>
  </si>
  <si>
    <t>Real events, Imaginery topics</t>
  </si>
  <si>
    <t>Sentence structure, style</t>
  </si>
  <si>
    <t>Fiction, Non-fiction</t>
  </si>
  <si>
    <t>Citing, Plagiarism</t>
  </si>
  <si>
    <t>Evidence, Explanation</t>
  </si>
  <si>
    <t>Skill, Experience, Talent</t>
  </si>
  <si>
    <t>Argumentation, Collaboration</t>
  </si>
  <si>
    <t>Claim, Logical reasoning</t>
  </si>
  <si>
    <t>Argumentation, Collaboration, Debate</t>
  </si>
  <si>
    <t>Conclusion, Thesis, Closure</t>
  </si>
  <si>
    <t>Informal discussions, formal discussions</t>
  </si>
  <si>
    <t>Persuade, Inform</t>
  </si>
  <si>
    <t>Fictional, Imagination, Exposition, Resolution</t>
  </si>
  <si>
    <t>Sensory details, Acition verbs</t>
  </si>
  <si>
    <t>Biased, Unbiased</t>
  </si>
  <si>
    <t>Sensory language</t>
  </si>
  <si>
    <t>Narrative, Narration</t>
  </si>
  <si>
    <t>Biography, Autobiograhpy</t>
  </si>
  <si>
    <t>Questioner, Recorder, Moderator</t>
  </si>
  <si>
    <t>Conclusion</t>
  </si>
  <si>
    <t>7th gr</t>
  </si>
  <si>
    <t>adolescent, self-conscious, reinvent</t>
  </si>
  <si>
    <t xml:space="preserve">Anxious, Bluff, Bustled, Ferocity, Insight, Lingered, Pleaded, Propelled, Quiver, Scowl, Sheepishly, Shuffled, Snooping, Waddled </t>
  </si>
  <si>
    <t>claim, reasons, evidence,</t>
  </si>
  <si>
    <t>utilize, distracting, innovation</t>
  </si>
  <si>
    <t>Unit 2 is Missing</t>
  </si>
  <si>
    <t>Narrative</t>
  </si>
  <si>
    <t xml:space="preserve">utopia, dystopia, consequence
</t>
  </si>
  <si>
    <t xml:space="preserve">Apparatus, Avalanche, Edged, Glances, Immense, Midst, Muffled, Repercussions, Resilient, Savagely, Savored, Seized, Solemn, Surged, Tremor, Tumultuously, Vital, Wailed </t>
  </si>
  <si>
    <t>Thesis, Synthesize, Organize</t>
  </si>
  <si>
    <t xml:space="preserve">zero-waste, single-use plastics
</t>
  </si>
  <si>
    <t>Allotment, Compostable, Contaminated, Derived, Glinting, Harsh, Hormone, Ingesting, Organic, Projected, Ramping, Renewable</t>
  </si>
  <si>
    <t>conflict, resolution</t>
  </si>
  <si>
    <t>Abjure, Avouch, Bated, Beguiled, Belike, Betrothed, Collied, Con, Conceits, Condole, Conflict, Feigning, Gallant, Perjured, Sovereignty</t>
  </si>
  <si>
    <t xml:space="preserve">personal statement, anecdote, insight, formal, </t>
  </si>
  <si>
    <t>career path</t>
  </si>
  <si>
    <t xml:space="preserve">Career, Clients, Consultant, Courageous, Fulfilling, Ordinary, Overwhelmed, Rejected </t>
  </si>
  <si>
    <t xml:space="preserve">fiction, non fiction, </t>
  </si>
  <si>
    <t xml:space="preserve">venture, expedition, environment
</t>
  </si>
  <si>
    <t>Amid, Apprehensions, Array, Ascent, Brawler, Ceased, Churning, Deadpan, Delusional, Descent, Disembarking, Extremity, Felled, Fictionalized, Gritty, Hauled</t>
  </si>
  <si>
    <t>acceptance, clique, popularity</t>
  </si>
  <si>
    <t xml:space="preserve">Colleagues, Coveted, Disclaimer, Ebbing, Independent, Melancholy, Objective, Obsession, Pursuit, Quest, Virtuous </t>
  </si>
  <si>
    <t>reason, evidence, reasoning,</t>
  </si>
  <si>
    <t xml:space="preserve">barrier, accessible, logistical
</t>
  </si>
  <si>
    <t>Theme, Inferred</t>
  </si>
  <si>
    <t xml:space="preserve">antagonist, protagonist, conviction
</t>
  </si>
  <si>
    <t xml:space="preserve">Amendments, Bandits, Burdened, Calibrated, Capered, Hindrances, Luminous, Neutralizing, Palpable, Protagonist, Synchronizing, Unceasing, Vague, Vigilance </t>
  </si>
  <si>
    <t>disposable, pollution, biodegradables</t>
  </si>
  <si>
    <t>Activists, Biodegradable, Carbonated, Constituent, Consumerism, Consumers, Convenience, Disposable, Evolution, Recovery, Regulators, Sustainable, Ubiquitous, Vigorously</t>
  </si>
  <si>
    <t>device, deception</t>
  </si>
  <si>
    <t xml:space="preserve">Adamant, Adultery, Anoints, Beguile, Churl, Deception, Devices, Forsworn, Glass, Impeach, Privilege, Progeny </t>
  </si>
  <si>
    <t xml:space="preserve">anecdote, interaction, analogy, catorization </t>
  </si>
  <si>
    <t>metaverse</t>
  </si>
  <si>
    <t xml:space="preserve">Accelerating, Adaptability, Adoption,  Advantage, Advocate, Career, Collaborate, Diverse, Embraced, Perspectives, Repetitive, Soar, Unknowable </t>
  </si>
  <si>
    <t xml:space="preserve">characters, setting, plots , literary analysis </t>
  </si>
  <si>
    <t xml:space="preserve">aviator, tenacity, resilience
</t>
  </si>
  <si>
    <t>Acute, Aerial, Anomaly, Archival, Ascended, Awe, Billowing, Colleagues, Commemorate, Descent, Deterred, Exploits, Fathom, Fleeting, Formidable, Humbled, Impale, Inherent</t>
  </si>
  <si>
    <t>memoir, verse, tone</t>
  </si>
  <si>
    <t xml:space="preserve">Anonymous, Baffled, Bogus, Characteristics, Contained, Inheritance, Ironic, Liberties, Measly, Phases, Postpone, Profusely, Reassuring, Reciting, Vague </t>
  </si>
  <si>
    <t xml:space="preserve">central idea, inference, </t>
  </si>
  <si>
    <t xml:space="preserve">sync, smart technology, sensor
</t>
  </si>
  <si>
    <t>Vowel, Consanant</t>
  </si>
  <si>
    <t xml:space="preserve">self-discovery, futuristic, heritage
</t>
  </si>
  <si>
    <t>Animated, Artfully, Bear, Catalogue, Collapsed, Contempt, Conversed, Creases, Departed, Desperation, Exaggerated, Feline, Graceless, Intellectually, Intertwining, Magnified, Menagerie, Merchant, Navigating, Strategically, Wallow, Whimpered, Winced</t>
  </si>
  <si>
    <t>Base words, Affixes, Root</t>
  </si>
  <si>
    <t xml:space="preserve">microplastics, contaminated
</t>
  </si>
  <si>
    <t>Anthropogenic, Carcasses, Ceaseless, Climate change, Contaminated, Degraded, Excavated, Implications, Infiltrating, Interfere with, Manipulated, Phytoplankton, Scavengers</t>
  </si>
  <si>
    <t>Informative, Topic, Purpose, Structure</t>
  </si>
  <si>
    <t>escalate, mock</t>
  </si>
  <si>
    <t xml:space="preserve">Abate, Advance, Asunder, Bewilderment, Conspired, Escalate, Incorporate, Obscured </t>
  </si>
  <si>
    <t xml:space="preserve">linear, non-linear, flashback, flash-forward, </t>
  </si>
  <si>
    <t xml:space="preserve">post-secondary options
</t>
  </si>
  <si>
    <t>Affordable, Aid, Associate, Budget, Commitment, Cons, Elective, Environment, Experiential, Financial, Institution, Pros, Pursue</t>
  </si>
  <si>
    <t xml:space="preserve">realistic, conflict, choices, immerse, </t>
  </si>
  <si>
    <t xml:space="preserve">civil wars, refugee, immigrated
</t>
  </si>
  <si>
    <t xml:space="preserve">Abruptly, Aside, Bewildering, Compelling, Contaminated, Excruciatingly, Facilitators, Frantic, Grief, Haze, Immigrated, Notion, Radiators, Refuge, Riddled, Venture </t>
  </si>
  <si>
    <t>compatible, coexist, defiant</t>
  </si>
  <si>
    <t>Amulet, Averted, Berated, Coexist, Confided, Incessantly, Insubordinate, Kinship, Mournful, Trudged</t>
  </si>
  <si>
    <t>topic and hook</t>
  </si>
  <si>
    <t xml:space="preserve">revenue, subsidize, transit
</t>
  </si>
  <si>
    <t>Setting, Transition</t>
  </si>
  <si>
    <t>consciousness, imploring, stationary</t>
  </si>
  <si>
    <t>Alight, Anguished, Beatific, Caverns, Chambers chasm, Consciousness, Disorienting, Expanse, Imploring, Lanky, Leverage, Limbo, Precariously, Quiver, Sedative, Stationary, Stoic, Virtues, Wrest</t>
  </si>
  <si>
    <t>Similarities, Differences, Sequential-order</t>
  </si>
  <si>
    <t>compost, alternatives</t>
  </si>
  <si>
    <t xml:space="preserve">Alternatives, Biodegradable, Chemical engineer, Components, Compost, Conventional, Groundwater aquifers, Industrial, Microbes, Microplastics, Waterborne </t>
  </si>
  <si>
    <t>Context, Compare, Contrast</t>
  </si>
  <si>
    <t>diffuse, irony</t>
  </si>
  <si>
    <t xml:space="preserve">Amiable, Amity, Bayed, Chiding, Compass, Concord, Coy, Discharge, Dote, Dramatic irony, Exposition, Grace, Loath, Marred, Neaf </t>
  </si>
  <si>
    <t xml:space="preserve">indipendent clause </t>
  </si>
  <si>
    <t xml:space="preserve">introvert, extrovert
</t>
  </si>
  <si>
    <t>Abstract, Acquaintances, Altruism, Assertiveness, Attributes, Belittles, Contemporary, Continuum, Conversely, Dimensions, Empathy, Impulse, Insight, Instability, Intrigue, Procrastinate, Prosocial, Resilient, Traits</t>
  </si>
  <si>
    <t xml:space="preserve">central idea, objective language, </t>
  </si>
  <si>
    <t>evidence, complex questions, background knowledge</t>
  </si>
  <si>
    <t>revision, rearranging, reorganization</t>
  </si>
  <si>
    <t>Characterization, Direct, Indirect</t>
  </si>
  <si>
    <t>Reference materials, Glossary</t>
  </si>
  <si>
    <t>Variations, Double negative</t>
  </si>
  <si>
    <t>soliloquy, epilogue</t>
  </si>
  <si>
    <t xml:space="preserve">Abridgment, Ace, Apprehend, Beguile, Beshrew, Board, Bumble, Chink, Compact, Confound, Die, Dole, Dumbly, Fordone, Interject </t>
  </si>
  <si>
    <t>elements, events, ideas, analogies, quotations,</t>
  </si>
  <si>
    <t>plot, sequence, conflict</t>
  </si>
  <si>
    <t xml:space="preserve">declarative sentence, interrogative sentence, imparitive, exclamatory, </t>
  </si>
  <si>
    <t>evidence, facts, quotations</t>
  </si>
  <si>
    <t>Characters</t>
  </si>
  <si>
    <t>Point of view, Claim, Counterclaim, Reasons</t>
  </si>
  <si>
    <t>Drama, Act, Scene, Theme, Setting</t>
  </si>
  <si>
    <t xml:space="preserve">setting, characters ,conflict, </t>
  </si>
  <si>
    <t>genre, compare, contrast, theme</t>
  </si>
  <si>
    <t xml:space="preserve">Personal Narrative, authors message, </t>
  </si>
  <si>
    <t xml:space="preserve">quoting, paraphrasing, </t>
  </si>
  <si>
    <t>Summary, Central idea, Paraphrase, Summary</t>
  </si>
  <si>
    <t>connotation, denotation</t>
  </si>
  <si>
    <t>tension, drama, suspense</t>
  </si>
  <si>
    <t>preposition, modifier, appositive</t>
  </si>
  <si>
    <t xml:space="preserve">informational texts, headings, subheadings, </t>
  </si>
  <si>
    <t>Character, Setting, Plot</t>
  </si>
  <si>
    <t>Evidence, Reasoning</t>
  </si>
  <si>
    <t>Informative, Explanatory</t>
  </si>
  <si>
    <t xml:space="preserve">purpose, interpretation, arranggement </t>
  </si>
  <si>
    <t xml:space="preserve">form structure rhythm, meter </t>
  </si>
  <si>
    <t>exposition, rising action, falling action</t>
  </si>
  <si>
    <t xml:space="preserve">reason, reasoning, transition words </t>
  </si>
  <si>
    <t>Compare, Contrast, Conflicting</t>
  </si>
  <si>
    <t>Early Modern English, Punctuation, Spelling, Phrasing</t>
  </si>
  <si>
    <t xml:space="preserve">suspense, irony, </t>
  </si>
  <si>
    <t>argumentation, debate, collaboration</t>
  </si>
  <si>
    <t xml:space="preserve">denotation, inference, connotation, </t>
  </si>
  <si>
    <t>transitions, counterclaims</t>
  </si>
  <si>
    <t>Transitions, Narrative</t>
  </si>
  <si>
    <t>Topic, Primary source, Secondary source</t>
  </si>
  <si>
    <t>Transition, Cohesive, Coherent</t>
  </si>
  <si>
    <t xml:space="preserve">purpose, understanding, emphasis </t>
  </si>
  <si>
    <t>setting, plot, theme, language, style,</t>
  </si>
  <si>
    <t>tone</t>
  </si>
  <si>
    <t>formal, informal</t>
  </si>
  <si>
    <t>Point of view, Narrator</t>
  </si>
  <si>
    <t>Synthesize Compare, Contrast</t>
  </si>
  <si>
    <t>narrator, point of view, first-person, third person</t>
  </si>
  <si>
    <t>biography, genre, image</t>
  </si>
  <si>
    <t xml:space="preserve">personal narratives, imagery and figurative language, </t>
  </si>
  <si>
    <t xml:space="preserve">rhetorical, logos, </t>
  </si>
  <si>
    <t>Audience, Moderator</t>
  </si>
  <si>
    <t>precise, ambiguous, domain-specific,</t>
  </si>
  <si>
    <t xml:space="preserve">reasoning evidence context </t>
  </si>
  <si>
    <t xml:space="preserve">imagery and mood, narrative writing </t>
  </si>
  <si>
    <t xml:space="preserve">counter argument, respectful, not respectful, </t>
  </si>
  <si>
    <t>Structure, Theme</t>
  </si>
  <si>
    <t xml:space="preserve">act, scene, tension, resolution, </t>
  </si>
  <si>
    <t xml:space="preserve">skills, experiences, talents, </t>
  </si>
  <si>
    <t xml:space="preserve">speaker, occasion, audience, purpose, subject, tone </t>
  </si>
  <si>
    <t>reasons, evidence, reasoning,</t>
  </si>
  <si>
    <t>Citing a source, Paraphrase, Plagiarism</t>
  </si>
  <si>
    <t xml:space="preserve">media, medium, multi-media, </t>
  </si>
  <si>
    <t xml:space="preserve">hook and antidote </t>
  </si>
  <si>
    <t>non fiction, fiction</t>
  </si>
  <si>
    <t>claim, reasons, evidence</t>
  </si>
  <si>
    <t>Argumentation, Collaborate, Debate</t>
  </si>
  <si>
    <t xml:space="preserve">context, imagination, engagement </t>
  </si>
  <si>
    <t xml:space="preserve">argumentation, collaboration, </t>
  </si>
  <si>
    <t>unbiased, biased</t>
  </si>
  <si>
    <t>fictional, imagination, conflict, resolution</t>
  </si>
  <si>
    <t xml:space="preserve">conflict, cause, effect, thesis, hook </t>
  </si>
  <si>
    <t>questioner, recorder, moderator,</t>
  </si>
  <si>
    <t>Figure of speech, Precise</t>
  </si>
  <si>
    <t xml:space="preserve">main idea, main topic, closure, impact </t>
  </si>
  <si>
    <t xml:space="preserve">personal, imagery, </t>
  </si>
  <si>
    <t xml:space="preserve">narrator persepctive, </t>
  </si>
  <si>
    <t>sequence, cohesion, transitions,reasons, evidence, reasoning,</t>
  </si>
  <si>
    <t>historical text, biography, autobiography, historical fiction, science fiction</t>
  </si>
  <si>
    <t xml:space="preserve">8th grade </t>
  </si>
  <si>
    <t xml:space="preserve">empathy, remorse, interaction
</t>
  </si>
  <si>
    <t xml:space="preserve">Barren, Dismay, Futile, Havoc, Incongruence, Meager, Poignantly, Reverie, Scornful, Vigor </t>
  </si>
  <si>
    <t>ancestors, failure, self-awareness</t>
  </si>
  <si>
    <t>Catastrophe, Daunting, Ejected, Faulty, Stunned</t>
  </si>
  <si>
    <t>respect, opponent, self-confidence</t>
  </si>
  <si>
    <t xml:space="preserve">Aceboon, Amateur, Barrage, Bedlam, Boring, Cheverote (Spanish adj.), Corazón (Spanish noun), Feinted, Gnawing, Haymaker, Hermano (Spanish noun), Loisaida, Panin (Spanish noun), Sabe (Spanish verb),   Suavecito (Spanish adv.), Welterweight </t>
  </si>
  <si>
    <t xml:space="preserve">covet, impulsive, sacrifice
</t>
  </si>
  <si>
    <t xml:space="preserve">Agitated, Barrage, Conspicuous, Coveted, Monetary, Strike, Sustained, Tended, Verbal </t>
  </si>
  <si>
    <t>Evidence, Relevant, Specific, Accurate, Quote, Paraphrase, Summarize, Analyze, Explicit</t>
  </si>
  <si>
    <t>Theme, Author's Message, Personal Narrative, Universal Idea</t>
  </si>
  <si>
    <t>Plot Structure, Plot Elements, Climax, Resolution, Flashbacks, Flash-forwards</t>
  </si>
  <si>
    <t>Summary, Paraphrase</t>
  </si>
  <si>
    <t>Imagery, Personal Narrative, Figurative Language, Similes, Metaphors, Sensory Details, Action Verbs, Personification, Connotation</t>
  </si>
  <si>
    <t>Acronym, Analyze, Speaker, Occasion, Audience, Purpose, Subject, Tone</t>
  </si>
  <si>
    <t>Nonfiction</t>
  </si>
  <si>
    <t>Socratic Discussion, Debate, Claim, Evidence, Reasoning, Counterargument</t>
  </si>
  <si>
    <t xml:space="preserve">Discussion, Roles, Questioner, Moderator, Recorder </t>
  </si>
  <si>
    <t>Personal Narrative, First Person, Imagery, Simile, Metaphor, Sensory Details, Action Verbs, Transitions, Pre-Writing, Drafting, Revising, Editing, Sharing</t>
  </si>
  <si>
    <t>Narrator, Perspective, Point-of-view, Setting, Conflict, Dialogue</t>
  </si>
  <si>
    <t>Verb, Active Voice, Passive Voice, Indicative Mood, Imperative Mood, Interrogative Mood, Conditional Mood, Subjunctive Mood, Verbals - Gerunds, Infinitives, Participles</t>
  </si>
  <si>
    <t>Sensory Language, Descriptive Details, Figures of Speech</t>
  </si>
  <si>
    <t>Historical Fiction, Biography, Autobiography, Fantasy, Science Fiction, Magazines, Journals, Blogs</t>
  </si>
  <si>
    <t>Grade, Unit, Domain</t>
  </si>
  <si>
    <t>Status</t>
  </si>
  <si>
    <t>Grade 6, U1 Reading</t>
  </si>
  <si>
    <t>Completed</t>
  </si>
  <si>
    <t>Grade 6, U2 Reading</t>
  </si>
  <si>
    <t>Grade 6, U3 Reading</t>
  </si>
  <si>
    <t>Grade 6, U4 Reading</t>
  </si>
  <si>
    <t>Grade 6, U5 Reading</t>
  </si>
  <si>
    <t>Grade 6, U6 Reading</t>
  </si>
  <si>
    <t>Grade 6, U7 Reading</t>
  </si>
  <si>
    <t>Grade 6, U1 Writing</t>
  </si>
  <si>
    <t>Grade 6, U2 Writing</t>
  </si>
  <si>
    <t>Grade 6, U3 Writing</t>
  </si>
  <si>
    <t>Grade 6, U4 Writing</t>
  </si>
  <si>
    <t>Grade 6, U5 Writing</t>
  </si>
  <si>
    <t>Grade 6, U6 Writing</t>
  </si>
  <si>
    <t>Grade 6, U7 Writing</t>
  </si>
  <si>
    <t>Grade 6, U1 Research</t>
  </si>
  <si>
    <t>Grade 6, U2 Research</t>
  </si>
  <si>
    <t>Grade 6, U3 Research</t>
  </si>
  <si>
    <t>Grade 6, U4 Research</t>
  </si>
  <si>
    <t>Grade 6, U5 Research</t>
  </si>
  <si>
    <t>Grade 6, U6 Research</t>
  </si>
  <si>
    <t>Grade 6, U7 Research</t>
  </si>
  <si>
    <t>Grade 6 U1 S/L</t>
  </si>
  <si>
    <t>Grade 6 U2 S/L</t>
  </si>
  <si>
    <t>Grade 6 U3 S/L</t>
  </si>
  <si>
    <t>Grade 6 U4 S/L</t>
  </si>
  <si>
    <t>Grade 6 U5 S/L</t>
  </si>
  <si>
    <t>Grade 6 U6 S/L</t>
  </si>
  <si>
    <t>Grade 6 U7 S/L</t>
  </si>
  <si>
    <t>Grade 6 U1 Vocab</t>
  </si>
  <si>
    <t>Grade 6 U2 Vocab</t>
  </si>
  <si>
    <t>Grade 6 U3 Vocab</t>
  </si>
  <si>
    <t>Grade 6 U4 Vocab</t>
  </si>
  <si>
    <t>Grade 6 U5 Vocab</t>
  </si>
  <si>
    <t>Grade 6 U6 Vocab</t>
  </si>
  <si>
    <t>Grade 6 U7 Vocab</t>
  </si>
  <si>
    <t>Grade 6 U1 Grammar</t>
  </si>
  <si>
    <t>Grade 6 U2 Grammar</t>
  </si>
  <si>
    <t>Grade 6 U3 Grammar</t>
  </si>
  <si>
    <t>Grade 6 U4 Grammar</t>
  </si>
  <si>
    <t>Grade 6 U5 Grammar</t>
  </si>
  <si>
    <t>Grade 6 U6 Grammar</t>
  </si>
  <si>
    <t>Grade 6 U7 Grammar</t>
  </si>
  <si>
    <t>Grade 7, U1 Reading</t>
  </si>
  <si>
    <t>Grade 7, U2 Reading</t>
  </si>
  <si>
    <t>Grade 7, U3 Reading</t>
  </si>
  <si>
    <t>Grade 7, U4 Reading</t>
  </si>
  <si>
    <t>Grade 7, U5 Reading</t>
  </si>
  <si>
    <t>Grade 7, U6 Reading</t>
  </si>
  <si>
    <t>Grade 7, U7 Reading</t>
  </si>
  <si>
    <t>Grade 7, U1 Writing</t>
  </si>
  <si>
    <t>Grade 7, U2 Writing</t>
  </si>
  <si>
    <t>Grade 7, U3 Writing</t>
  </si>
  <si>
    <t>Grade 7, U4 Writing</t>
  </si>
  <si>
    <t>Grade 7, U5 Writing</t>
  </si>
  <si>
    <t>Grade 7, U6 Writing</t>
  </si>
  <si>
    <t>Grade 7, U7 Writing</t>
  </si>
  <si>
    <t>Grade 7, U1 Research</t>
  </si>
  <si>
    <t>Grade 7, U2 Research</t>
  </si>
  <si>
    <t>Grade 7, U3 Research</t>
  </si>
  <si>
    <t>Grade 7, U4 Research</t>
  </si>
  <si>
    <t>Grade 7, U5 Research</t>
  </si>
  <si>
    <t>Grade 7, U6 Research</t>
  </si>
  <si>
    <t>Grade 7, U7 Research</t>
  </si>
  <si>
    <t>Grade 7 U1 S/L</t>
  </si>
  <si>
    <t>Grade 7 U2 S/L</t>
  </si>
  <si>
    <t>Grade 7 U3 S/L</t>
  </si>
  <si>
    <t>Grade 7 U4 S/L</t>
  </si>
  <si>
    <t>Grade 7 U5 S/L</t>
  </si>
  <si>
    <t>Grade 7 U6 S/L</t>
  </si>
  <si>
    <t>Grade 7 U7 S/L</t>
  </si>
  <si>
    <t>Grade 7 U1 Vocab</t>
  </si>
  <si>
    <t>Grade 7 U2 Vocab</t>
  </si>
  <si>
    <t>Grade 7 U3 Vocab</t>
  </si>
  <si>
    <t>Grade 7 U4 Vocab</t>
  </si>
  <si>
    <t>Grade 7 U5 Vocab</t>
  </si>
  <si>
    <t>Grade 7 U6 Vocab</t>
  </si>
  <si>
    <t>Grade 7 U7 Vocab</t>
  </si>
  <si>
    <t>Grade 7 U1 Grammar</t>
  </si>
  <si>
    <t>Grade 7 U2 Grammar</t>
  </si>
  <si>
    <t>Grade 7 U3 Grammar</t>
  </si>
  <si>
    <t>Grade 7 U4 Grammar</t>
  </si>
  <si>
    <t>Grade 7 U5 Grammar</t>
  </si>
  <si>
    <t>Grade 7 U6 Grammar</t>
  </si>
  <si>
    <t>Grade 7 U7 Grammar</t>
  </si>
  <si>
    <t>Grade 8, U1 Reading</t>
  </si>
  <si>
    <t>Grade 8, U2 Reading</t>
  </si>
  <si>
    <t>Grade 8, U3 Reading</t>
  </si>
  <si>
    <t>Grade 8, U4 Reading</t>
  </si>
  <si>
    <t>Grade 8, U5 Reading</t>
  </si>
  <si>
    <t>Grade 8, U6 Reading</t>
  </si>
  <si>
    <t>Grade 8, U7 Reading</t>
  </si>
  <si>
    <t>Grade 8, U1 Writing</t>
  </si>
  <si>
    <t>Grade 8, U2 Writing</t>
  </si>
  <si>
    <t>Grade 8, U3 Writing</t>
  </si>
  <si>
    <t>Grade 8, U4 Writing</t>
  </si>
  <si>
    <t>Grade 8, U5 Writing</t>
  </si>
  <si>
    <t>Grade 8, U6 Writing</t>
  </si>
  <si>
    <t>Grade 8, U7 Writing</t>
  </si>
  <si>
    <t>Grade 8, U1 Research</t>
  </si>
  <si>
    <t>Grade 8, U2 Research</t>
  </si>
  <si>
    <t>Grade 8, U3 Research</t>
  </si>
  <si>
    <t>Grade 8, U4 Research</t>
  </si>
  <si>
    <t>Grade 8, U5 Research</t>
  </si>
  <si>
    <t>Grade 8, U6 Research</t>
  </si>
  <si>
    <t>Grade 8, U7 Research</t>
  </si>
  <si>
    <t>Grade 8 U1 S/L</t>
  </si>
  <si>
    <t>Grade 8 U2 S/L</t>
  </si>
  <si>
    <t>Grade 8 U3 S/L</t>
  </si>
  <si>
    <t>Grade 8 U4 S/L</t>
  </si>
  <si>
    <t>Grade 8 U5 S/L</t>
  </si>
  <si>
    <t>Grade 8 U6 S/L</t>
  </si>
  <si>
    <t>Grade 8 U7 S/L</t>
  </si>
  <si>
    <t>Grade 8 U1 Vocab</t>
  </si>
  <si>
    <t>Grade 8 U2 Vocab</t>
  </si>
  <si>
    <t>Grade 8 U3 Vocab</t>
  </si>
  <si>
    <t>Grade 8 U4 Vocab</t>
  </si>
  <si>
    <t>Grade 8 U5 Vocab</t>
  </si>
  <si>
    <t>Grade 8 U6 Vocab</t>
  </si>
  <si>
    <t>Grade 8 U7 Vocab</t>
  </si>
  <si>
    <t>Grade 8 U1 Grammar</t>
  </si>
  <si>
    <t>In Process</t>
  </si>
  <si>
    <t>Grade 8 U2 Grammar</t>
  </si>
  <si>
    <t>Grade 8 U3 Grammar</t>
  </si>
  <si>
    <t>Grade 8 U4 Grammar</t>
  </si>
  <si>
    <t>Grade 8 U5 Grammar</t>
  </si>
  <si>
    <t>Grade 8 U6 Grammar</t>
  </si>
  <si>
    <t>Grade 8 U7 Grammar</t>
  </si>
  <si>
    <t>Grade 9, U1 Reading</t>
  </si>
  <si>
    <t>Grade 9, U2 Reading</t>
  </si>
  <si>
    <t>Grade 9, U3 Reading</t>
  </si>
  <si>
    <t>Grade 9, U4 Reading</t>
  </si>
  <si>
    <t>Grade 9, U5 Reading</t>
  </si>
  <si>
    <t>Grade 9, U6 Reading</t>
  </si>
  <si>
    <t>Grade 9, U7 Reading</t>
  </si>
  <si>
    <t>Grade 9, U1 Writing</t>
  </si>
  <si>
    <t>Grade 9, U2 Writing</t>
  </si>
  <si>
    <t>Grade 9, U3 Writing</t>
  </si>
  <si>
    <t>Grade 9, U4 Writing</t>
  </si>
  <si>
    <t>Grade 9, U5 Writing</t>
  </si>
  <si>
    <t>Grade 9, U6 Writing</t>
  </si>
  <si>
    <t>Grade 9, U7 Writing</t>
  </si>
  <si>
    <t>Grade 9, U1 Research</t>
  </si>
  <si>
    <t>Grade 9, U2 Research</t>
  </si>
  <si>
    <t>Grade 9, U3 Research</t>
  </si>
  <si>
    <t>Grade 9, U4 Research</t>
  </si>
  <si>
    <t>Grade 9, U5 Research</t>
  </si>
  <si>
    <t>Grade 9, U6 Research</t>
  </si>
  <si>
    <t>Grade 9, U7 Research</t>
  </si>
  <si>
    <t>Grade 9 U1 S/L</t>
  </si>
  <si>
    <t>Grade 9 U2 S/L</t>
  </si>
  <si>
    <t>Grade 9 U3 S/L</t>
  </si>
  <si>
    <t>Grade 9 U4 S/L</t>
  </si>
  <si>
    <t>Grade 9 U5 S/L</t>
  </si>
  <si>
    <t>Grade 9 U6 S/L</t>
  </si>
  <si>
    <t>Grade 9 U7 S/L</t>
  </si>
  <si>
    <t>Grade 9 U1 Vocab</t>
  </si>
  <si>
    <t>Grade 9 U2 Vocab</t>
  </si>
  <si>
    <t>Grade 9 U3 Vocab</t>
  </si>
  <si>
    <t>Grade 9 U4 Vocab</t>
  </si>
  <si>
    <t>Grade 9 U5 Vocab</t>
  </si>
  <si>
    <t>Grade 9 U6 Vocab</t>
  </si>
  <si>
    <t>Grade 9 U7 Vocab</t>
  </si>
  <si>
    <t>Grade 9 U1 Grammar</t>
  </si>
  <si>
    <t>Grade 9 U2 Grammar</t>
  </si>
  <si>
    <t>Grade 9 U3Grammar</t>
  </si>
  <si>
    <t>Grade 9 U4 Grammar</t>
  </si>
  <si>
    <t>Grade 9 U5 Grammar</t>
  </si>
  <si>
    <t>Grade 9 U6 Grammar</t>
  </si>
  <si>
    <t>Grade 9 U7 Grammar</t>
  </si>
  <si>
    <t>Grade 10, U1 Reading</t>
  </si>
  <si>
    <t>Grade 10, U2 Reading</t>
  </si>
  <si>
    <t>Grade 10, U3 Reading</t>
  </si>
  <si>
    <t>Grade 10, U4 Reading</t>
  </si>
  <si>
    <t>Grade 10, U5 Reading</t>
  </si>
  <si>
    <t>Grade 10, U6 Reading</t>
  </si>
  <si>
    <t>Grade 10, U7 Reading</t>
  </si>
  <si>
    <t>Grade 10, U1 Writing</t>
  </si>
  <si>
    <t>Grade 10, U2 Writing</t>
  </si>
  <si>
    <t xml:space="preserve">Grade 10, U3 Writing </t>
  </si>
  <si>
    <t>Grade 10, U4 Writing</t>
  </si>
  <si>
    <t>Grade 10, U5 Writing</t>
  </si>
  <si>
    <t>Grade 10, U6 Writing</t>
  </si>
  <si>
    <t>Grade 10, U7 Writing</t>
  </si>
  <si>
    <t>Grade 10, U1 Research</t>
  </si>
  <si>
    <t>Grade 10, U2 Research</t>
  </si>
  <si>
    <t>Grade 10, U3 Research</t>
  </si>
  <si>
    <t>Grade 10, U4 Research</t>
  </si>
  <si>
    <t>Grade 10, U5 Research</t>
  </si>
  <si>
    <t>Grade 10, U6 Research</t>
  </si>
  <si>
    <t>Grade 10, U7 Research</t>
  </si>
  <si>
    <t>Grade 10 U1 S/L</t>
  </si>
  <si>
    <t>Grade 10 U2 S/L</t>
  </si>
  <si>
    <t>Grade 10 U 3S/L</t>
  </si>
  <si>
    <t>Grade 10 U4 S/L</t>
  </si>
  <si>
    <t>Grade 10 U5 S/L</t>
  </si>
  <si>
    <t>Grade 10 U6 S/L</t>
  </si>
  <si>
    <t>Grade 10 U7 S/L</t>
  </si>
  <si>
    <t>Grade 10 U1 Vocab</t>
  </si>
  <si>
    <t>Grade 10 U2 Vocab</t>
  </si>
  <si>
    <t>Grade 10 U3 Vocab</t>
  </si>
  <si>
    <t>Grade 10 U4 Vocab</t>
  </si>
  <si>
    <t>Grade 10 U5 Vocab</t>
  </si>
  <si>
    <t>Grade 10 U6 Vocab</t>
  </si>
  <si>
    <t>Grade 10 U7 Vocab</t>
  </si>
  <si>
    <t>Grade 10 U1 Grammar</t>
  </si>
  <si>
    <t>Grade 10 U2 Grammar</t>
  </si>
  <si>
    <t>Grade 10 U3 Grammar</t>
  </si>
  <si>
    <t>Grade 10 U4 Grammar</t>
  </si>
  <si>
    <t>Grade 10 U5 Grammar</t>
  </si>
  <si>
    <t>Grade 10 U6 Grammar</t>
  </si>
  <si>
    <t>Grade 10 U7 Grammar</t>
  </si>
  <si>
    <t>Grade 11, U1 Reading</t>
  </si>
  <si>
    <t>Grade 11, U2 Reading</t>
  </si>
  <si>
    <t>Grade 11, U3 Reading</t>
  </si>
  <si>
    <t>Grade 11, U4 Reading</t>
  </si>
  <si>
    <t>Grade 11, U5 Reading</t>
  </si>
  <si>
    <t>Grade 11, U6 Reading</t>
  </si>
  <si>
    <t>Grade 11, U7 Reading</t>
  </si>
  <si>
    <t>Grade 11, U1 Writing</t>
  </si>
  <si>
    <t>Grade 11, U2 Writing</t>
  </si>
  <si>
    <t>Grade 11, U3 Writing</t>
  </si>
  <si>
    <t>Grade 11, U4 Writing</t>
  </si>
  <si>
    <t>Grade 11, U5 Writing</t>
  </si>
  <si>
    <t>Grade 11, U6 Writing</t>
  </si>
  <si>
    <t>Grade 11, U7 Writing</t>
  </si>
  <si>
    <t>Grade 11, U1 Research</t>
  </si>
  <si>
    <t>Grade 11, U2 Research</t>
  </si>
  <si>
    <t>Grade 11, U3 Research</t>
  </si>
  <si>
    <t>Grade 11, U4 Research</t>
  </si>
  <si>
    <t>Grade 11, U5 Research</t>
  </si>
  <si>
    <t>Grade 11, U6 Research</t>
  </si>
  <si>
    <t>Grade 11, U7 Research</t>
  </si>
  <si>
    <t>Grade 11 U1 S/L</t>
  </si>
  <si>
    <t>Grade 11 U2 S/L</t>
  </si>
  <si>
    <t>Grade 11 U3 S/L</t>
  </si>
  <si>
    <t>Grade 11 U4 S/L</t>
  </si>
  <si>
    <t>Grade 11 U5 S/L</t>
  </si>
  <si>
    <t>Grade 11 U6 S/L</t>
  </si>
  <si>
    <t>Grade 11 U7 S/L</t>
  </si>
  <si>
    <t>Grade 11 U1 Vocab</t>
  </si>
  <si>
    <t>Grade 11 U2 Vocab</t>
  </si>
  <si>
    <t>Grade 11 U3 Vocab</t>
  </si>
  <si>
    <t>Grade 11 U4 Vocab</t>
  </si>
  <si>
    <t>Grade 11 U5 Vocab</t>
  </si>
  <si>
    <t>Grade 11 U6 Vocab</t>
  </si>
  <si>
    <t>Grade 11 U7 Vocab</t>
  </si>
  <si>
    <t>Grade 11 U1 Grammar</t>
  </si>
  <si>
    <t>Grade 11 U2 Grammar</t>
  </si>
  <si>
    <t>Grade 11 U3 Grammar</t>
  </si>
  <si>
    <t>Grade 11 U4 Grammar</t>
  </si>
  <si>
    <t>Grade 11 U5 Grammar</t>
  </si>
  <si>
    <t>Grade 11 U6 Grammar</t>
  </si>
  <si>
    <t>Grade 11 U7 Grammar</t>
  </si>
  <si>
    <t>Grade 12, U1 Reading</t>
  </si>
  <si>
    <t>Grade 12, U2 Reading</t>
  </si>
  <si>
    <t>Grade 12, U3 Reading</t>
  </si>
  <si>
    <t>Grade 12, U4 Reading</t>
  </si>
  <si>
    <t>Grade 12, U5 Reading</t>
  </si>
  <si>
    <t>Grade 12, U6 Reading</t>
  </si>
  <si>
    <t>Grade 12, U7 Reading</t>
  </si>
  <si>
    <t>Grade 12, U1 Writing</t>
  </si>
  <si>
    <t>Grade 12, U2 Writing</t>
  </si>
  <si>
    <t>Grade 12, U3 Writing</t>
  </si>
  <si>
    <t>Grade 12, U4 Writing</t>
  </si>
  <si>
    <t>Grade 12, U5 Writing</t>
  </si>
  <si>
    <t>Grade 12, U6 Writing</t>
  </si>
  <si>
    <t>Grade 12, U7 Writing</t>
  </si>
  <si>
    <t>Grade 12, U1 Research</t>
  </si>
  <si>
    <t>Grade 12, U2 Research</t>
  </si>
  <si>
    <t>Grade 12, U3 Research</t>
  </si>
  <si>
    <t>Grade 12, U4 Research</t>
  </si>
  <si>
    <t>Grade 12, U5 Research</t>
  </si>
  <si>
    <t>Grade 12, U6 Research</t>
  </si>
  <si>
    <t>Grade 12, U7 Research</t>
  </si>
  <si>
    <t>Grade 12 U1 S/L</t>
  </si>
  <si>
    <t>Grade 12 U2 S/L</t>
  </si>
  <si>
    <t>Grade 12 U3 S/L</t>
  </si>
  <si>
    <t>Grade 12 U4 S/L</t>
  </si>
  <si>
    <t>Grade 12 U5 S/L</t>
  </si>
  <si>
    <t>Grade 12 U6 S/L</t>
  </si>
  <si>
    <t>Grade 12 U7 S/L</t>
  </si>
  <si>
    <t>Grade 12 U1 Vocab</t>
  </si>
  <si>
    <t>Grade 12 U2 Vocab</t>
  </si>
  <si>
    <t>Grade 12 U3 Vocab</t>
  </si>
  <si>
    <t>Grade 12 U4 Vocab</t>
  </si>
  <si>
    <t>Grade 12 U5 Vocab</t>
  </si>
  <si>
    <t>Grade 12 U6 Vocab</t>
  </si>
  <si>
    <t>Grade 12 U7 Vocab</t>
  </si>
  <si>
    <t>Grade 12 U1 Grammar</t>
  </si>
  <si>
    <t>Grade 12 U2 Grammar</t>
  </si>
  <si>
    <t>Grade 12 U3 Grammar</t>
  </si>
  <si>
    <t>Grade 12 U4 Grammar</t>
  </si>
  <si>
    <t>Grade 12 U5 Grammar</t>
  </si>
  <si>
    <t>Grade 12 U6 Grammar</t>
  </si>
  <si>
    <t>Grade 12 U7 Grammar</t>
  </si>
  <si>
    <t>Curriculum and Instruction</t>
  </si>
  <si>
    <t>Practice and Feedback</t>
  </si>
  <si>
    <t xml:space="preserve">Assessment in Applied Reading, Writing, Speaking and Listening, and Brief End-of-lesson Quiz </t>
  </si>
  <si>
    <t>Assessment in Applied Reading, Writing, Speaking and Listening</t>
  </si>
  <si>
    <t>Assessment in Speaking and Listening, Applied Reading, Brief End of Module Quiz</t>
  </si>
  <si>
    <t>Common Core Standards</t>
  </si>
  <si>
    <t>Direct Instruction (Online)</t>
  </si>
  <si>
    <t>Key Academic Terms (Introduced in Digital Direct Instruction Lessons Led by Teachers and Reviewed by Students Prior to Individual Assessment)</t>
  </si>
  <si>
    <t>Build Your Vocabulary (CERCA) Words 
(Unit Conceptual Terms)</t>
  </si>
  <si>
    <t>Focus Words 
(From Reading Selection)</t>
  </si>
  <si>
    <t>Common Core Language Standards</t>
  </si>
  <si>
    <t>Grade 6, Unit 1</t>
  </si>
  <si>
    <t>CCSS_COLS = {</t>
  </si>
  <si>
    <t>Create a habit of recording Key Terms throughout the unit.</t>
  </si>
  <si>
    <t xml:space="preserve">Morphology, Synonym, Antonym, Prefix, Compound words, Claim, Evidence, Reasoning, Counterargument, Audience
Debatable, Precise, Supportable
Reason, Personal Narrative
Literary texts, Quotation
Imagery, Figurative language,
Subject nouns, Object nouns,
Basic plot elements.
Explicit, Inferred
Setting, Characters, Conflict
Double negative, Slang,
Author's message, Universal idea
Subject, Occasion, Purpose,
Real events, Imaginary topics,
Argumentation, Collaboration
Informal discussions, formal discussions
Sensory details, Action verbs
Narrative, Narration
Biography, Autobiography
</t>
  </si>
  <si>
    <t>conflict, misunderstanding, frustration, custom, ritual, independence, unfounded, hesitant, navigate, approval, expectations, self-esteem</t>
  </si>
  <si>
    <t>Alley, Coatroom, Emotional, Misunderstanding, Nonsense, Raggedy, Rattling, Tippy-tip, Appalling, Assimilation, Astonished, Grimaced, Rituals, Shabby, Tweed, Clunky, Confessed, Contraption, Hesitant, Navigate, Optometrist, Precision, Reminiscing, Supernatural, Unfounded, Accommodating, Ace, Bumbling, Chiseled, Corroding, Fractured, Futile, Gaping, Idolizes, Ignorant, Mimicking, Persisted, Relentlessly, Serene</t>
  </si>
  <si>
    <t>CCSS.L.6.4.d; CCSS.L.6.5.C; CCSS.L.6.4.A</t>
  </si>
  <si>
    <t>Grade 6, Unit 1, Module 1</t>
  </si>
  <si>
    <t>Understand how to map a word.</t>
  </si>
  <si>
    <t>Module 1: Word Parts (Morphemes) and Word Meaning</t>
  </si>
  <si>
    <t>Build Your Vocabulary: Map a Word
Best Practices: Word Toss and Definition</t>
  </si>
  <si>
    <t>CCSS.L.6.6</t>
  </si>
  <si>
    <t>Grade 6, Unit 1, Module 2</t>
  </si>
  <si>
    <t>Module 2: Word Relationships and Word Meaning</t>
  </si>
  <si>
    <t>Build Your Vocabulary: Map a Word
Best Practices: List, Group, Label</t>
  </si>
  <si>
    <t>CCSS.L.6.6; CCSS.L.6.5.B; CCSS.L.6.5.C</t>
  </si>
  <si>
    <t>Grade 6, Unit 1, Module 3</t>
  </si>
  <si>
    <t>Module 3: Word Meaning and Words in Context; Prefixes</t>
  </si>
  <si>
    <t>Build Your Vocabulary: Map a Word
Best Practices: Vocabulary Telephone</t>
  </si>
  <si>
    <t>CCSS.L.6.6; CCSS.L.6.4.B; CCSS.L.6.4.A</t>
  </si>
  <si>
    <t>Grade 6, Unit 1, Module 4</t>
  </si>
  <si>
    <t>Module 4: Word Analysis  and Word Meaning</t>
  </si>
  <si>
    <t>Build Your Vocabulary: Word Analysis
Best Practices: Vocabulary Memory Match</t>
  </si>
  <si>
    <t>Vocabulary</t>
  </si>
  <si>
    <t xml:space="preserve">Grade 6, Unit 2
</t>
  </si>
  <si>
    <t>Grade 6, Unit 2, Module 1</t>
  </si>
  <si>
    <t>Module 1: Word Characteristics and Vocabulary Application</t>
  </si>
  <si>
    <t>Build Your Vocabulary: Frayer Model
Best Practices: Vocabulary Hot Seat</t>
  </si>
  <si>
    <t>Debatable claim, Civic life
Introduction, Body, Conclusion,
Explicit, Implicit,
Hook,
Independent clause, Dependent Clause,
Evident, Relevant
Source, Quotation
Heading, Subheading
Reason, Reasoning,
Transition, Counterclaim
Formal, Informal
Issue, Claim, Rhetorical appeal
Logical, Not logical,
Sentence structure, Style, Logical reasoning
Persuade, Inform,
Biased, Unbiased,
Questioner, Recorder, Moderator, Evidence</t>
  </si>
  <si>
    <t xml:space="preserve">success, well-being, research, valuable, meaningful, appropriate        produce (noun), healthful, roadblock, introvert, extrovert, assess
</t>
  </si>
  <si>
    <t>Analyzed, Concentrate, Controlled, Engage, Exhausted, Function, Highlights, Occurrence, Potential, Agony, Alternative, Assess, Burden, Contentious, Counterproductive, Debate, Districts, Domain, Equity, Implemented, Intersect, Bounty, Coaxing, Cultivating, Disparity, Fare, Inception, Intake, Meld, Thriving, Urban, Anecdote, Biases, Capacity, Compassion, Correlation, Disadvantage, Dominate, Emphasizes, Engagement, Flustered, Fosters, Gregarious, Influence</t>
  </si>
  <si>
    <t>CCSS.L.6.6; CCSS.L.6.4.B; CCSS.SL.6.1</t>
  </si>
  <si>
    <t>Grade 6, Unit 2, Module 2</t>
  </si>
  <si>
    <t>Module 2: Words in Context and Word Meaning</t>
  </si>
  <si>
    <t>Build Your Vocabulary: Frayer Model
Best Practices: Vocabulary Bingo</t>
  </si>
  <si>
    <t>CCSS.L.6.6; CCSS.L.6.4.A; CCSS.SL.6.1</t>
  </si>
  <si>
    <t>Grade 6, Unit 2, Module 3</t>
  </si>
  <si>
    <t>Module 3: Word Meaning and Word Connections</t>
  </si>
  <si>
    <t>Build Your Vocabulary: Map a Word
Best Practices: Link It</t>
  </si>
  <si>
    <t>CCSS.L.6.6; CCSS.L.6.4.B; CCSS.L.6.5.B</t>
  </si>
  <si>
    <t>Grade 6, Unit 2, Module 4</t>
  </si>
  <si>
    <t>Module 4: Word Relationships (Antonyms) and Word Application</t>
  </si>
  <si>
    <t>Build Your Vocabulary: Map a Word
Best Practices: Storytelling with Vocabulary</t>
  </si>
  <si>
    <t>CCSS.L.6.4.d; CCSS.L.6.5.B; CCSS.L.6.4.A; CCSS.L.6.6</t>
  </si>
  <si>
    <t xml:space="preserve">Grade 6, Unit 3
</t>
  </si>
  <si>
    <t>Grade 6, Unit 3, Module 1</t>
  </si>
  <si>
    <t>Module 1: Word Analysis and Word Meaning</t>
  </si>
  <si>
    <t>Build Your Vocabulary: Map a Word
Best Practices: Quiz-Quiz-Trade</t>
  </si>
  <si>
    <t xml:space="preserve">Narrative, Fiction, Non-fiction,
Theme, Observation, Inferred
Knead, Vain, Vein
Round, Flat, Dynamic, Static
Character
Dialogue, Punctuate
Elements, Character setting, Plot
Setting,
Phrases, Transition words,
Point of View, Omniscient,
Irony, Suspense,
Figurative, Similes, Metaphors,
Imagery, Structure,
Argumentation, Collaboration, Debate,
Fictional, Imagination, Exposition, Resolution,
Sensory language
Explicit, Implicit
</t>
  </si>
  <si>
    <t>empower, perspective, impact, disappointment, inspire, supportive, cultural, heritage, cherish, realistic, historical, wisdom</t>
  </si>
  <si>
    <t xml:space="preserve">Affectionate, Chaotic, Convoluted, Declare, Ethnicity, Exotic, Forbade, Immigrants, Inevitably, Ironically, Merge, Nuclear Family, Peasant, Pitied, Ushered, Vaguely, Air Ball, Backboards, Baseline, Curtailed, Doorjamb, Dribbling, Foul line, Layups, Lettering, NBA, Paralyzed, Predicament, Retired, Rim Shots, Tip-off, Traveling, Article, Authentic, Bolo Tie, Butte Top, Moccasins, Procession, Reluctantly, Rosebud Reservation, Roused, Sheepishly, Sioux, Tar-paper Shack, Teton Sioux, Thong, Wearily, Abbot, Aghast, Amnesty, Blanched, Chamber pots, Consequence, Junks, Lychees, Peevishly, Sampans, Sedan chairs, Shrine, Tried to spoil, Typhoon, Voluminous, Well-born  </t>
  </si>
  <si>
    <t>CCSS.L.6.6; CCSS.L.6.4.B; CCSS.L.6.5.B; CCSS.SL.6.1</t>
  </si>
  <si>
    <t>Grade 6, Unit 3, Module 2</t>
  </si>
  <si>
    <t>Module 2: Word Analysis (Shades of Meaning) and Word Meaning</t>
  </si>
  <si>
    <t>Build Your Vocabulary: Map a Word
Best Practices: Vocabulary Memory Match</t>
  </si>
  <si>
    <t>Grade 6, Unit 3, Module 3</t>
  </si>
  <si>
    <t>Module 3: Word Analysis (Compare and Contrast) and Word Relationships</t>
  </si>
  <si>
    <t>Build Your Vocabulary: Map a Word
Best Practices: Word Sort</t>
  </si>
  <si>
    <t>CCSS.L.6.6; CCSS.L.6.5.B; CCSS.L.6.4.A; CCSS.SL.6.1</t>
  </si>
  <si>
    <t>Grade 6, Unit 3, Module 4</t>
  </si>
  <si>
    <t xml:space="preserve">Module 4: Word Analysis; Word Meaning; Word Connections </t>
  </si>
  <si>
    <t>Build Your Vocabulary: Word Analysis
Best Practices: Visual Vocabulary
Write to Impress: Understanding Figurative Language</t>
  </si>
  <si>
    <t xml:space="preserve">CCSS.L.6.4.d; CCSS.L.6.4.A; CCSS.L.6.4.B; CCSS.L.6.6; CCSS.SL.6.1; CCSS.L.6.5.a </t>
  </si>
  <si>
    <t xml:space="preserve">Grade 6, Unit 4
</t>
  </si>
  <si>
    <t>Grade 6, Unit 4, Module 1</t>
  </si>
  <si>
    <t>Module 1: Word Concepts and Word Meaning (Root Words)</t>
  </si>
  <si>
    <t>Roots and Affixes
Determining the Meanings of Words and Phrases</t>
  </si>
  <si>
    <t>Build Your Vocabulary: Concept Map
Best Practices: Root Word Challenge
Write to Impress: Use Greek and Latin Roots and Affixes</t>
  </si>
  <si>
    <t>Research writing, Thesis, Synthesize
Denotation, Connotation, Context
Base words, Affixes, Word roots
Text structure, Similarities, Differences,
Syllabication, Thesaurus,
Point of view, Counterclaim,
Paraphrase, Summary,
Evidence
Compare, Contrast
Research question, Primary source, Secondary source,
Synthesizing, Panel discussion, Moderator, Audience, Format,
Subtopic, Writing process,
Citing, Plagiarism</t>
  </si>
  <si>
    <t>waste, landfill, prevalent, food insecurity, harvest, equity, compost, implement, initiatives, hydroponic, vertical</t>
  </si>
  <si>
    <t>Adapted, Appealing, Barrier, Consume, Deactivated, Decompose, Deteriorate, Extend, Infused, Modified, Moisture, Opaque, Prevalent, Resources, Sustainable, Asset, Contributions, Distribute, Equity, Initiative, Launch, Nourish, Pandemic, Repurposed, Sustain, Audits, Aware, Coordinate, Depleted, Divert, Effective, Establish, Expense, Initiatives, Landfills, Ongoing, Personnel, Reduce, Restores, Vitality, Centuries, Chambers, Circulates, Cluster, Coined, Contamination, Flourish, Investment, Lush, Searing</t>
  </si>
  <si>
    <t>CCSS.L.6.6; CCSS.L.6.4.B; CCSS.L.6.4.A; CCSS.SL.6.1
CCSS.L.6.4.b; CCSS.L.6.4; CCSS.W.6.5; CCSS.L.6.4.d</t>
  </si>
  <si>
    <t>Grade 6, Unit 4, Module 2</t>
  </si>
  <si>
    <t>Module 2: Word Analysis and Words in Context</t>
  </si>
  <si>
    <t>Using Reference Materials</t>
  </si>
  <si>
    <t>Build Your Vocabulary: Word Study
Best Practices: Vocabulary Role Playing
Write to Impress: Consult Reference Materials</t>
  </si>
  <si>
    <t>Grade 6, Unit 4, Module 3</t>
  </si>
  <si>
    <t>Module 3: Word Concepts and Word Meaning (Root Words)</t>
  </si>
  <si>
    <t>Build Your Vocabulary: Concept Map
Best Practices: Dig Into Root Words
Write to Impress: Verify a Definition</t>
  </si>
  <si>
    <t>CCSS.L.6.6; CCSS.L.6.5.B; CCSS.SL.6.1</t>
  </si>
  <si>
    <t>Grade 6, Unit 4, Module 4</t>
  </si>
  <si>
    <t>Module 4: Word Analysis and Word Meaning</t>
  </si>
  <si>
    <t>Build Your Vocabulary: Word Study 
Best Practices: Silly Sentences</t>
  </si>
  <si>
    <t xml:space="preserve">Grade 6, Unit 5
</t>
  </si>
  <si>
    <t>Grade 6, Unit 5, Module 1</t>
  </si>
  <si>
    <t>Module 1: Word Meaning (Context Clues) and Words in Contexts</t>
  </si>
  <si>
    <t>Build Your Vocabulary: Map a Word
Best Practices: Contextual Reading</t>
  </si>
  <si>
    <t>Cause, Effect,
Setting, Impact, Influence,
Informative writing, Hook, Topic,
Declarative, Interrogative, Imperative, Exclamatory,
Narrator, Point-of-view, Observer, Explanatory writing,
Connotation, Denotation
Conflict, Internal, External,
Transition, Coherence
Precise, Ambiguous, Domain-specific
Multimedia, Medium
Context, Engagement, Empathy
Perform, Stage direction,
Evidence, Explanation
Conclusion, Thesis, Closure</t>
  </si>
  <si>
    <t xml:space="preserve">suspense, operators, tension, humor, miscommunication, hysterical        </t>
  </si>
  <si>
    <t>Bridles, Efficient, Explicitly, Frantically, Imperious, Neurotic, Overcome, Querulous, Unobtrusively, Unspeakably, Distinctly, Dreadfully, Exasperation, Fretfully, Nastily, Phony, Squirms, Stolidly, Tension, Unnerved, Catechizing, Frenzied, Fretful, Imperious, Infuses, Lethargic, Neurotic, Scarce, Stark, Storming</t>
  </si>
  <si>
    <t>CCSS.L.6.6; CCSS.L.6.4.A; CCSS.L.6.4.B; CCSS.RI.6.4</t>
  </si>
  <si>
    <t>Grade 6, Unit 5, Module 2</t>
  </si>
  <si>
    <t>Module 2: Word Meaning and Words in Contexts</t>
  </si>
  <si>
    <t>Connotation and Denotation</t>
  </si>
  <si>
    <t>Build Your Vocabulary: Map a Word
Best Practices: Storytelling with Vocabulary
Write to Impress: Distinguish Between Connotation and Denotation</t>
  </si>
  <si>
    <t>Grade 6, Unit 5, Module 3</t>
  </si>
  <si>
    <t xml:space="preserve">Module 3: Word Meaning (Synonyms, Antonyms, and Roots) </t>
  </si>
  <si>
    <t xml:space="preserve">Build Your Vocabulary: Map a Word
Best Practices: Vocabulary Hot Seat
</t>
  </si>
  <si>
    <t>Grade 6, Unit 6</t>
  </si>
  <si>
    <t>Grade 6, Unit 6, Module 1</t>
  </si>
  <si>
    <t>Module 1: Word Meaning and Word Relationships</t>
  </si>
  <si>
    <t>Context Clues</t>
  </si>
  <si>
    <t>Build Your Vocabulary: Map a Word
Best Practices: Word Sort
Write to Impress: Use Context Clues for Meaning</t>
  </si>
  <si>
    <t>Personal statement, Anecdote, Insights, 
Interaction, Analogies, Categorization, 
Context, Cause, Effect, 
Purpose, Emphasis, Interpretation, 
Linear, Non-linear, Flashback, Flash-forward, Repetition
Synonym, Antonym, Analogy,
Imagery, Mood,
Anecdotes,
Personal Connection, Article, Image,
Evidence, Reasoning,
Audience,
Skill, Experience, Talent</t>
  </si>
  <si>
    <t>extracurricular activities, prefrontal cortex, neuroscience, growth mindset</t>
  </si>
  <si>
    <t>Blitzing, Cast, Chess master, Colt, Elite, Fortunate, Galloping, Hardwired, Mammals, Miraculous, Molded, Neurons, Comprise, Data, Ensure, Forge, Function, Insulates, Integral, Probe, Steadily, Triggers, Adapted, Analyzes, Cognitive, Complex, Consume, Decoding, Empathy, Etched, Intricate, Perspective, Reeds, Regulating, Tolerant, Unconsciously, Anecdotes, Axons, Embrace, Improve, Mindset, Neurons, Permanent, Psychology, Tackle, Transmits</t>
  </si>
  <si>
    <t>CCSS.L.6.5; CCSS.L.6.5.B; CCSS.SL.6.1</t>
  </si>
  <si>
    <t>Grade 6, Unit 6, Module 2</t>
  </si>
  <si>
    <t>Module 2: Word Meaning and Word Analysis (Shades of Meaning)</t>
  </si>
  <si>
    <t>Build Your Vocabulary: Map a Word
Best Practices: Shades of Meaning</t>
  </si>
  <si>
    <t>CCSS.L.6.5; CCSS.L.6.5.B; CCSS.L.6.4.B</t>
  </si>
  <si>
    <t>Grade 6, Unit 6, Module 3</t>
  </si>
  <si>
    <t>Module 3: Word Analysis and Word Meaning</t>
  </si>
  <si>
    <t>Understanding Relationships Captured in Words</t>
  </si>
  <si>
    <t>Build Your Vocabulary: Explore a Word
Best Practices: Vocabulary Bingo
Write to Impress: Understand Relationships Between Words</t>
  </si>
  <si>
    <t>CCSS.L.6.5; CCSS.L.6.4.A; CCSS.L.6.4.B; CCSS.RI.6.4</t>
  </si>
  <si>
    <t>Grade 6, Unit 6, Module 4</t>
  </si>
  <si>
    <t>Build Your Vocabulary: Explore a Word
Best Practices: Quiz-Quiz-Trade</t>
  </si>
  <si>
    <t xml:space="preserve">Grade 6, Unit 7
</t>
  </si>
  <si>
    <t>Grade 6, Unit 7, Module 1</t>
  </si>
  <si>
    <t>Module 1: Word Meaning (Context Clues) and Word Relationships</t>
  </si>
  <si>
    <t>Build Your Vocabulary: Map a Word
Best Practices: Using Conjunctions to Compare and Contrast</t>
  </si>
  <si>
    <t xml:space="preserve">Fiction, Non-fiction, Realistic, Historical,  Dystopian,
Characteristics, Settings, Plot,
Objective language, Literary analysis, Paraphrasing,
Myth, Theme, Symbols, Characters
Fairytale, Oral tradition, Protagonist,
Genres, Themes, Compare, Contrast,
Setting,
Form, structure, Rhythm, Meter, Inspiration,
Argumentation, Claim, Reasons, Benefits,
Writing analysis,
Persuasive, Informational text
</t>
  </si>
  <si>
    <t xml:space="preserve">peril, renown, foreboding, vainly, contempt, scornfully, wretchedly, boon, dolefully, wreckage, mischief, indulge
</t>
  </si>
  <si>
    <t xml:space="preserve">Abode, Bearing, Entreaties, Foreboding, Lithe, Perils, Perish, Procured, Prophecy, Renown, Befell, Contempt, Flung, Immortal, Intently, Pined, Scornfully, Unrequited, Vainly, Vanity, Darted, Dreadfully, Enchanted, Fateful, Gloomy, Muttered, Residing, Sorrowful, Tumultuous, Uneasy, Cruelty, Ferocious, Glistening, Indulged, Lure, Mischief, Radiant, Rash, Retched, Ripened, Rustling, Scolded, Shudder, Uneasy, Unfurled, Unsteadily, Whim, Woeful
</t>
  </si>
  <si>
    <t>Grade 6, Unit 7, Module 2</t>
  </si>
  <si>
    <t xml:space="preserve">Model 2: Word Meaning (Etymology) </t>
  </si>
  <si>
    <t>Build Your Vocabulary: Map a Word
Best Practices: Vocabulary Timeline</t>
  </si>
  <si>
    <t>CCSS.L.6.6; CCSS.L.6.5.B; CCSS.L.6.4.A</t>
  </si>
  <si>
    <t>Grade 6, Unit 7, Module 3</t>
  </si>
  <si>
    <t xml:space="preserve">Module 3: Word Analysis (Root Words) </t>
  </si>
  <si>
    <t>Learning and Applying Academic Vocabulary</t>
  </si>
  <si>
    <t>Build Your Vocabulary: Map a Word
Best Practices: Gallery Walk
Write to Impress: Build Academic Vocabulary</t>
  </si>
  <si>
    <t>Grade 6, Unit 7, Module 4</t>
  </si>
  <si>
    <t xml:space="preserve">Module 4: Word Analysis </t>
  </si>
  <si>
    <t>Build Your Vocabulary: Word Analysis
Best Practices: Gallery Walk</t>
  </si>
  <si>
    <t>CCSS.L.6.4.d; CCSS.L.6.4.B; CCSS.L.6.4.A</t>
  </si>
  <si>
    <t xml:space="preserve">Grade 7, Unit 1
</t>
  </si>
  <si>
    <t>Grade 7, Unit 1, Module 1</t>
  </si>
  <si>
    <t>Module 1: Word Parts and Word Meaning</t>
  </si>
  <si>
    <t>Claim, Evidence, Reasoning, Counterargument, Audience, Debatable, Precise, Supportable, Reason, Personal Narrative, complex questions, background knowledge, declarative sentence, interrogative sentence, imperative, exclamatory, authors message, preposition, modifier, appositive, exposition, rising action, falling action, denotation, inference, connotation, tone, imagery and figurative language, imagery and mood, narrative writing, speaker, occasion, purpose, subject, nonfiction, fiction, argumentation, collaboration, questioner, recorder, moderator, personal, imagery, narrator, perspective, historical text, biography, autobiography, historical fiction, science fiction</t>
  </si>
  <si>
    <t xml:space="preserve">adolescent, self-conscious, reinvent, acceptance, clique, popularity, memoir, verse, tone, compatible, coexist, defiant
</t>
  </si>
  <si>
    <t>Anxious, Bluff, Bustled, Ferocity, Insight, Lingered, Pleaded, Propelled, Quiver, Scowl, Sheepishly, Shuffled, Snooping, Waddled, Colleagues, Coveted, Disclaimer, Ebbing, Independent, Melancholy, Objective, Obsession, Pursuit, Quest, Virtuous, Anonymous, Baffled, Bogus, Characteristics, Contained, Inheritance, Ironic, Liberties, Measly, Phases, Postpone, Profusely, Reassuring, Reciting, Vague, Amulet, Averted, Berated, Coexist, Confided, Incessantly, Insubordinate, Kinship, Mournful, Trudged</t>
  </si>
  <si>
    <t>CCSS.L.7.6; CCSS.L.7.1; CCSS.L.7.4.B</t>
  </si>
  <si>
    <t>Grade 7, Unit 1, Module 2</t>
  </si>
  <si>
    <t>CCSS.L.7.6; CCSS.L.7.1; CCSS.L.7.5.B; CCSS.L.7.5.C</t>
  </si>
  <si>
    <t>Grade 7, Unit 1, Module 3</t>
  </si>
  <si>
    <t>Module 3: Word Meaning and Words in Contexts</t>
  </si>
  <si>
    <t>Determining the Meanings of Words and Phrases in Literary Texts</t>
  </si>
  <si>
    <t>CCSS.L.7.6; CCSS.L.7.1; CCSS.L.7.4.B; CCSS.L.7.5.B</t>
  </si>
  <si>
    <t>Grade 7, Unit 1, Module 4</t>
  </si>
  <si>
    <t>CCSS.L.7.4.d; CCSS.L.7.1; CCSS.L.7.4.A; CCSS.L.7.4.B; CCSS.RI.7.4</t>
  </si>
  <si>
    <t xml:space="preserve">Grade 7, Unit 2
</t>
  </si>
  <si>
    <t>Grade 7, Unit 2, Module 1</t>
  </si>
  <si>
    <t xml:space="preserve">claim, reasons, evidence, reason, reasoning, central idea, inference, topic and hook, revision, rearranging, reorganization, facts, quotations, quoting, paraphrasing, informational texts, headings, subheadings, transition words, transitions, counterclaims, formal, informal, rhetorical, logos, counter argument, respectful, not respectful, unbiased, biased, questioner, recorder, moderator, sequence, cohesion, transitions, </t>
  </si>
  <si>
    <t xml:space="preserve">utilize, distracting, innovation, barrier, accessible, logistical, sync, smart technology, sensor, revenue, subsidize, transit </t>
  </si>
  <si>
    <t xml:space="preserve">Audible, Collisions, Dismal, Emphasized, Exhilarating, Extend, Feasible, Friction, Hazards, Intersections, Maintenance, Muted, Perils, Refocus, Undoubtedly, Visibility, Accessible, Authority, Barriers, Commuters, Disproportionately, Interim, Leverage, Mandatory, Precarious, Residential, Rural, Subsidize, Trudge, Alternate, Autonomous, Emerging, Ensure, Equipped, Infographic, Infrastructure, Intersection, Renovations, Self-driving Technology, Sensors, Smart Cars,  Acute, Burden, Campaigner, Commuters, Deemed, Equitable, Fares, Inflation, Means, Pedestrians, Racial equity, Rationalize, Revenue, Subsidizing, </t>
  </si>
  <si>
    <t>Grade 7, Unit 2, Module 2</t>
  </si>
  <si>
    <t>Module 2: Word Characteristics and Word Meaning</t>
  </si>
  <si>
    <t>CCSS.L.7.6; CCSS.L.7.1; CCSS.L.7.4.A</t>
  </si>
  <si>
    <t>Grade 7, Unit 2, Module 3</t>
  </si>
  <si>
    <t>Grade 7, Unit 2, Module 4</t>
  </si>
  <si>
    <t>Module 4: Word Relationships and Word Application</t>
  </si>
  <si>
    <t>CCSS.L.7.4.d; CCSS.L.7.1; CCSS.L.7.4.B; CCSS.L.7.5.B</t>
  </si>
  <si>
    <t xml:space="preserve">Grade 7, Unit 3
</t>
  </si>
  <si>
    <t>Grade 7, Unit 3, Module 1</t>
  </si>
  <si>
    <t>Module 1: Word Relationships and Word Meaning</t>
  </si>
  <si>
    <t>Narrative, Theme, Inferred, Vowel, Consonant, Setting, Transition, Characterization, Direct, Indirect, Characters, Dialogue, Punctuate, Character, Plot, Figurative, Similes, Metaphors, Transitions, Point of view, Narrator, Irony, Suspense, Structure, Fiction, Non-fiction, Argumentation, Collaborate, Debate, fictional, imagination, conflict, resolution, Figure of speech, Precise, Explicit, Implicit</t>
  </si>
  <si>
    <t>utopia, dystopia, consequence, antagonist, protagonist, conviction, self-discovery, futuristic, heritage, consciousness, imploring, stationary</t>
  </si>
  <si>
    <t xml:space="preserve">Apparatus, Avalanche, Edged, Glances, Immense, Midst, Muffled, Repercussions, Resilient, Savagely, Savored, Seized, Solemn, Surged, Tremor, Tumultuously, Vital, Wailed, Amendments, Bandits, Burdened, Calibrated, Capered, Hindrances, Luminous, Neutralizing, Palpable, Protagonist, Synchronizing, Unceasing, Vague, Vigilance, Adeptly, Animated, Artfully, Bear, Catalogue, Collapsed, Contempt, Conversed, Creases, Departed, Desperation, Exaggerated, Feline, Graceless, Intellectually, Intertwining, Magnified, Menagerie, Merchant, Navigating, Strategically, Wallow, Whimpered, Winced, Alight, Anguished, Beatific, Caverns, Chambers chasm, Consciousness, Disorienting, Expanse, Imploring, Lanky, Leverage, Limbo, Precariously, Quiver, Sedative, Stationary, Stoic, Virtues, Wrest
</t>
  </si>
  <si>
    <t>Grade 7, Unit 3, Module 2</t>
  </si>
  <si>
    <t>Module 2: Word Analysis (Prefixes) and Word Meaning</t>
  </si>
  <si>
    <t>CCSS.L.7.6; CCSS.L.7.1; CCSS.L.7.4.B; CCSS.L.7.4.A</t>
  </si>
  <si>
    <t>Grade 7, Unit 3, Module 3</t>
  </si>
  <si>
    <t>Module 3: Word Analysis and Word Relationships</t>
  </si>
  <si>
    <t>Build Your Vocabulary: Map a Word
Best Practices: Word Sort
Write to Impress: Understanding Figurative Language</t>
  </si>
  <si>
    <t>CCSS.L.7.6; CCSS.L.7.1; CCSS.L.7.4.A; CA.L.7.5.a</t>
  </si>
  <si>
    <t>Grade 7, Unit 3, Module 4</t>
  </si>
  <si>
    <t>Build Your Vocabulary: Map a Word
Best Practices: Visual Vocabulary</t>
  </si>
  <si>
    <t>CCSS.L.7.4.d; CCSS.L.7.1; CCSS.L.7.4.B; CCSS.L.7.6</t>
  </si>
  <si>
    <t xml:space="preserve">Grade 7, Unit 4
</t>
  </si>
  <si>
    <t>Grade 7, Unit 4, Module 1</t>
  </si>
  <si>
    <t>Roots and Affixes
Determining the Meanings of Words and Phrases</t>
  </si>
  <si>
    <t>Thesis, Synthesize, Organize, Denotation, Connotation, Context, Base words, Affixes, Root, Similarities,  Differences, Sequential-order, Reference materials, Glossary, Point of view, Claim, Counterclaim, Reasons, Summary, Central idea, Paraphrase, Evidence, Reasoning, Compare, Contrast, Conflicting, Topic, Primary source, Secondary source, Audience, Moderator, Citing a source, Plagiarism</t>
  </si>
  <si>
    <t>zero-waste, single-use plastics, disposable, pollution, biodegradables, microplastics, contaminated, compost, alternatives</t>
  </si>
  <si>
    <t>Allotment, Compostable, Contaminated, Derived, Glinting, Harsh, Hormone, Ingesting, Organic, Projected, Ramping, Renewable        Activists, Biodegradable, Carbonated, Constituent, Consumerism, Consumers, Convenience, Disposable, Evolution, Recovery, Regulators, Sustainable, Ubiquitous, Vigorously, Anthropogenic, Carcasses, Ceaseless, Climate change, Contaminated, Degraded, Excavated, Implications, Infiltrating, Interfere with, Manipulated, Phytoplankton, Scavengers        Alternatives, Biodegradable, Chemical engineer, Components, Compost, Conventional, Groundwater aquifers, Industrial, Microbes, Microplastics, Waterborne</t>
  </si>
  <si>
    <t>CCSS.L.7.6; CCSS.L.7.1; CCSS.L.7.4.B; CCSS.L.7.5.B; CCSS.L.7.4</t>
  </si>
  <si>
    <t>Grade 7, Unit 4, Module 2</t>
  </si>
  <si>
    <t>Grade 7, Unit 4, Module 3</t>
  </si>
  <si>
    <t>Grade 7, Unit 4, Module 4</t>
  </si>
  <si>
    <t>CCSS.L.7.4.d; CCSS.L.7.1; CCSS.L.7.4.A</t>
  </si>
  <si>
    <t xml:space="preserve">Grade 7, Unit 5
</t>
  </si>
  <si>
    <t>Grade 7, Unit 5, Module 1</t>
  </si>
  <si>
    <t>Build Your Vocabulary: Map a Word
Best Practices: Contextual Reading
Write to Impress: Use Context Clues for Meaning</t>
  </si>
  <si>
    <t>Cause, Effect, Conflict, Internal, External, Informative, Topic, Purpose, Structure, Context, Compare, Contrast, Variations, Double negative, Drama, Act, Scene, Theme, Setting, Synonym, Antonym, Analogy, Informative, Explanatory, Early Modern English, Punctuation, Spelling, Phrasing, Transition, Cohesive, Coherent, narrator, point of view, first-person, third person, precise, ambiguous, domain-specific, tension, resolution, media, medium, multimedia, imagination, engagement, stage direction, drama, feedback, thesis, hook, main idea, main topic, closure, impact</t>
  </si>
  <si>
    <t>conflict, resolution, device, deception, deescalate, mock, diffuse, irony, soliloquy, epilogue</t>
  </si>
  <si>
    <t>Abjure, Avouch, Bated, Beguiled, Belike, Betrothed, Collied, Con, Conceits, Condole, Conflict, Feigning, Gallant, Perjured, Sovereignty        Adamant, Adultery, Anoints, Beguile, Churl, Deception, Devices, Forsworn, Glass, Impeach, Privilege, Progeny, Abate, Advance, Asunder, Bewilderment, Conspired, Escalate, Incorporate, Obscured, Amiable, Amity, Bayed, Chiding, Compass, Concord, Coy, Discharge, Dote, Dramatic irony, Exposition, Grace, Loath, Marred, Neaf, Abridgment, Ace, Apprehend, Beguile, Beshrew, Board, Bumble, Chink, Compact, Confound, Die, Dole, Dumbly, Fordone, Interject</t>
  </si>
  <si>
    <t>CCSS.L.7.6; CCSS.L.7.1; CCSS.L.7.4.A; CCSS.L.7.4.B; CCSS.RI.7.4</t>
  </si>
  <si>
    <t>Grade 7, Unit 5, Module 2</t>
  </si>
  <si>
    <t>Build Your Vocabulary: Map a Word
Best Practices: Storytelling with Vocabulary
Write to Impress: Understand Relationships  Between Words</t>
  </si>
  <si>
    <t>Grade 7, Unit 5, Module 3</t>
  </si>
  <si>
    <t>Understanding Shakespearean Language</t>
  </si>
  <si>
    <t>Grade 7, Unit 5, Module 4</t>
  </si>
  <si>
    <t>Module 4: Word Analysis (Connotation) and Word Meaning</t>
  </si>
  <si>
    <t>Build Your Vocabulary: Word Analysis
Best Practices: Vocabulary Charades</t>
  </si>
  <si>
    <t>CCSS.L.7.6; CCSS.L.7.1; CCSS.L.7.4.A; CCSS.L.7.4.B</t>
  </si>
  <si>
    <t>Grade 7, Unit 5, Module 5</t>
  </si>
  <si>
    <t>Module 5: Word Analysis and Word Meaning</t>
  </si>
  <si>
    <t>Build Your Vocabulary: Word Analysis 
Best Practices: Word Toss and Definition</t>
  </si>
  <si>
    <t>CCSS.L.7.6</t>
  </si>
  <si>
    <t xml:space="preserve">Grade 7, Unit 6
</t>
  </si>
  <si>
    <t>Grade 7, Unit 6, Module 1</t>
  </si>
  <si>
    <t>personal statement, anecdote, insight, formal, interaction, analogy, categorization, linear, non-linear, flashback, flash-forward, independent clause, elements, events, ideas, analogies, quotations, setting, characters, conflict, connotation, denotation, purpose, interpretation, arrangement, suspense, irony, purpose, understanding, emphasis, biography, genre, image, reasoning, evidence, context, skills, experiences, talents, hook and antidote</t>
  </si>
  <si>
    <t xml:space="preserve">career path, metaverse, post-secondary options, introvert, extrovert </t>
  </si>
  <si>
    <t>Career, Clients, Consultant, Courageous, Fulfilling, Ordinary, Overwhelmed, Rejected, Accelerating, Adaptability, Adoption,  Advantage, Advocate, Career, Collaborate, Diverse, Embraced, Perspectives, Repetitive, Soar, Unknowable, Affordable, Aid, Associate, Budget, Commitment, Cons, Elective, Environment, Experiential, Financial, Institution, Pros, Pursue, Abstract, Acquaintances, Altruism, Assertiveness, Attributes, Belittles, Contemporary, Continuum, Conversely, Dimensions, Empathy, Impulse, Insight, Instability, Intrigue, Procrastinate, Prosocial, Resilient, Traits</t>
  </si>
  <si>
    <t>CCSS.L.7.5; CCSS.L.7.1; CCSS.L.7.5.B</t>
  </si>
  <si>
    <t>Grade 7, Unit 6, Module 2</t>
  </si>
  <si>
    <t>Module 2: Word Meaning; Word Parts (Morphemes) and Word Analysis (Shades of Meaning)</t>
  </si>
  <si>
    <t>Build Your Vocabulary: Map a Word
Best Practices: Shades of Meaning
Write to Impress: Distinguish Between Connotation and Denotation</t>
  </si>
  <si>
    <t>CCSS.L.7.5; CCSS.L.7.1; CCSS.L.7.5.B; CCSS.L.7.4.B</t>
  </si>
  <si>
    <t>Grade 7, Unit 6, Module 3</t>
  </si>
  <si>
    <t xml:space="preserve">Build Your Vocabulary: Explore a Word
Best Practices: Vocabulary Bingo
</t>
  </si>
  <si>
    <t>CCSS.L.7.5; CCSS.L.7.1; CCSS.L.7.4.A; CCSS.L.7.4.B; CCSS.RI.7.4</t>
  </si>
  <si>
    <t>Grade 7, Unit 6, Module 4</t>
  </si>
  <si>
    <t>CCSS.L.7.5; CCSS.L.7.1; CCSS.L.7.5.B; CCSS.L.7.4.A</t>
  </si>
  <si>
    <t xml:space="preserve">Grade 7, Unit 7
</t>
  </si>
  <si>
    <t>Grade 7, Unit 7, Module 1</t>
  </si>
  <si>
    <t>Build Your Vocabulary: Map a Word
Best Practices: Using Conjunctions to Compare and Contrast
Write to Impress: Build Academic Vocabulary</t>
  </si>
  <si>
    <t>fiction, non fiction, characters, setting, plots , literary analysis, realistic, conflict, choices, immerse,  central idea, objective language, plot, sequence, conflict, genre,  compare, contrast, theme, tension, drama, suspense, form structure rhythm, meter, argumentation, debate, collaboration, setting, plot, language, style</t>
  </si>
  <si>
    <t>venture, expedition, environment, aviator, tenacity, resilience, civil wars, refugee, immigrated</t>
  </si>
  <si>
    <t>Amid, Apprehensions, Array, Ascent, Brawler, Ceased, Churning, Deadpan, Delusional, Descent, Disembarking, Extremity, Felled, Fictionalized, Gritty, Hauled        Acute, Aerial, Anomaly, Archival, Ascended, Awe, Billowing, Colleagues, Commemorate, Descent, Deterred, Exploits, Fathom, Fleeting, Formidable, Humbled, Impale, Inherent        Abruptly, Aside, Bewildering, Compelling, Contaminated, Excruciatingly, Facilitators, Frantic, Grief, Haze, Immigrated, Notion, Radiators, Refuge, Riddled, Venture</t>
  </si>
  <si>
    <t>Grade 7, Unit 7, Module 2</t>
  </si>
  <si>
    <t>CCSS.L.7.6; CCSS.L.7.1; CCSS.L.7.5.B; CCSS.L.7.4.A</t>
  </si>
  <si>
    <t>Grade 7, Unit 7, Module 3</t>
  </si>
  <si>
    <t xml:space="preserve">Grade 8, Unit 1
</t>
  </si>
  <si>
    <t>Grade 8, Unit 1, Module 1</t>
  </si>
  <si>
    <t>Claim, Evidence, Reasoning, Counterargument, Audience, Debatable, Precise, Supportable, Reason, Personal Narrative, Relevant, Specific, Accurate, Quote, Paraphrase, Summarize, Analyze, Explicit, Theme, Author's Message, Universal Idea, Plot Structure, Plot Elements, Climax, Resolution, Flashbacks, Flash-forwards, Summary, Paraphrase, Imagery, Figurative Language, Similes, Metaphors, Sensory Details, Action Verbs, Personification, Connotation, Imagery, Mood, Acronym, Analyze, Speaker, Occasion, Purpose, Subject, Tone, Non-fiction, Socratic Discussion, Debate, Discussion, Roles, Questioner, Moderator, Recorder, First Person, Transitions, Pre-Writing, Drafting, Revising, Editing, Sharing, Narrator, Perspective, Point-of-view, Setting, Conflict, Dialogue, Verb, Active Voice, Passive Voice, Indicative Mood, Imperative Mood, Interrogative Mood, Conditional Mood, Subjunctive Mood, Verbal - Gerunds, Infinitives, Participles, Sensory Language, Descriptive Details, Figures of Speech, Historical Fiction, Biography, Autobiography, Fantasy, Science Fiction, Magazines, Journals, Blogs</t>
  </si>
  <si>
    <t xml:space="preserve">empathy, remorse, interaction, ancestors, failure, self-awareness        respect, opponent, self-confidence, covet, impulsive, sacrifice </t>
  </si>
  <si>
    <t>Barren, Dismay, Futile, Havoc, Incongruence, Meager, Poignantly, Reverie, Scornful, Vigor, Catastrophe, Daunting, Ejected, Faulty, Stunned, Aceboon, Amateur, Barrage, Bedlam, Boring, Cheverote (Spanish adj.), Corazón (Spanish noun), Feinted, Gnawing, Haymaker, Hermano (Spanish noun), Loisaida, Panin (Spanish noun), Sabe (Spanish verb), Suavecito (Spanish adv.), Welterweight, Agitated, Barrage, Conspicuous, Coveted, Monetary, Strike, Sustained, Tended, Verbal</t>
  </si>
  <si>
    <t>CCSS.L.8.6; CCSS.SL.8.1; CCSS.L.8.4.B</t>
  </si>
  <si>
    <t>Grade 8, Unit 1, Module 2</t>
  </si>
  <si>
    <t>Module 2: Word Origins and Etymology and Word Meaning</t>
  </si>
  <si>
    <t>CCSS.L.8.6; CCSS.SL.8.1; CCSS.L.8.5.B; CCSS.L.8.5.C</t>
  </si>
  <si>
    <t>Grade 8, Unit 1, Module 3</t>
  </si>
  <si>
    <t>CCSS.L.8.6; CCSS.SL.8.1</t>
  </si>
  <si>
    <t>Grade 8, Unit 1, Module 4</t>
  </si>
  <si>
    <t>CCSS.L.8.4.d; CCSS.SL.8.1; CCSS.L.8.4.A; CCSS.L.8.4.B; CCSS.L.8.6</t>
  </si>
  <si>
    <t xml:space="preserve">Grade 8, Unit 2
</t>
  </si>
  <si>
    <t>Grade 8, Unit 2, Module 1</t>
  </si>
  <si>
    <t>Argument, Claim, Reasons, Evidence, Civic Life, Reasoning, Conclusion, Explicit Central Idea, Implicit Central Idea, Inference, Hook, Facts, Quotations, Details, Relevant, Integrate, Quote, Summarize, Paraphrase, Semicolon, Colon, Dashes, Parentheses, Ellipses, Citation, Reference, Footnote, Endnote, Introduction, Preface, Forward, Acknowledgment, Transitions, Third Person, Unbiased, Domain-specific, Vocabulary, Issue, Stake, Rhetorical, Logos, Pathos, Ethos, Opposing, Alternative, Refutation, Counterargument, Persuade, Convey, Concrete, Representation, Credible, Primary, Secondary, Debate, Closing Statement, Rebuttal, Synthesize, Goal, Roles, Opinions, Paraphrasing, Cohesion, Transition, Quotations, Summary, Emphasis, Call to Action</t>
  </si>
  <si>
    <t>renewable, solar, carbon-free, biofuel, consumption, emissions, dependent, economic, supplemental, nuclear, fusion, feasible</t>
  </si>
  <si>
    <t>Ambitious, Booming, Fossil fuels, Infrastructure, Instantaneous, Milestone, Renewable sources of energy, Seamlessly, Transmission, Unprecedented, Weaning off, Climate change, Consumption, Deplete, Efficient, Excessive, Fossil fuels, Labor-intensive, Mechanical, Reduce, Renewable energy, Carbon emissions, Decarbonization, Budget shortfalls, Cash-strapped, Clean energy, Green, Breakthrough, Concerted, Convert, Fundamental, Generated, Groundbreaking, Hardware, Milestone, Monumental, Replicate</t>
  </si>
  <si>
    <t>Grade 8, Unit 2, Module 2</t>
  </si>
  <si>
    <t>CCSS.L.8.6; CCSS.SL.8.1; CCSS.L.8.4.A; CCSS.L.8.4.B; CCSS.RI.8.4</t>
  </si>
  <si>
    <t>Grade 8, Unit 2, Module 3</t>
  </si>
  <si>
    <t>CCSS.L.8.6; CCSS.SL.8.1; CCSS.L.8.4.B; CCSS.L.8.5.B</t>
  </si>
  <si>
    <t>Grade 8, Unit 2, Module 4</t>
  </si>
  <si>
    <t>CCSS.L.8.4.d; CCSS.SL.8.1; CCSS.L.8.5.B; CCSS.L.8.5.C</t>
  </si>
  <si>
    <t xml:space="preserve">Grade 8, Unit 3
</t>
  </si>
  <si>
    <t>Grade 8, Unit 3, Module 1</t>
  </si>
  <si>
    <t>Build Your Vocabulary: Map a Word
Best Practices: Quiz-Quiz-Trade
Write to Impress: Interpret Figurative Language</t>
  </si>
  <si>
    <t>Narrative Nonfiction, Fiction, Elements, Episodes, Setting, Simile, Metaphor, Personification, Allusion, Verbal Irony, Hyperbole, Puns, Character Development, Dialogue, Dialogue Tags, Punctuation, Round vs. Flat, Dynamic vs. Static, Infer, Suffix, relieve, receipt, need, knead, vain, vein, Inferred theme, Conflict,resolution, Transitions, Clauses, First-person, Third-person, Omniscient, Imagery, Figurative Language, Non-fiction, key ideas, Socratic Discussion, Debate, Collaboration, Claim, Evidence, Reason, Reasoning, Counterargument, Fictional, Imagination, Exposition, Resolution, Protagonist, Author's Purpose, Sensory Language, Explicit, Implicit, Cliff-hanger</t>
  </si>
  <si>
    <t>imagination, benefit, banter, epilepsy, trauma, allegory, tethered, disconnected, mending, surreal, elevate</t>
  </si>
  <si>
    <t>Banter, Barreling, Bodega, Close-knit, Gassin’, Petty, Rituals, Roasting, Strewn, Underbite, Coax, Fluttering, Maintains, Manicured, Mechanical, Prospect, Shallow, Sulking, Trembling, Triggered, Beacon, Daunted, Dubious, Engulfing, Impassive, Invoke, Languid, Manifested, Nonchalance, Nuance, Permeating, Tethered, Vicariously, Acute, Ether, Incapacitating, Infinitesimal, Instinctively, Intrigue, Lumbered, Scornfully, Surreal, Unparalleled</t>
  </si>
  <si>
    <t>Grade 8, Unit 3, Module 2</t>
  </si>
  <si>
    <t>Module 2: Word Analysis and Word Meaning</t>
  </si>
  <si>
    <t>Grade 8, Unit 3, Module 3</t>
  </si>
  <si>
    <t>Module 3: Word Analysis (Context Clues) and Word Relationships</t>
  </si>
  <si>
    <t>CCSS.L.8.6; CCSS.SL.8.1; CCSS.L.8.4.A</t>
  </si>
  <si>
    <t>Grade 8, Unit 3, Module 4</t>
  </si>
  <si>
    <t>Build Your Vocabulary: Word Analysis
Best Practices: Visual Vocabulary</t>
  </si>
  <si>
    <t xml:space="preserve">Grade 8, Unit 4
</t>
  </si>
  <si>
    <t>Grade 8, Unit 4, Module 1</t>
  </si>
  <si>
    <t>Thesis statement, Synthesize, Organize, Cite, Plagiarism, Tone, Objective, Style, Denotation, Connotation, Context Clues, Root words, base words, Affixes - prefix, suffix, Text structure, Compare &amp; Contrast, Cause &amp; Effect, Sequential, Point of view, Claim, Reason, Evidence, Reasoning, Counterclaim, Dictionary, Glossary, Thesaurus, Summary, Concise, Objective, Paraphrase, Similar, Accurate, Conflicting, Refine, Reliable, Valid, Crucial, Plagiarizing, Thesis, Credibility, Panel discussion, panel member, moderator, Central idea,  Subtopics, Introduction, Hook, Body, Conclusion, Citing sources, Summary, Quotation, Bibliography</t>
  </si>
  <si>
    <t>disparity, equity, climate change, holy grail, mode, collision course, legislation, gentrification, antipathy, deference</t>
  </si>
  <si>
    <t>Equity, Infrastructure, Mobility, Redlining, Revitalize, Sheer, Skimped, Accessible, Addled, Adequately, Advocate, Champions, Clout, Contend, Costliest, Dejected, Disproportionate, Dramatically, Iconic, Accommodate, Advocate, Capacity, Domain, Emerge, Enforce, Envision, Flaw, Hostile, Proliferation, Advocates, Antipathy, Cap, Catalyst, Coincided, Deference, Development, Erred, Impetus, Incentivizing, Latent, Legislation, Mandates, Ordinance, Residential, Sentiment, Shrugged</t>
  </si>
  <si>
    <t>Grade 8, Unit 4, Module 2</t>
  </si>
  <si>
    <t>Build Your Vocabulary: Word Study
Best Practices: Vocabulary Role Playing</t>
  </si>
  <si>
    <t>Grade 8, Unit 4, Module 3</t>
  </si>
  <si>
    <t>Build Your Vocabulary: Concept Map
Best Practices: Dig Into Root Words
Write to Impress: Consult Reference Materials</t>
  </si>
  <si>
    <t>Grade 8, Unit 4, Module 4</t>
  </si>
  <si>
    <t>Build Your Vocabulary: Word Study 
Best Practices: Silly Sentences
Write to Impress: Verify a Definition</t>
  </si>
  <si>
    <t>CCSS.L.8.4.d; CCSS.SL.8.1; CCSS.L.8.4.A; CCSS.L.8.4.B; CCSS.RI.8.4</t>
  </si>
  <si>
    <t xml:space="preserve">Grade 8, Unit 5
</t>
  </si>
  <si>
    <t>Grade 8, Unit 5, Module 1</t>
  </si>
  <si>
    <t>Module 1: Word Meaning and Words in Contexts</t>
  </si>
  <si>
    <t>Cause-and-Effect, Conflict, Social Values, Traditions, historical events, financial hardship, environmental concern, impact, influence, Objective, Hook, Background Information, Structure, Purpose, Context Clue, Internal Conflict, External Conflict, Part-to-Whole, Item-to-Category, Synonym, Antonym, Analogy, Informative writing, Explanatory writing, Elaborate, Relevant, Irrelevant, Quotations, Round, Flat, Dynamic, Static, Indirectly, Motivation, Inference, Stage direction, Analyze, Predict, Monologue, Soliloquy, Aside, Transition, Connect, Relationship, Coherence, Act, Scene, Dramatic irony, Dialogue, Precise language, Ambiguous language, Vague, Domain-specific language, Context, Theme, Infer, Identify, Influence, Mediums, Advantage, Disadvantage, Inspiration, Reality, Condense, Simplify, Feedback, Project, Cause, Effect, Reason, Evidence, Closure, Clarity</t>
  </si>
  <si>
    <t>Nazi oppression, annex, formality, indignantly, dynamic character, fatalist, rising dramatic action, optimism, foreboding, liberated</t>
  </si>
  <si>
    <t>Annex, Autobiography, Black market, Capitulation, Carillon, Conspicuous, Gay, Loathe, Mercurial, Seminal, Dignified, Domestic, Finicky, Fortify, Grave, Indignantly, Meticulous, Scoffingly, Subdued, Vile, Deliverances, Fatalist, Hesitant, Hysterically, Ostentatiously, Reproachfully, Smite, Tyranny, Wallow, Zeal, Advisability, Antagonize, Apprehension, Disgruntled, Dully, Forlorn, Gaily, Gauntlet, Inarticulate, Intuition, Meticulously, Onslaught, Optimism, Pretense, Rappi, Convulsive, Feeble, Forlorn, Indignation, Liberated, Pandemonium, Reassuring, Rigid, Succession, Tensely</t>
  </si>
  <si>
    <t>Grade 8, Unit 5, Module 2</t>
  </si>
  <si>
    <t>Module 2: Word Meaning (Antonyms) and Words in Contexts</t>
  </si>
  <si>
    <t>Build Your Vocabulary: Map a Word
Best Practices: Storytelling with Vocabulary
Write to Impress: Use the Relationships Between Words to Understand Meanings</t>
  </si>
  <si>
    <t>CCSS.L.8.6; CCSS.SL.8.1; CCSS.L.8.5.B; CCSS.L.8.4.A</t>
  </si>
  <si>
    <t>Grade 8, Unit 5, Module 3</t>
  </si>
  <si>
    <t>CCSS.L.8.6; CCSS.SL.8.1; CCSS.L.8.5.C; CCSS.L.8.4.A</t>
  </si>
  <si>
    <t>Grade 8, Unit 5, Module 4</t>
  </si>
  <si>
    <t>CCSS.L.8.6; CCSS.L.8.5.C; CCSS.L.8.4.A</t>
  </si>
  <si>
    <t>Grade 8, Unit 5, Module 5</t>
  </si>
  <si>
    <t>Build Your Vocabulary: Word Analysis
Best Practices: Word Toss and Definition</t>
  </si>
  <si>
    <t xml:space="preserve"> CCSS.L.8.6</t>
  </si>
  <si>
    <t xml:space="preserve">Grade 8, Unit 6
</t>
  </si>
  <si>
    <t>Grade 8, Unit 6, Module 1</t>
  </si>
  <si>
    <t xml:space="preserve">Build Your Vocabulary: Map a Word
Best Practices: Word Sort
</t>
  </si>
  <si>
    <t>Personal statement, Anecdote, Insight, analogy, Linear, Non-linear, Flashback, Flash-forward, Foreshadow, Independent clause, Semicolon, Colon, Nonrestrictive Clause, Parentheses, Ellipses, Omission, Purpose, Convince, Interpret, Arrangement, Event, Setting, Character, Conflict, Repetition, Emphasize, Connotation, Suspense, Irony, Dramatic Irony, Situational Irony, Verbal Irony, Illustrate, Elaborate, Quotation, Biography, genre, text, image, Pitch, Template, Memorable, Audience, Personal statement, Hook, First-person</t>
  </si>
  <si>
    <t>Trailblazing, prospective, make your mark, diversify</t>
  </si>
  <si>
    <t>Abound, Axis, Celestial, Cosmos, Emit, Penchant, Phenomenon, Quiver, Radiated, Undeterred, Abroad, Conducting, Drafting, Debt, Dwell, Engaged, Financial, Foundation, Gauge, Insight, Prestige, Procrastinate, Prompt, Prospective, Sufficient, Urge, Affirmed, Aspire, Coincide, Enrichment, Enrolls, Entrepreneurial, Intercultural, Latter, Mentoring, Policy, Predominantly, Prestigious, Prominent, Prospective, Proximity, Recipients, Robust, Tout        Advocate, Concretely, Daunting, Diversify, Intention, Myriad, Navigate, Productively, Tailor, Tenacity</t>
  </si>
  <si>
    <t>CCSS.L.8.5; CCSS.SL.8.1; CCSS.L.8.5.B</t>
  </si>
  <si>
    <t>Grade 8, Unit 6, Module 2</t>
  </si>
  <si>
    <t>CCSS.L.8.5; CCSS.SL.8.1; CCSS.L.8.5.B; CCSS.L.8.4.B</t>
  </si>
  <si>
    <t>Grade 8, Unit 6, Module 3</t>
  </si>
  <si>
    <t>CCSS.L.8.5; CCSS.SL.8.1; CCSS.L.8.4.A; CCSS.L.8.4.B; CCSS.RI.8.4; CCSS.L.8.4.C</t>
  </si>
  <si>
    <t>Grade 8, Unit 6, Module 4</t>
  </si>
  <si>
    <t>CCSS.L.8.5; CCSS.SL.8.1; CCSS.L.8.4.A; CCSS.L.8.4.B; CCSS.L.8.6; CCSS.L.8.4.C</t>
  </si>
  <si>
    <t xml:space="preserve">Grade 8, Unit 7
</t>
  </si>
  <si>
    <t>Grade 8, Unit 7, Module 1</t>
  </si>
  <si>
    <t>Narrative, Realistic Fiction, Historical Fiction, Fantasy, Science Fiction, Dystopian Fiction, Biography, Autobiography, Personal Narrative, Literary Elements: Setting, Character, Plot, Interpretation, Analysis, Fictional Account, Journalistic Account, Oral tradition, Protagonist, Hero, Villain, Antagonist, Sidekick, Task Setters, Magical Creatures, Fractured Fairy Tale, Traditional Fairy Tale, Summary, Concise, Objective, Literary Analysis, Paraphrase, Genre, Literary Devices, Allusion, Hyperbole, Allegory, Symbolism, Plot, Exposition, Rising Action, Climax, Falling Action, Resolution, Theme, Sonnet, Haiku, Free verse, Ballad, Stanza, Scheme, Rhythm, Meter, Juxtaposition, Fiction, Nonfiction, Socratic Discussion, Debate, Argumentation, Collaboration, Claim, Reason, Evidence, Reasoning, Counterargument, Comparative, Characters, Setting, Language, Style, Introduction, Body, Argument, Conclusion</t>
  </si>
  <si>
    <t>rapturously, ruinous, privations, ruminated, destiny, inherent, wrought, disquieting, perplexity, condemned, improvised, desolation</t>
  </si>
  <si>
    <t>Delicacy, Dowry, Drudgery, Inscrutable, Modest, Odious, Quay, Rapturously, Stammered, Usurers, Wit, Conceit, Decrepit, Emanating, Inherent, Languid, Lore, Moral, Myriads, Queried, Ruminated, Tangible, Alights, Disquieting, Grandeur, Meager, Pensioned, Perplexity, Sorcery, Timorous, Visage, Wrought, Allegory, Arid, Bountiful, Condemned, Destitute, Discreet, Frivolity, Furrows, Haggard, Improvised, Jubilation, Labyrinths, Marrow, Mortified, Nostalgia, Pole star, Resign, Slinky,</t>
  </si>
  <si>
    <t>Grade 8, Unit 7, Module 2</t>
  </si>
  <si>
    <t>Grade 8, Unit 7, Module 4</t>
  </si>
  <si>
    <t xml:space="preserve">Grade 9, Unit 1
</t>
  </si>
  <si>
    <t>Grade 9, Unit 1, Module 1</t>
  </si>
  <si>
    <t>Claim, Evidence, Reasoning, Counterargument, Audience, Debatable, Precise, Supportable, Reason, Personal Narrative, Inference, Relevant, Specific, Accurate, Independent clause, Dependent clause, Relative clause, Relative pronoun, Adverbial clause, Participial, Phrase, Prepositional phrase, Parallel structure, Figurative language, Simile, Metaphor, Personification, Connotation, Imagery, Mood, Exposition, Rising Action, Climax, Falling Action, Resolution, Flashback, Flash-forward, Summary, Theme, Author's Message, Acronym, Speaker, Occasion, Purpose, Subject, Tone, Socratic Discussion, Debate, Collaboration, Discussion, Roles, Questioner, Moderator, Recorder, First-person, Transition words, Narrator, Character, Setting, Conflict, Beginnings, Dialogue, Novel, Short Story, Biography, Nonfiction, Graphic novel, Magazines, Blogs</t>
  </si>
  <si>
    <t>memory, nostalgia, evoke, exhilarated, maturity, glory, prose, symbolism, sensory, adversity, tempered, inclusivity</t>
  </si>
  <si>
    <t>Cultist, Imperceptibly, Incessant, Indelible, Languidly, Marred, Melodrama, Moorings, Moxie, Pensively, Petulant, Plantains, Premonitory, Primeval, Rudder, Sarsaparilla, Spinner, Ubangi        Compelled, Exalting, Exhilarating, Improvising, Memoir, Mischievous, Nigh, Recounts, Redundant, Simultaneously, Coerce, Immigrants, Nostalgically, Numerology, Obsessive, Rapture, Revolucion, Adversity, Clarity, Diverse, Foundational, Immersed, Inclusivity, Neurotypical, Ostracized, Progressive, Resilience</t>
  </si>
  <si>
    <t>CCSS.L.9-10.6; CCSS.SL.9-10.1; CCSS.L.9-10.4.B</t>
  </si>
  <si>
    <t>Grade 9, Unit 1, Module 2</t>
  </si>
  <si>
    <t>CCSS.L.9-10.6; CCSS.SL.9-10.1; CCSS.L.9-10.5.B; CCSS.L.9-10.5.C</t>
  </si>
  <si>
    <t>Grade 9, Unit 1, Module 3</t>
  </si>
  <si>
    <t>CCSS.L.9-10.6; CCSS.SL.9-10.1; CCSS.L.9-10.4.B; CCSS.L.9-10.5.B</t>
  </si>
  <si>
    <t>Grade 9, Unit 1, Module 4</t>
  </si>
  <si>
    <t>CCSS.L.9-10.4.d; CCSS.SL.9-10.1; CCSS.L.9-10.4.A; CCSS.L.9-10.4.B; CCSS.L.9-10.6</t>
  </si>
  <si>
    <t xml:space="preserve">Grade 9, Unit 2
</t>
  </si>
  <si>
    <t>Grade 9, Unit 2, Module 1</t>
  </si>
  <si>
    <t>Debatable claim, Civic life, Hook, Claim, Reason, Evidence, Reasoning, Transitions, Central Idea, Topic, Introduction, MLA Style, Cite, Paraphrase, Quote, Source, Citation, Facts, Quotations, Details, Relevant, Inference, Integrate, Summarize, Reference, Footnote, Endnote, Preface, Forward, Acknowledgment, Issue, Stake, Rhetorical, Logos, Pathos, Ethos, Counterargument, Persuade, Credible, Unbiased, Primary, Secondary, Debate, Closing Statement, Rebuttal, Synthesize, Goal, Roles, Opinions, Paraphrasing, Cohesion, Transition, Summary, Emphasis, Call to Action</t>
  </si>
  <si>
    <t>cyberbullying, monitor, digital literacy, influencer, authenticity, parasocial, inclusivity, activism, generation, regulate, policymaker, verification</t>
  </si>
  <si>
    <t>Benign, Conscientious, Fluent, Fret, Hostile, Invasive, Opaque, Peruse, Predecessors, Profanity, Surveillance, Tamer, Worrisome, Amplify, Decipher, Detrimental, Enables, Flourishing, Intent, Mitigate, Palpable, Thinly veiled, Woefully, Campaigns, Collective, Deforestation, Germinates, Horticultural, Inclusivity, Indigenous, Keen, Marginalized, Sustainability, Acute, Bullying, Compelled, Consent, Contrary, Enacted, Exemption, Feasible, Fraught</t>
  </si>
  <si>
    <t>Grade 9, Unit 2, Module 2</t>
  </si>
  <si>
    <t>Module 2: Word Characteristics, Context Clues, and Word Meaning</t>
  </si>
  <si>
    <t>CCSS.L.9-10.6; CCSS.SL.9-10.1; CCSS.L.9-10.4.A; CCSS.L.9-10.4.B; CCSS.RI.9-10.4</t>
  </si>
  <si>
    <t>Grade 9, Unit 2, Module 3</t>
  </si>
  <si>
    <t>Grade 9, Unit 2, Module 4</t>
  </si>
  <si>
    <t>CCSS.L.9-10.4.d; CCSS.SL.9-10.1; CCSS.L.9-10.5.B; CCSS.L.9-10.5.C</t>
  </si>
  <si>
    <t xml:space="preserve">Grade 9, Unit 3
</t>
  </si>
  <si>
    <t>Grade 9, Unit 3, Module 1</t>
  </si>
  <si>
    <t>Build Your Vocabulary: Map a Word
Best Practices: Quiz-Quiz-Trade
Write to Impress: Understanding Figurative Language</t>
  </si>
  <si>
    <t xml:space="preserve">Narrative Nonfiction, Fiction, Round, Flat, Dynamic, Static, Infer, Setting, Simile, Metaphor, personification, Allusion, Verbal Irony, Hyperbole, Puns, character, plot, character development, development, effective dialogue, culture, history, first person, third person, omniscient, comparison transactions, Irony, Suspense, Flash-forward, Flash-back, Structure, Point of view, Theme, Background, Context, Sensory Language, Explicit, Implicit, Cliff-hanger, central conflict, exposition, resolution, endings, </t>
  </si>
  <si>
    <t>feudal, attributes, condone, demure, rebuke, consolation, desperation, intertwining, adeptly, foreshadow, paradox, fate</t>
  </si>
  <si>
    <t>Affable, Apprehensive, Ardent, Attributes, Baying, Bewilderment, Condone, Empathy, Futile, Grisly, Invariably, Protruding, Uncanny, Vigor, Zealous, Awed, Bingeing, Boughs, Chafed, Conservationist, Consolation, Demure, Dilatory, Discreetly, Divining, Elusive, Felled, Gallantly, Geranium, Giddy, Gravity, Hermitage, Hospitality, Inaudibly, Loitered, Ornithologist, Pang, Perilous, Pettishly, Adeptly, Animated, Artfully, Bear, Catalogue, Collapsed, Contempt, Conversed, Creases, Departed, Desperation, Exaggerated, Feline, Graceless, Intellectually, Intertwining, Magnified, Menagerie, Merchant, Navigating, Strategically, Wallow, Whimpered, Winced, Phenomenon, Permissable, Paradoxical, Heed, Finality, Extinct, Pollen, Safari, Sterillized, Reptilian</t>
  </si>
  <si>
    <t>Grade 9, Unit 3, Module 2</t>
  </si>
  <si>
    <t>CCSS.L.9-10.6; CCSS.SL.9-10.1; CCSS.L.9-10.4.A</t>
  </si>
  <si>
    <t>Grade 9, Unit 3, Module 3</t>
  </si>
  <si>
    <t>CCSS.L.9-10.6; CCSS.SL.9-10.1</t>
  </si>
  <si>
    <t>Grade 9, Unit 3, Module 4</t>
  </si>
  <si>
    <t xml:space="preserve">Grade 9 , Unit 4
</t>
  </si>
  <si>
    <t>Grade 9, Unit 4, Module 1</t>
  </si>
  <si>
    <t>Build Your Vocabulary: Concept Map
Best Practices: Root Word Challenge
Write to Impress: Understand Word Changes</t>
  </si>
  <si>
    <t>Thesis, Synthesize, Organize, Denotation, Connotation, Context, base word, root word, affixes, synonym, paraphrase, antonym, Reference materials, Point of view, Claim, Reason, Evidence, Reasoning, Counterclaim, Summary, Concise, Objective, Compare, Contrast, Similar, Accurate, Conflicting, Refine, Reliable, Valid, Crucial, Plagiarizing, Credibility, Panel, discussion, panel member, moderator, Central idea, Subtopics, Introduction, Hook, Body, Conclusion, Citing sources, Plagiarism, Quotation, Bibliography</t>
  </si>
  <si>
    <t>ecological, agriculture, environmental science, ecosystem, wildlife biology, Great Plains, cultivate, greenhouse gas, factory farming, pollution, livestock regulations, methane</t>
  </si>
  <si>
    <t>Approach, Carnivore, Conundrum, Culinary, Diversity, Epitomizes, Extractive, Holistic, Intricacies, Paradigm, Parse, Regenerative, Resilient, Ruminants, Sequester, Sustainability, Alliances, Avian, Conventional, Conversion, Critical, Decomposing, Degraded, Detrimental, Mitigating, Alternative proteins, Apportioned, Destabilizing, Displacing, Encroaching, Exorbitant, Imminent, Intractable, Mitigation, Prohibitive, Prospective, Ravages, Scaffolding, Staggeringly, Stake, Accountability, Consolidation, Contending, Exemptive, Regulators, Staggered, Ubiquitous</t>
  </si>
  <si>
    <t>Grade 9, Unit 4, Module 2</t>
  </si>
  <si>
    <t>Grade 9, Unit 4, Module 3</t>
  </si>
  <si>
    <t>Build Your Vocabulary: Concept Map
Best Practices: Root Word Challenge
Write to Impress: Verify a Definition</t>
  </si>
  <si>
    <t>Grade 9, Unit 4, Module 4</t>
  </si>
  <si>
    <t>Module 4: Word Analysis and Words in Contexts</t>
  </si>
  <si>
    <t>Build Your Vocabulary: Word Study 
Best Practices: Vocabulary Telephone</t>
  </si>
  <si>
    <t>CCSS.L.9-10.4.d; CCSS.SL.9-10.1; CCSS.L.9-10.4.A; CCSS.L.9-10.4.B; CCSS.RI.9-10.4</t>
  </si>
  <si>
    <t xml:space="preserve">Grade 9, Unit 5
</t>
  </si>
  <si>
    <t>Grade 9, Unit 5, Module 1</t>
  </si>
  <si>
    <t>Context Clues
Understanding Shakespearean Language</t>
  </si>
  <si>
    <t>cause, effect, conflict, explanatory, informative, main idea, inferred meanings, Direct, Indirect, Mannerisms, Speech, Dialogue, Extended definition, Transition, Syntax, Linking, Cohesion, rising, action, climax, resolution, precise language, domain-specific language, observation, medium, subject, tone, message, context, engagement, stage direction, plot, thesis, topic, claim,</t>
  </si>
  <si>
    <t>tragedies, social dynamics, asides, protagonists, enmity, nuptials, parallel plots, exiled, emotional state, alchemical, legacy, resolution</t>
  </si>
  <si>
    <t>Adversary, Airy, Choler, Dignity, Doctrine, Importuned, Mutiny, Pernicious, Rebuffs, Strife, Woo, Anguished, Asides, Clandestine, Fortnight, Gall, Infatuated, Protagonists, Rapier, Solemnity, Tetchy, Bescreen'd, Cunning, Distemper'd, Doff, Forsaken, Homely, Lamentable, Rancour, Shrift, Vexed, Abhors, Asunder, Beguiled, Calamity, Chide, Estranged, Garish, Lenity, Modesty, Perjured, Quash, Tedious, Usurer, Arbitrating, Beguiled, Festering, Gleek, Melancholy, Peevish, Pensive, Remedy, Solace, Solemnity, Stifled, Surcease, Aloof, Ambiguities, Apprehend, Beshrew, Direful, Haughty, Inauspicious, Inexorable, Monument, Morsel, Pestilence, Recollect, Scourge, Simulated, Woe, Yoke</t>
  </si>
  <si>
    <t>Grade 9, Unit 5, Module 2</t>
  </si>
  <si>
    <t xml:space="preserve">Build Your Vocabulary: Map a Word
Best Practices: Storytelling with Vocabulary
</t>
  </si>
  <si>
    <t>CCSS.L.9-10.6; CCSS.SL.9-10.1; CCSS.L.9-10.5.B; CCSS.L.9-10.4.A</t>
  </si>
  <si>
    <t>Grade 9, Unit 5, Module 3</t>
  </si>
  <si>
    <t>CCSS.L.9-10.6; CCSS.SL.9-10.1; CCSS.L.9-10.5.C; CCSS.L.9-10.4.A;</t>
  </si>
  <si>
    <t>Grade 9, Unit 5, Module 4</t>
  </si>
  <si>
    <t>CCSS.L.9-10.6; CCSS.SL.9-10.1; CCSS.L.9-10.4.A; CCSS.L.9-10.4.B</t>
  </si>
  <si>
    <t>Grade 9, Unit 5, Module 5</t>
  </si>
  <si>
    <t>CCSS.L.9-10.6</t>
  </si>
  <si>
    <t>Grade 9, Unit 5, Module 6</t>
  </si>
  <si>
    <t>Module 6: Word Analysis</t>
  </si>
  <si>
    <t xml:space="preserve">Grade 9, Unit 6
</t>
  </si>
  <si>
    <t>Grade 9, Unit 6, Module 1</t>
  </si>
  <si>
    <t>Personal statement, Anecdote, Insight, Order, Sequence, Causation, Declarative, Interrogative, imperative, Exclamatory, Emphasis, Adverbs, Repetition, Denotation, Connotation, Context, Interaction, Comparisons</t>
  </si>
  <si>
    <t>Execute, extracurricular activities, initiative, time management</t>
  </si>
  <si>
    <t>Bleak, Contemplated, Debut, Devote, Endured, Ephemeral, Fleeting, Hallowed, Imparting, Introvert, Pinnacle, Prestigious, Soirees, Trudging        Admit, Duration, Evolved, Inclined, Innovator, Pivotal, Portrayed, Prestigious, Pursuit, Standout, Ambition, Authentic, Cohesive, Endorphins, Grandeur, Initiative, Plethora, Prioritization, Stamina, Strategically, Succinct, Advocates, Bookkeeping, Breadth, Extracurriculars, Pivotal, Vetting</t>
  </si>
  <si>
    <t>CCSS.L.9-10.5; CCSS.SL.9-10.1; CCSS.L.9-10.5.B</t>
  </si>
  <si>
    <t>Grade 9, Unit 6, Module 2</t>
  </si>
  <si>
    <t>CCSS.L.9-10.5; CCSS.SL.9-10.1; CCSS.L.9-10.5.B; CCSS.L.9-10.4.B</t>
  </si>
  <si>
    <t>Grade 9, Unit 6, Module 3</t>
  </si>
  <si>
    <t>Build Your Vocabulary: Explore a Word
Best Practices: Vocabulary Bingo
Write to Impress: Understand Word Nuances</t>
  </si>
  <si>
    <t>CCSS.L.9-10.5; CCSS.SL.9-10.1; CCSS.L.9-10.4.A; CCSS.L.9-10.4.B; CCSS.RI.9-10.4</t>
  </si>
  <si>
    <t>Grade 9, Unit 6, Module 4</t>
  </si>
  <si>
    <t>CCSS.L.9-10.5; CCSS.SL.9-10.1; CCSS.L.9-10.4.A; CCSS.L.9-10.4.B; CCSS.L.9-10.6</t>
  </si>
  <si>
    <t xml:space="preserve">Grade 9, Unit 7
</t>
  </si>
  <si>
    <t>Grade 9, Unit 7, Module 1</t>
  </si>
  <si>
    <t xml:space="preserve">Autobiography, Biography, Fictional narrative, Setting, Plot, Word choice, Interpretation, Perspective, Form, Structure, Rhythm, Meter, Fiction, Non-fiction, Theme, Argumentation, Collaboration, Evidence, Reasoning, Literary analysis, Personal perspective
</t>
  </si>
  <si>
    <t xml:space="preserve">reproach, rapacity, insolently, suppliant, conveyance, portent, vengeance, tremulous, epic hero
</t>
  </si>
  <si>
    <t xml:space="preserve">Blandishing, Distaff, Forecourt, Haughty, Insolently, Ithaka, Loom, Lyre, Rapacity, Reproach, Suitors, Tumult        Beguilement, Conveyance, Herald, Lamenting, Loitered, Lumbering, Pitiless, Prow, Soothsayer, Suppliant, Achaeans, Aphrodite, Apollo, Artemis, Athene, Bemused, Cyprus, Helen, Hera, Iad Argos, Ithaka, Kalypso, Lakedaimon, Menelaos, Nestor, Phaiakian, Phaiakians, Portent, Pylos, Swineherd, Zeus, Achaian, Aegis, Amphinomos, Antinoös, Argos, Athene, Distaff, Epic hero, Eumaios, Eurymachos, Ithaka, Kephallenians, loom, Mentor, Mykene, Pylos, Seagirt, Son of Kronos, Suppliant, Tremulous, Zeus
</t>
  </si>
  <si>
    <t>Grade 9, Unit 7, Module 2</t>
  </si>
  <si>
    <t>Build Your Vocabulary: Map a Word
Best Practices: Vocabulary Timeline
Write to Impress: Build Academic Vocabulary</t>
  </si>
  <si>
    <t>Grade 9, Unit 7, Module 3</t>
  </si>
  <si>
    <t>Module 3: Word Meaning (Root Words) and Word Analysis</t>
  </si>
  <si>
    <t xml:space="preserve">Build Your Vocabulary: Map a Word
Best Practices: Gallery Walk
</t>
  </si>
  <si>
    <t>Grade 9, Unit 7, Module 4</t>
  </si>
  <si>
    <t>Build Your Vocabulary: Word Analysis
Best Practices: List, Group, Label</t>
  </si>
  <si>
    <t xml:space="preserve">Grade 10, Unit 1
</t>
  </si>
  <si>
    <t>Grade 10, Unit 1, Module 1</t>
  </si>
  <si>
    <t>Claim, Evidence, Reasoning, Counterargument, Audience, Debatable, Precise, Supportable, Reason, Personal Narrative, Relevant, Specific, Accurate, Quote, Paraphrase, Summarize, Analyze, Explicit, independent clause, dependent clause, relative clause, adverbial clause, figurative language, sensory details, imagery, mood, exposition, climax, resolution, plot, inference, explicit information, inferred information, theme, universal idea, speaker, occasion, purpose, subject, tone, comprehension, context, associations, argumentation, debate, collaboration, questioner, moderator, recorder, non-fiction, fiction, conclusion, first person, character, conflict, setting, sensory language</t>
  </si>
  <si>
    <t>behavior, norm, affluence, achievement, ambition, expectation, representation, unhoused, transient, welfare</t>
  </si>
  <si>
    <t xml:space="preserve">Adjacent, Behavior, Beliefs, Divorce, Editorialize, Humorist, Ignorant, Indiscriminately, Synthetic, Affluent, Apprentice, Astride, Citations, Dictating, Elusive, Fatigue, Pessimistic, Resentful, Society, Distressed, Fend, Flunking, Framework, Irrelevant, Mundane, Transient, Turmoil, Unhoused, Unnerving
advocating, disintegration, catastrophic, deploy, disintegration, enigmatic, feign, graviatted, interrogate, physicist, reticent </t>
  </si>
  <si>
    <t>Grade 10, Unit 1, Module 2</t>
  </si>
  <si>
    <t>Analyzing Imagery in a Personal Narrative</t>
  </si>
  <si>
    <t>Grade 10, Unit 1, Module 3</t>
  </si>
  <si>
    <t>Grade 10, Unit 1, Module 4</t>
  </si>
  <si>
    <t xml:space="preserve">Grade 10, Unit 2
</t>
  </si>
  <si>
    <t>Grade 10, Unit 2, Module 1</t>
  </si>
  <si>
    <t>Argument, Claim, Reasons, Evidence, Civic Life, Reason, Reasoning, Conclusion, Explicit, Central Idea, Implicit Central Idea, Inference, hook, explanation, source, paraphrase, quote, cite, summarize, Transitions, Third Person, Unbiased, Domain-specific Vocabulary, Issue, Stake, Rhetorical, Logos, Pathos, Ethos, Opposing, Alternative, Refutation, Counterargument, Persuade, Debate, Closing Statement, Rebuttal, Synthesize, Goal, Roles, Opinions, Paraphrasing, Cohesion, Transition, Quotations, Summary, Emphasis, Call to Action</t>
  </si>
  <si>
    <t>privilege, right, access, accountability, agricultural, bureaucrats, allocations, compact, drought, affordability, inefficient, viable</t>
  </si>
  <si>
    <t>Assessed, Deposits, Erosion, Hazardous, Infrastructure, Pervasive, Razed, Sanitation, Accountability, Aquifers, Bureaucrats, Commission, Debris, Deluge, Embankment, Glaciers, Infrastructure, Irrigation, Livelihoods, Ravaged, Acres, Allocations, Antiquated, Blueprint, Brokered, Concessions, Dire, Drought, Elicit, Feasible, Fundamentally, Initial, Integrating, Meanders, Quantify, Rations, Robust, Subsistence, Unprecedented, Affordability, Amenities, Conservation, Ensure, Impurities, Moderately, Preserve, Provoked, Substantial, Sustainable, Theoretical</t>
  </si>
  <si>
    <t>CCSS.W.9-10.4; CCSS.SL.9-10.1; CCSS.L.9-10.4.B; CCSS.L.9-10.6</t>
  </si>
  <si>
    <t>Grade 10, Unit 2, Module 2</t>
  </si>
  <si>
    <t>Grade 10, Unit 2, Module 3</t>
  </si>
  <si>
    <t>Grade 10, Unit 2, Module 4</t>
  </si>
  <si>
    <t xml:space="preserve">Grade 10, Unit 3
</t>
  </si>
  <si>
    <t>Grade 10, Unit 3, Module 1</t>
  </si>
  <si>
    <t xml:space="preserve">Narrative Nonfiction, Fiction, Elements, Episodes, Setting, character, plot, character development, plot development, effective dialogue, culture, history, dramatic action, unresolved ending, flashback, flash forward, Irony, Suspense, linear, non-linear, comparison transactions, first person, third person, omniscient, allusions, simile, metaphor, euphemism, oxymoron, structure, theme personification, Fictional, Imagination, Conflict, Exposition, Resolution, Protagonist, Author's Purpose, Sensory Language, Explicit, Implicit, Cliff-hanger, central conflict, resolution, endings,
</t>
  </si>
  <si>
    <t>inspire, fantasy, realism, ritual, duty, superstition, mortality, reversal, inevitably, duality, persecute, merciful</t>
  </si>
  <si>
    <t>Abducted, Annul, Assailed, Bolster, Chide, Convulsed, Deluged, Destabilize, Molested, Mustered, Rekindled, Rendered, Synchronized, Traversed, Treks, Vault, Boisterous, Civic, Disengaged, Duly, Gravely, Gruesome, Interminably, Lapse, Paraphernalia, Perfunctory, Petulantly, Profusely, Reprimands, Ritual, Scold, Shabbier, Stoutly, Tradition, Absurd, Anaesthetic, Consecrated, Derision, Opaque, Flabbergasted, Indignation, Mores, Quizzical, Stupefied, Altitude, Celestial, Compresses, Delirious, Fugitive, Furrow, Lament, Penitents, Repose, Reverence</t>
  </si>
  <si>
    <t>Grade 10, Unit 3, Module 2</t>
  </si>
  <si>
    <t>Grade 10, Unit 3, Module 3</t>
  </si>
  <si>
    <t>Grade 10, Unit 3, Module 4</t>
  </si>
  <si>
    <t>Build Your Vocabulary: Word Analysis
Best Practices: Visual Vocabulary
Write to Impress: Interpret Figurative Language</t>
  </si>
  <si>
    <t xml:space="preserve">Grade 10, Unit 4
</t>
  </si>
  <si>
    <t>Grade 10, Unit 4, Module 1</t>
  </si>
  <si>
    <t>thesis, synthesize, organize, synonym, paraphrase, context, antonym, base word, root word affixes, order pace timing, etymology, syllabication, argumentative, informative, central idea, claim, reason, evidence, viewpoints, counterarguments, primary source, secondary source, reliable source, comparing, contrasting, moderator, audience, paraphrasing, direct quote, bibliography</t>
  </si>
  <si>
    <t>carbon footprint, sequestration, mitigation, agroecological, food security, yield ceiling, hydroponic farming, micro-grocery, democratizing, alter, revived, erratic</t>
  </si>
  <si>
    <t>Agroecology, Arable, Biomass, Carbon emissions, Carbon footprint, Cultivate, Depleted, Incentive, Regenerative, Sustainable, Acute, Adverse, Chronic, Constraints, Consuming, Demise, Enticing, Imposes, Profound, Radically, Agriculture, Collective, Democratizing, Efficient, Endeavor, Entrepreneurship, Food deserts, Hydroponic, Initiatives, Investment, Micro-grocery, Proceeds, Erosion, Floating farms, Global warming, Hyacinths, Low-lying deltas, Saplings, Subsistence farmers, Tectonic shifts, Waterlogging</t>
  </si>
  <si>
    <t>Grade 10, Unit 4, Module 2</t>
  </si>
  <si>
    <t>Grade 10, Unit 4, Module 3</t>
  </si>
  <si>
    <t>Grade 10, Unit 4, Module 4</t>
  </si>
  <si>
    <t xml:space="preserve">Grade 10, Unit 5
</t>
  </si>
  <si>
    <t>Grade 10, Unit 5, Module 1</t>
  </si>
  <si>
    <t xml:space="preserve">cause, effect, conflict, rising, action, climax, resolution, explanatory, informative, main idea, inferred meanings, internal conflicts, external conflicts, explanatory text, informative text, extended definitions, first person, third person, transitions in informative writing , clarity, coherence, effectiveness, act, scene, plot, precise language, domain-specific language, round, flat, static, dynamic, observation, inferred, medium, subject, tone, message, context, engagement, stage direction, thesis, topic, claim,
</t>
  </si>
  <si>
    <t xml:space="preserve">groundbreaking, foreshadow, internal conflicts, external conflicts, character development, juxtaposed, rising action, comic relief, facetiousness, deference, idealist, realist
</t>
  </si>
  <si>
    <t xml:space="preserve">Conspicuously, Doggedly, Feeble, Flit, Fresh, Furtively, Neurotic, Unobtrusively, Anticipating, Assimilation, Beseechingly, Dejection, Dispirited, Forlornly, Hides, Indignantly, Liberated, Mutilated, Paradoxically, Quizzical, Sophisticate, Vigorously, Assimilationist, Coquettishly, Curt, Dumbfounded, Eccentric, Enraptured, Heritage, Imploring, Incredulity, Ornate, Aspirations, Catastrophe, Indignantly, Nonplussed, Domestic drama, Melodrama, Rising action, Transaction, Alto, Deference, Deplore, Enunciating, Exuberance, Facetiousness, Forlornly, Gall, Jubilance, Pantomimes, Permeates, Phonograph, Plaintively, Strident, Taut, Bitterly, Browbeaten, Dialect, Eccentricity, Eludes, Epitaph, Flippancy, Idealist, Illiteracy, Mirage
</t>
  </si>
  <si>
    <t>Grade 10, Unit 5, Module 2</t>
  </si>
  <si>
    <t xml:space="preserve">Build Your Vocabulary: Map a Word
Best Practices: Storytelling with Vocabulary
</t>
  </si>
  <si>
    <t>Grade 10, Unit 5, Module 3</t>
  </si>
  <si>
    <t>CCSS.L.9-10.6; CCSS.SL.9-10.1; CCSS.L.9-10.5.C; CCSS.L.9-10.4.A</t>
  </si>
  <si>
    <t>Grade 10, Unit 5, Module 4</t>
  </si>
  <si>
    <t>Grade 10, Unit 5, Module 5</t>
  </si>
  <si>
    <t>Grade 10, Unit 5, Module 6</t>
  </si>
  <si>
    <t>Module 6: Word Meaning and Word Analysis</t>
  </si>
  <si>
    <t>Build Your Vocabulary: Map a Word
Best Practices: Gallery Walk</t>
  </si>
  <si>
    <t xml:space="preserve">Grade 10, Unit 6
</t>
  </si>
  <si>
    <t>Grade 10, Unit 6, Module 1</t>
  </si>
  <si>
    <t xml:space="preserve">Personal statement, Anecdote, Insight, Interaction, Comparisons, Declarative, Interrogative, Imperative, Exclamatory, Author's choice, interpret, Emphasis, Adverbs, Repetition, Transition, Cause, Effect, Comparison, Denotation, Connotation, Context, Illustrate, Elaborate, Analogy, Quotation, Audience, Characteristics, Skill, Experience, Talent
</t>
  </si>
  <si>
    <t>Embodied, aptitude, tendencies, bipartisan</t>
  </si>
  <si>
    <t>Anecdotes, Astound, Bestowed, Embodied, Eradicate, Forged, Heeding, Idealistic, Pragmatists, Prescribed, Solidarity, Stipulation, Tenet, Algorithms, Anthropologists, Aptitude, Assets, Behemoths, Code, Computer programming, Conventional, Crunching, Disdain, Engineering, Humanities, Innovative, Interpersonal, Philosophy, Pundits, Align, Avatars, Befall, Clinical, Eccentric, Forethought, Longitudinal, Neuroscientists, Plateau, Primes, Self-continuity, Tendencies, Vivid, Anathema, Biotech, Bipartisan, Bureau of Labor Statistics, Credential, Diction, Discourse, Diversity and inclusion, Green energy, Incentives, Microcredentials, Nontraditional, Pew Research, Return on our investment, Revenue, Rhetorical appeals, STEM</t>
  </si>
  <si>
    <t>Grade 10, Unit 6, Module 2</t>
  </si>
  <si>
    <t>Grade 10, Unit 6, Module 3</t>
  </si>
  <si>
    <t>Grade 10, Unit 6, Module 4</t>
  </si>
  <si>
    <t xml:space="preserve">Grade 10, Unit 7
</t>
  </si>
  <si>
    <t>Grade 10, Unit 7, Module 1</t>
  </si>
  <si>
    <t>Autobiography, Biography, Fictional narrative, Setting, Plot, Word choice, Interpretation, Perspective, Traditional tales, Creation stories, Dualism, Supreme Being, Fiction, Non-fiction, Theme, Realistic fiction, Historical fiction, Myth, Fantasy, Universal concept, Social context, Historical context, Form, Structure, Rhythm, Meter, Argumentation, Collaboration, Evidence, Reasoning, Literary analysis, Personal perspective</t>
  </si>
  <si>
    <t xml:space="preserve">subdue, barren, sustainer, endeavored, indignation, atonement, communed, nostalgic, lamentations
</t>
  </si>
  <si>
    <t xml:space="preserve">Adequately, Barren, Fruitful, Hurled, Staking, Subdue, Uprooted, Vault, Vegetation, Ascended (verb): went up Confined (verb): restricted or limited Convulsive (adj.): violent, muscular Cunning (adj.): clever and skillful Endure (verb): tolerate Haughty (adj.): proud and unfriendly Incredulous (adj.): skeptical and disbelieving Lustrous (adj.): shiny Traversed (verb): traveled through Vexed (verb): troubled or ill, Ailment, Anew, Arcane, Contemplation, Dormant, Industrious, Lamentations, Nostalgic, Preening, Repository, Sentient, Succumbed, Temperate, Vestiges, Vicinity
</t>
  </si>
  <si>
    <t>Grade 10, Unit 7, Module 3</t>
  </si>
  <si>
    <t xml:space="preserve">Grade 11, Unit 1
</t>
  </si>
  <si>
    <t>Grade 11, Unit 1, Module 1</t>
  </si>
  <si>
    <t xml:space="preserve">Claim, Evidence, Reasoning, Counterargument, Audience, Debatable, Precise, Supportable, Reason, Personal Narrative, Relevant, Specific, Accurate, Quote, Paraphrase, Summarize, Analyze, Explicit, Style, Idea, Context, Convention, Theme, Universal idea, Exposition, Climax, Resolution, Figurative language, Action verbs, Mood, Imagery, Adverbs, Repetition, Structure, Interpretation, Visualization, speaker, occasion, purpose, subject, tone, Perception, Connection, Topic, argumentation, debate, collaboration, questioner, moderator, recorder, non-fiction, fiction, conclusion, first person, Character, Narrator, Dialogue
</t>
  </si>
  <si>
    <t>trauma, self-image, subversive, perspective, rote, progressive, memorialize, heritage, deicide, hobby, multi-generational, elders</t>
  </si>
  <si>
    <t>Abscess, Altered, Assurance, Blotted, Boisterous, Damsels, Dimpled, Hideous, Makeshift, Maternally, Pastime, Prospect, Relegated, Subversive, Throes, Whisked, Dictatorship, Feud, Oppressed, Perseveres, Progressive, Progressive, Pronouncements, Recounts, Sanctuary, Tenants, Uniform, Anvil, Engender, Enmities, Homage, Infirm, Nomadic, Pilgrimage, Reverence, Tenuous, Writhe, Aura, Badinage, Bluster, Camaraderie, Compensatory, Inept, Languid, Longevity, Nostalgia, Palpable</t>
  </si>
  <si>
    <t>CCSS.L.11-12.6; CCSS.SL.11-12.1; CCSS.L.11-12.4.B</t>
  </si>
  <si>
    <t>Grade 11, Unit 1, Module 2</t>
  </si>
  <si>
    <t>CCSS.W.11-12.10; CCSS.SL.11-12.1; CCSS.L.11-12.5.B; CCSS.L.11-12.5.C</t>
  </si>
  <si>
    <t>Grade 11, Unit 1, Module 3</t>
  </si>
  <si>
    <t>CCSS.W.11-12.10; CCSS.SL.11-12.1; CCSS.L.11-12.4.B; CCSS.L.11-12.5.B</t>
  </si>
  <si>
    <t>Grade 11, Unit 1, Module 4</t>
  </si>
  <si>
    <t>CCSS.W.11-12.10; CCSS.SL.11-12.1; CCSS.L.11-12.4.A; CCSS.L.11-12.4.B; CCSS.L.11-12.6</t>
  </si>
  <si>
    <t xml:space="preserve">Grade 11, Unit 2
</t>
  </si>
  <si>
    <t>Grade 11, Unit 2, Module 1</t>
  </si>
  <si>
    <t xml:space="preserve">Argument, Claim, Reasons, Evidence, Civic Life, Reason, Reasoning, Conclusion, Explicit Central Idea, Implicit Central Idea, Inference, hook, explanation, Independent clause, Dependent Clause, Direct evidence, Indirect evidence, Data, Statistics, Facts, Unbiased, Objective, Formal, Informal, Key information, Sources, Context, Transitions, Additive, Contrasting, Causal, Sequential, Rhetorical, Logic, Pathos, Ethos, Kairos, Counterargument, Refutation, Realistic, Artistic, Biased, Primary, Secondary, Conclusion, Direct quotation, Paraphrase
</t>
  </si>
  <si>
    <t xml:space="preserve">designation, allocation, encroachment, preservationist, displacement, dispossession, coexist, stewardship, threshold, privatize, conservation, invasive
</t>
  </si>
  <si>
    <t xml:space="preserve">Allocation, Bisected, Designation, Disperse, Ecosystem, Encroaching, Erosion, Influx, Nabbed, Nirvana, Pined, Rationale, Unprecedented, Vying, Avid, Culminated, Desecration, Dispossession, Dubbed, Enlightenment, Extolled, Indigenous, Lobbied, Mar, Predicated, Respite, Romanticized, Spawned, Stewards, Sublime, Transcendentalist, Vistas, Apparent, Enshrined, Preserve, Recreating, Reinforce, Remote, Stewardship, Arrest, Blithely, Centennial, Compromised, Conservation, Deferred, Demoralized, Ecological, Edifice, Insurmountable, Invasive, Lobbyist, Motif, Paradox, Portend, Predates, Proliferating, Ravaging
</t>
  </si>
  <si>
    <t>CCSS.W.11-12.10; CCSS.SL.11-12.1; CCSS.L.11-12.4.B; CCSS.L.11-12.6</t>
  </si>
  <si>
    <t>Grade 11, Unit 2, Module 2</t>
  </si>
  <si>
    <t>CCSS.W.11-12.9; CCSS.SL.11-12.1; CCSS.L.11-12.4.A; CCSS.L.11-12.4.B; CCSS.RI.11-12.4</t>
  </si>
  <si>
    <t>Grade 11, Unit 2, Module 3</t>
  </si>
  <si>
    <t>CCSS.CCRA.R.1; CCSS.SL.11-12.1; CCSS.L.11-12.4.B; CCSS.L.11-12.5.B</t>
  </si>
  <si>
    <t>Grade 11, Unit 2, Module 4</t>
  </si>
  <si>
    <t>CCSS.L.11-12.4; CCSS.SL.11-12.1; CCSS.L.11-12.5.B; CCSS.L.11-12.5.C</t>
  </si>
  <si>
    <t xml:space="preserve">Grade 11, Unit 3
</t>
  </si>
  <si>
    <t>Grade 11, Unit 3, Module 1</t>
  </si>
  <si>
    <t>Narrative Nonfiction, Fiction, Theme, Inferred, Character, Narrative, Setting, Location, Direct, Indirect, Inference, Characterization, Historical, Environment, Plot, Dialogue, Dialogue tags, Punctuate, linear, non-linear, Narrator, Omniscient, Irony, Suspense, Dramatic irony, Situational irony, Structure, Point of view, Background, Context, Argumentation, Collaboration, Debate, Explicit, Implicit, Cliff-hanger, central conflict, exposition, resolution, endings,</t>
  </si>
  <si>
    <t>renounce, conscience, a priori, consented, unaccustomed, invariable, propensity, bereft, deferential, contemptuous, interloper, placate</t>
  </si>
  <si>
    <t>Caprice, Cleaving, Dreary, Implore, Indebted, Indiscriminately, Marvel, Pluck, Sensational, Zealously, Anguish, Brink, Consented, Courting, Elated, Fervent, Frenzy, Indistinct, Invade, Invariable, Latterly, Melancholy, Mused, Palpitations, Squabble, Unaccustomed, Weary, Bereft, Deferential, Incredulous, Placidly, Propensity, Relished, Resignation, Resolute, Resolve, Wan, Blithely, Deferred, Havens, Insurmountable, Invasive, Lobbyist, Motif, Neglect, Omnipresent, Paradox, Portend, Proliferating, Ravaging,</t>
  </si>
  <si>
    <t>Grade 11, Unit 3, Module 2</t>
  </si>
  <si>
    <t>Build Your Vocabulary: Map a Word
Best Practices: Vocabulary Timeline
Write to Impress: Understanding Figurative Language</t>
  </si>
  <si>
    <t>CCSS.L.11-12.6; CCSS.L.11-12.4.A; CCSS.SL.11-12.1</t>
  </si>
  <si>
    <t>Grade 11, Unit 3, Module 3</t>
  </si>
  <si>
    <t>CCSS.W.11-12.10; CCSS.SL.11-12.1; CCSS.L.11-12.4.A; CCSS.L.11-12.4.B; CCSS.RI.11-12.4</t>
  </si>
  <si>
    <t>Grade 11, Unit 3, Module 4</t>
  </si>
  <si>
    <t>Grade 11 Unit 4</t>
  </si>
  <si>
    <t>Grade 11, Unit 4, Module 1</t>
  </si>
  <si>
    <t>Thesis, Synthesize, Organize, Denotation, Connotation, Context, base word, root word, affixes, synonym, paraphrase, antonym, Reference materials, Claim, Counterclaim, Summary, Evidence, Reasoning, Compare, Contrast, Conflicting, Primary, Secondary, Reliable, Valid, Moderator, Audience, Format, paraphrasing, direct quote, bibliography</t>
  </si>
  <si>
    <t>carbon management, aquifers, stewardship, glaciers, drought tolerance, climatology, Dust Bowl, juxtaposition, conservation, reservoirs, weather patterns</t>
  </si>
  <si>
    <t>Accentuated, Byproduct, Dubious, Exacerbates, Full-fledged, Meticulously, Replenishment, Stealthy, Abundance, Arid, Chronic, Efficiency, Exploited, Scarcity, Socio-economic, Tenuous, Trajectories, Aftermath, Allegations, Alluring, Amplified, Apocalyptic, Dearth, Deluge, Depicting, Dire, Exuberantly, Foretell, Implies, Indelible, Juxtaposing, Mass exodus, Oblivion, Obsolete, Protruding, Abject, Allocation, Continental, Damming, Forged, Inherent, Profound, Ratified, Subsequent, Sustainable</t>
  </si>
  <si>
    <t>Grade 11, Unit 4, Module 2</t>
  </si>
  <si>
    <t>CCSS.W.11-12.10; CCSS.SL.11-12.1; CCSS.L.11-12.4.A</t>
  </si>
  <si>
    <t>Grade 11, Unit 4, Module 3</t>
  </si>
  <si>
    <t>Module 3: Word Concepts and Words in Context</t>
  </si>
  <si>
    <t>Build Your Vocabulary: Concept Map
Best Practices: Vocabulary Telephone
Write to Impress: Verify a Definition</t>
  </si>
  <si>
    <t>Grade 11, Unit 4, Module 4</t>
  </si>
  <si>
    <t xml:space="preserve">Grade 11, Unit 5
</t>
  </si>
  <si>
    <t>Grade 11, Unit 5, Module 1</t>
  </si>
  <si>
    <t>cause, effect, conflict, internal conflicts, external conflicts, explanatory, informative, main idea, inferred meanings, Early modern, Punctuation, Phrasing, Extended definition, Direct, Indirect, Mannerisms, Speech, Dialogue, Transition, Syntax, Linking, Cohesion, Act, Scene, Plot, Rising action, Climax, Resolution, Precise, Domain-specific, Figurative language, observation, inferred, medium, subject, tone, message, context, engagement, stage direction, thesis, topic, claim,</t>
  </si>
  <si>
    <t>supernatural prophecy, soliloquies, phenomena, allusion, manipulate, sovereignty, apparitions, dramatic action, harbingers, circumvent</t>
  </si>
  <si>
    <t>Beguile, Flout, Gall, Harbinger, Irrevocable, Pall, Quell, Sovereign        Badged, Expedition, Foreboding, Gild, Lamenting, Limited, Sacrilegious, Scruples, Sentinel, Thriftless, Undivulged, Chid, Jocund, Qualms, Tyrant, Verities, Desolate, Diminutive, Fortitude, Hoodwink, Pernicious, Quarry, Sanctity, Ague, Avouches, Bane, Barbarity, Disseat, Epicures, Fain, Gleaned, Hew, Loon, Palter, Rabble, Raze, Scour, Siege, Thwart, Trajectory</t>
  </si>
  <si>
    <t>CCSS.RL.11-12.5; CCSS.SL.11-12.1; CCSS.L.11-12.4.B; CCSS.L.11-12.5.B</t>
  </si>
  <si>
    <t>Grade 11, Unit 5, Module 2</t>
  </si>
  <si>
    <t>CCSS.RL.11-12.5; CCSS.SL.11-12.1; CCSS.L.11-12.5.B; CCSS.L.11-12.4.A; CCSS.L.11-12.6</t>
  </si>
  <si>
    <t>Grade 11, Unit 5, Module 3</t>
  </si>
  <si>
    <t>CCSS.RL.11-12.5; CCSS.L.11-12.5.C; CCSS.L.11-12.4.A</t>
  </si>
  <si>
    <t>Grade 11, Unit 5, Module 4</t>
  </si>
  <si>
    <t>CCSS.RL.11-12.5; CCSS.SL.11-12.1; CCSS.L.11-12.4.A; CCSS.L.11-12.4.B; CCSS.L.11-12.6</t>
  </si>
  <si>
    <t>Grade 11, Unit 5, Module 5</t>
  </si>
  <si>
    <t>Module 5: Word Analysis (Connotation) and Word Meaning</t>
  </si>
  <si>
    <t>CCSS.L.11-12.6</t>
  </si>
  <si>
    <t xml:space="preserve">Grade 11, Unit 6
</t>
  </si>
  <si>
    <t>Grade 11, Unit 6, Module 1</t>
  </si>
  <si>
    <t>Personal statement, Anecdote, Insight, Linear, Non-linear, Flashback, Flash-forward, Foreshadow, Interaction, Comparisons, Declarative, Interrogative, Imperative, Exclamatory, Author's choice, interpret, Denotation, Connotation, Context, Emphasis, Adverbs, Repetition, Order, Sequence, Causation, Biography, genre, text, image, Audience, Skill, Experience, Talent,</t>
  </si>
  <si>
    <t>Storytelling, major, criteria, distinguished</t>
  </si>
  <si>
    <t xml:space="preserve">Abroad, Angst, Disseminated, Dubious, Extemporaneously, Frazzled, Parallelism, Precedent, Retrospect, Reverberating, Analytical, Inquiring, Merit, Navigate, Perspectives, Renowned, Anecdotes, Anxiety, Arc, Aspirations, Authentic, Deftly, Glib, Outset, Quirk, Slew, Anecdotes, Coherent, Concise, Congenial, Daunting, Defray, Mundane, Prospective, Supplemental, Top-notch
</t>
  </si>
  <si>
    <t>CCSS.L.11-12.5; CCSS.SL.11-12.1; CCSS.L.11-12.5.B</t>
  </si>
  <si>
    <t>Grade 11, Unit 6, Module 2</t>
  </si>
  <si>
    <t>Build Your Vocabulary: Map a Word
Best Practices: Shades of Meaning
Write to Impress: Understand Word Nuances</t>
  </si>
  <si>
    <t>CCSS.L.11-12.5; CCSS.SL.11-12.1; CCSS.L.11-12.5.B; CCSS.L.11-12.4.B</t>
  </si>
  <si>
    <t>Grade 11, Unit 6, Module 3</t>
  </si>
  <si>
    <t>Build Your Vocabulary: Explore a Word
Best Practices: Vocabulary Bingo</t>
  </si>
  <si>
    <t>Grade 11, Unit 6, Module 4</t>
  </si>
  <si>
    <t xml:space="preserve">Grade 11, Unit 7
</t>
  </si>
  <si>
    <t>Grade 11, Unit 7, Module 1</t>
  </si>
  <si>
    <t xml:space="preserve">Setting, Plot, Word choice, Interpretation, Perspective, Rhetoric, Rhetorical situation, Exigence, Evidence, Reason, Transitional language, Style, Diction, Syntax, Grammar, Audience, Argument, Context, Message, Form, Structure, Rhythm, Meter, Fiction, Non-fiction, Theme, Argumentation, Collaboration, Reasoning, Literary analysis, Personal perspective
</t>
  </si>
  <si>
    <t xml:space="preserve">self-evident, Creator, abolish, sanctions, delegates, posterity, political freedom, deliverance, infallibility, burgeoning, seceding, sufferance
</t>
  </si>
  <si>
    <t xml:space="preserve">Abolish, Commemorated, Deriving, Disposed, Evinces, Exigent, Grievances, Impel, Instituted, Invariably, Prudence, Seminal, Shewn, Sufferance, Transient, Tyrannical, Unalienable, Usurpations, Ample, Bigotry, Civic, Demean, Lauded, Posterity, Sanction, Seminal, Tyrants, Vital , Abolitionists, Abomination, Absolved, Allegiance, Barbarity, Cunning, Devout, Disparity, Flagrantly, Flinty, Forlorn, Gallant, Garment, Head, Hostile, Hypocrisy, Ovations, Solemnly, Appeals, Appointed, Ascribe, Avert, Cataclysmic, Consecrate, Deprecated, Discern, Fervently, Impending, Inauguration, Insurgent, Mystic, Perpetuate, Rampant, Seceding, Ventured, Woe
</t>
  </si>
  <si>
    <t>CCSS.W.11-12.10; CCSS.SL.11-12.1; CCSS.L.11-12.4.A; CCSS.L.11-12.6</t>
  </si>
  <si>
    <t>Grade 11, Unit 7, Module 2</t>
  </si>
  <si>
    <t>Grade 11, Unit 7, Module 3</t>
  </si>
  <si>
    <t xml:space="preserve">Module 3: Word Meaning and Word Analysis </t>
  </si>
  <si>
    <t xml:space="preserve">Build Your Vocabulary: Map a Word
Best Practices: List, Group, Label
</t>
  </si>
  <si>
    <t>CCSS.L.11-12.6; CCSS.SL.11-12.1; CCSS.L.11-12.5.B; CCSS.L.11-12.5.C</t>
  </si>
  <si>
    <t>Grade 11, Unit 7, Module 4</t>
  </si>
  <si>
    <t>Module 4: Word Analysis</t>
  </si>
  <si>
    <t xml:space="preserve">Grade 12, Unit 1
</t>
  </si>
  <si>
    <t>Grade 12, Unit 1, Module 1</t>
  </si>
  <si>
    <t xml:space="preserve">Claim, Evidence, Reasoning, Counterargument, Audience, Debatable, Precise, Supportable, Reason, Personal Narrative, Relevant, Specific, Accurate, Quote, Paraphrase, Summarize, Analyze, Explicit, Style, Idea, Context, Convention, Exposition, Climax, Resolution, Fiction, Theme, Universal idea, Figurative language, Action verbs, Mood, Imagery, speaker, occasion, purpose, subject, tone, comprehension, associations, argumentation, debate, collaboration, questioner, moderator, recorder, non-fiction, conclusion, first person, Narrator, Dialogue
</t>
  </si>
  <si>
    <t xml:space="preserve">conviction, draft (noun), censure, insight, marginalized, refuge, persona, vulnerable, social hierarchy, authentic, individualism, posterity
</t>
  </si>
  <si>
    <t xml:space="preserve">Acquiescence, Censure, Comport, Cryptic, Draft, Eviscerated, Exile, Finite, Gentry, Nationalist, Pacifist, Pretense, Reticence, Treasonous, Turncoat, Vigil, Affluent, Apprehensive, Contempt, Elusive, Harboring, Humanitarian, Imposing, Infirmary, Intolerance, Marginalized, Mute, Occupy, Oppressed, Ration, Reprieve, Respite,  Salvage, Self-preservation, Bias, Cardinal rule, Crucified, Dainty, Elusive, Emigrated, Immigrant, Mandatory, Persona, Ridicule, Semblance, Tumultuous, Clout, Faculties, Handsomely, Inevitable, Myriad, Perpetual, Reckoning, Rout, Rudiment, Sublime, Superfluous, Unfathomed, Vexing, Wretchedness
</t>
  </si>
  <si>
    <t>Grade 12, Unit 1, Module 2</t>
  </si>
  <si>
    <t>Grade 12, Unit 1, Module 3</t>
  </si>
  <si>
    <t>CCSS.L.11-12.6; CCSS.SL.11-12.1; CCSS.L.11-12.4.B; CCSS.L.11-12.5.B</t>
  </si>
  <si>
    <t>Grade 12, Unit 1, Module 4</t>
  </si>
  <si>
    <t>CCSS.L.11-12.4.d; CCSS.SL.11-12.1; CCSS.L.11-12.4.A; CCSS.L.11-12.4.B; CCSS.L.11-12.6</t>
  </si>
  <si>
    <t xml:space="preserve">Grade 12, Unit 2
</t>
  </si>
  <si>
    <t>Grade 12, Unit 2, Module 1</t>
  </si>
  <si>
    <t xml:space="preserve">Debatable claim, Civic life, Argument, Claim, Reasons, Evidence, Explicit, Central Idea, Implicit, Central Idea, Inference, Hook, explanation, Facts, Quotations, Details, Relevant, Integrate, Quote, Summarize, Paraphrase, Citation, Reference, Footnote, Endnote, Introduction, Preface, Forward, Acknowledgment, Transitions, Issue, Stake, Rhetorical, Logos, Pathos, Ethos, Opposing, Alternative, Refutation, Reasoning, Counterargument, Persuade, Credible, Unbiased, Primary, Secondary, Debate, Closing Statement, Rebuttal, Synthesize, Goal, Roles, Opinions, Paraphrasing, Cohesion, Quotations, Summary, Emphasis, Call to Action
</t>
  </si>
  <si>
    <t xml:space="preserve">generalize, ethics, algorithms, profiling, transparency, projection, autonomous, dynamic, soft robot, infiltrating, mundane, subjective
</t>
  </si>
  <si>
    <t xml:space="preserve">Adversarial, Akin, Analogies, Autonomous, Curating, Merged, Optimize, Value alignment, Value neutral, Arcane, Audit, Biased, Cognizant, Criminal justice, Evaluating, Harbinger, Jurisdiction, Neural, Opacity, Outputs, Proprietary, Repercussions, Reverberations, Scrutiny, Taint, Transparency, Welfare, Automated, Wary, Ferrying, Specimens, Ergonomically, Incisions, Companionship, Dementia, Root canal, Mimic. Banter, Deluged, Demographics, Deploy, Gibberish, Halted, Hastened, Pioneered, Prone, Subtle
</t>
  </si>
  <si>
    <t>Grade 12, Unit 2, Module 2</t>
  </si>
  <si>
    <t>Build Your Vocabulary: Frayer Model
Best Practices: Vocabulary BINGO!</t>
  </si>
  <si>
    <t>CCSS.L.11-12.6; CCSS.SL.11-12.1; CCSS.L.11-12.4.A; CCSS.L.11-12.4.B; CCSS.RI.11-12.4</t>
  </si>
  <si>
    <t>Grade 12, Unit 2, Module 3</t>
  </si>
  <si>
    <t>Build Your Vocabulary: Map a Word
Best Practices: Link It!</t>
  </si>
  <si>
    <t>CCSS.L.11-12.6; CCSS.RI.11-12.5; CCSS.W.11-12.1; CCSS.SL.11-12.1; CCSS.L.11-12.4.B; CCSS.L.11-12.5.B; CCSS.RI.11-12.6; CCSS.RI.11-12.1; CCSS.RI.11-12.2; CCSS.RI.11-12.7; CCSS.RI.11-12.4</t>
  </si>
  <si>
    <t>Grade 12, Unit 2, Module 4</t>
  </si>
  <si>
    <t>CCSS.L.11-12.4.d; CCSS.SL.11-12.1; CCSS.L.11-12.5.B; CCSS.L.11-12.5.C</t>
  </si>
  <si>
    <t xml:space="preserve">Grade 12, Unit 3
</t>
  </si>
  <si>
    <t>Grade 12, Unit 3, Module 1</t>
  </si>
  <si>
    <t>Narrative Nonfiction, Fiction, Theme, Inferred, Character, Irony, Suspense, Dramatic irony, Situational irony, setting, plot, culture, history, Character development, Dialogue, Dialogue tags, Punctuate, dramatic action, unresolved ending, flashback, flash forward, Historical, Environment, linear, non-linear, Structure, Point of view, Background, Context, Argumentation, Collaboration, Debate, Explicit, Implicit, Cliff-hanger, central conflict, exposition, resolution, endings,</t>
  </si>
  <si>
    <t>adversity, deliberation, physiological, sedately, autonomous, degenerate, decorous, imperious, utopian, post-apocalyptic, precipice, prophetic, acquiescence, vomitory, atavism</t>
  </si>
  <si>
    <t xml:space="preserve">Adversity, Condescending, Contempt, Degenerate, Deliberation, Delinquency, Ego, Fluke, Fundamentally, Indulgences, Keen, Loathe, Matriculations, Milling, Neurotic, Rational, Singularly,  Wavering, Artificial Intelligence, Atonement, Autonomous, Brooded, Congealed, Conspiratorial, Corollary, Efficient, Exhorted, Fortuitous, Grimaced, Indeterminate, Opaque, Prosaic, Queue, Resentment, Sedately, Vagrancy, Allayed, Omnipotent, Falter, Devoid, Gradations, Caprice, Pneumatic, Gilded, Subservient, Debarred, Dyspeptic, Prattle, Sloshy, Blithely, Abated, Binary, Blasphemous, Brazen, Brusquely, Camaraderie, Dispel, Erratic, Impunity, Lure, Lustrous, Marring, Obscure, Precipice, Primal, Prophetic, Visceral
</t>
  </si>
  <si>
    <t>Grade 12, Unit 3, Module 2</t>
  </si>
  <si>
    <t>CCSS.L.11-12.6; CCSS.SL.11-12.1; CCSS.L.11-12.4.A</t>
  </si>
  <si>
    <t>Grade 12, Unit 3, Module 3</t>
  </si>
  <si>
    <t>Grade 12, Unit 3, Module 4</t>
  </si>
  <si>
    <t xml:space="preserve">Grade 12, Unit 4
</t>
  </si>
  <si>
    <t>Grade 12, Unit 4, Module 1</t>
  </si>
  <si>
    <t>Roots, and Affixes
Determining the Meanings of Words and Phrases</t>
  </si>
  <si>
    <t xml:space="preserve">Thesis, Synthesize, Organize, synonym, paraphrase, context, antonym, base word, root word, affixes, Point of view, Claim, Reason, Evidence, Reasoning, Counterclaim, Summary, Concise, Objective, Compare, Contrast, Similar, Accurate, Conflicting, Refine, Reliable, Valid, Crucial, Plagiarizing, Credibility, Panel discussion, panel member, moderator, Central idea, Subtopics, Introduction, Hook, Body, Conclusion, Citing sources, Plagiarism, Quotation, Bibliography
</t>
  </si>
  <si>
    <t>renewables, emissions, utopia, monolithic, restrictive, energy grid, decarbonization, anomaly, sociocultural, immersion, unprecedented</t>
  </si>
  <si>
    <t xml:space="preserve">Assessing, Cornucopia, Egregious, Extraction, Insulating, Myriad, Veritable, Diversify, Innovative, Monolithic, Proponents, Renewable, Restrictive, Unconventional, Utopia, Activist, Anomaly, Archetypal, Asylum, Commodity, Confluence, Entitlements, Palatable, Scudding, Sovereignty, Tariffs, Toiled, Universal, Yoking, Comprises, Contaminants, Emeritus, Immersion, Innovative, Predominantly, Rugged, Sovereignty, Unprecedented
</t>
  </si>
  <si>
    <t>Grade 12, Unit 4, Module 2</t>
  </si>
  <si>
    <t>Grade 12, Unit 4, Module 3</t>
  </si>
  <si>
    <t xml:space="preserve">Word </t>
  </si>
  <si>
    <t>Grade 12, Unit 4, Module 4</t>
  </si>
  <si>
    <t>Module 4: Word Analysis (Context Clues) and Word Meaning</t>
  </si>
  <si>
    <t>CCSS.L.11-12.4.d; CCSS.SL.11-12.1; CCSS.L.11-12.4.A; CCSS.L.11-12.4.B; CCSS.RI.11-12.4</t>
  </si>
  <si>
    <t xml:space="preserve">Grade 12, Unit 5
</t>
  </si>
  <si>
    <t>Grade 12, Unit 5, Module 1</t>
  </si>
  <si>
    <t xml:space="preserve">cause, effect, conflict, rising, action, climax, resolution, explanatory, informative, main idea, inferred meanings, Direct, Indirect, Mannerisms, Speech, Dialogue, Extended definition, observation, Transition, Syntax, Linking, Cohesion, precise language, domain-specific language, medium, subject, tone, message, context, engagement, stage direction, plot, thesis, topic, claim,
</t>
  </si>
  <si>
    <t xml:space="preserve">civic duty, Greek tragedians, condemned, House of Labdacus, omnipotent, inexorable        
</t>
  </si>
  <si>
    <t xml:space="preserve">Abhors, Bandy, Connive, Exaction, Gallantly, Haste, Ignominy, Meeteth, Proclamation, Ransack, Reverence, State, Transgress, Anticipating, Atonement, Condemned, Contravene, Expiation, Immutable, Impudent, Obstinate, Paramour, Prerogative, Presumptuous, Rout, Staunchest, Troth, Abominate, Acolyte, Banishing, Beseech, Blight, Goaded, Inexorable, Loth, Omnipotent, Prudence
</t>
  </si>
  <si>
    <t>Grade 12, Unit 5, Module 2</t>
  </si>
  <si>
    <t>CCSS.L.11-12.6; CCSS.SL.11-12.1; CCSS.L.11-12.5.B; CCSS.L.11-12.4.A</t>
  </si>
  <si>
    <t>Grade 12, Unit 5, Module 3</t>
  </si>
  <si>
    <t xml:space="preserve">Build Your Vocabulary: Word Analysis
Best Practices: Vocabulary Hot Seat
</t>
  </si>
  <si>
    <t>CCSS.L.11-12.6; CCSS.SL.11-12.1; CCSS.L.11-12.5.C; CCSS.L.11-12.4.A</t>
  </si>
  <si>
    <t xml:space="preserve">Grade 12, Unit 6
</t>
  </si>
  <si>
    <t>Grade 12, Unit 6, Module 1</t>
  </si>
  <si>
    <t>Personal statement, Anecdote, Insight, Interaction, Comparisons, Declarative, Interrogative, Imperative, Exclamatory, Emphasis, Adverbs, Repetition, Denotation, Connotation, Context, Illustrate, Elaborate, Analogy, Quotation, Biography, genre, text, image, Pitch, Template, Memorable, Audience, Hook, First-person</t>
  </si>
  <si>
    <t>fairness, budget, work-study, experiential learning, employer tuition assistance, formative, maturation, autonomy</t>
  </si>
  <si>
    <t>Conjured, Conviction, Damning, Esteemed, Hallmark, Impart, Levity, Profound, Stature, Taboo, Ballooning, Bloated, Consensus, Enduring, Escalated, Immune, Intentional, Misinformation, Notion, Policy, Premise, Promote, Runaway, Surged, Unanimous, Array, Assessments, Bandwidth, Capped, Divert, Dole, Dual, Exorbitant, Extenuating, Feat, Federal, Moderate, Navigate, Private, Utilize, Acquisition, Attainment, Bestow, Bound, Deviant, Evaluation, Myriad, Objective, Subjective, Traverse</t>
  </si>
  <si>
    <t>Grade 12, Unit 6, Module 2</t>
  </si>
  <si>
    <t>Grade 12, Unit 6, Module 3</t>
  </si>
  <si>
    <t xml:space="preserve">Build Your Vocabulary: Explore a Word
Best Practices: Vocabulary Bingo
</t>
  </si>
  <si>
    <t>CCSS.L.11-12.5; CCSS.SL.11-12.1; CCSS.L.11-12.4.A; CCSS.L.11-12.4.B; CCSS.RI.11-12.4</t>
  </si>
  <si>
    <t>Grade 12, Unit 6, Module 4</t>
  </si>
  <si>
    <t>CCSS.L.11-12.5; CCSS.SL.11-12.1; CCSS.L.11-12.4.A; CCSS.L.11-12.4.B; CCSS.L.11-12.6</t>
  </si>
  <si>
    <t xml:space="preserve">Grade 12, Unit 7
</t>
  </si>
  <si>
    <t>Grade 12, Unit 7, Module 1</t>
  </si>
  <si>
    <t>Autobiography, Biography, Fictional narrative, Setting, Plot, Word choice, Interpretation, Perspective, Realism, Historical, Cultural, Unbiased, Objective, Precise, Specific, Fiction, Non-fiction, Memoir, Informational, Archetype, Theme, Character, Form, Structure, Rhythm, Meter, Argumentation, Collaboration, Evidence, Reasoning, Literary analysis, Personal perspective</t>
  </si>
  <si>
    <t>approbation, haranguing, anathema, squalor, impelled, eccentric, impregnable, occupation, slant, querulous, inexplicable, intuition</t>
  </si>
  <si>
    <t>Abashed, Addled, Austerity, Confounded, Discerned, Famished, Fiend, Haranguing, Impunity, Lurid, Obsequious, Outlandish, Persecution, Pious, Precipice, Principles, Reform, Reverenced, Sages, Sanctity,  Scruples, Sentiment, Transient, Uncouth, Accosting, Antipathy, Averse, Contrived, Dismal, Feeble, Gall, Impertinent, Indecorous, Livid, Melancholy, Perish, Repented, Seclusion, Woes, Chambers, Circuit, Dazzle, Dwell, Eased, Infirm, Recluse, Renowned, Slant, Superb, Atrocious, Feral, Grotesque, Lurid, Peculiar, Querulous, Scoffs, Snidely, Subdued, Ungainly</t>
  </si>
  <si>
    <t>Grade 12, Unit 7, Module 2</t>
  </si>
  <si>
    <t>Grade 12, Unit 7, Module 3</t>
  </si>
  <si>
    <t>Module 3: Word Meaning (Root Words)</t>
  </si>
  <si>
    <t>Grade 12, Unit 7, Module 4</t>
  </si>
  <si>
    <t xml:space="preserve"> </t>
  </si>
  <si>
    <t>Writing Assessment</t>
  </si>
  <si>
    <t>Writing Prompts</t>
  </si>
  <si>
    <t>Strategies for Writing
(Teacher Introduction to Skills)
Show and Tell</t>
  </si>
  <si>
    <t>Collaborative and Independent Student Practice Tasks in the Technology-Enabled, Blended Writing Process</t>
  </si>
  <si>
    <t>Assessment in Applied Writing
Practice with Automated Feedback Opportunities</t>
  </si>
  <si>
    <t>Essential Prompts and Essential Portfolio Pieces</t>
  </si>
  <si>
    <t>Complementary Writing Prompt</t>
  </si>
  <si>
    <r>
      <rPr>
        <rFont val="Montserrat"/>
        <b/>
        <color rgb="FFFFFFFF"/>
        <sz val="8.0"/>
      </rPr>
      <t>Pulled from Design Sheet (</t>
    </r>
    <r>
      <rPr>
        <rFont val="Montserrat"/>
        <b/>
        <color rgb="FF1155CC"/>
        <sz val="8.0"/>
        <u/>
      </rPr>
      <t>Link</t>
    </r>
    <r>
      <rPr>
        <rFont val="Montserrat"/>
        <b/>
        <color rgb="FFFFFFFF"/>
        <sz val="8.0"/>
      </rPr>
      <t>)</t>
    </r>
  </si>
  <si>
    <r>
      <rPr>
        <rFont val="Montserrat"/>
        <b/>
        <color rgb="FFFFFFFF"/>
        <sz val="8.0"/>
      </rPr>
      <t xml:space="preserve"> Pull B header in SG pages
</t>
    </r>
    <r>
      <rPr>
        <rFont val="Montserrat"/>
        <b/>
        <color rgb="FF1155CC"/>
        <sz val="8.0"/>
        <u/>
      </rPr>
      <t>http://learn.thinkcera.com</t>
    </r>
    <r>
      <rPr>
        <rFont val="Montserrat"/>
        <b/>
        <color rgb="FFFFFFFF"/>
        <sz val="8.0"/>
      </rPr>
      <t xml:space="preserve"> 
</t>
    </r>
  </si>
  <si>
    <r>
      <rPr>
        <rFont val="Montserrat"/>
        <b/>
        <color rgb="FF1155CC"/>
        <sz val="8.0"/>
        <u/>
      </rPr>
      <t>Pull Direct Instruction</t>
    </r>
    <r>
      <rPr>
        <rFont val="Montserrat"/>
        <b/>
        <color rgb="FFFFFFFF"/>
        <sz val="8.0"/>
      </rPr>
      <t xml:space="preserve"> (sanity check tab)</t>
    </r>
  </si>
  <si>
    <t>Pull Writing Prompts</t>
  </si>
  <si>
    <t>Pull Alternative</t>
  </si>
  <si>
    <t>Grade 6 Unit 1</t>
  </si>
  <si>
    <t>Grade 6, Unit 1, Module 0</t>
  </si>
  <si>
    <t>Module 0: 
Show and Tell: Writing Claim Statements; Evaluating Evidence</t>
  </si>
  <si>
    <t xml:space="preserve">Introduction: What Is CERCA?
Claims
Supporting Claims with Evidence
The Purpose of Personal Narrative Writing
</t>
  </si>
  <si>
    <t>Read the Narrative Writing Rubric</t>
  </si>
  <si>
    <t>CCSS.W.6.10; CCSS.W.6.5; CCSS.W.6.1.a; CCSS.W.6.1; CCSS.W.6.1.b; CCSS.W.6.3</t>
  </si>
  <si>
    <t>Who Are You?0</t>
  </si>
  <si>
    <t>Module 1: 
Show and Tell: Paraphrase, Summary, Quote</t>
  </si>
  <si>
    <t>Writing Process: Quick Journal, Connect, Analyze (Evidence and Annotation), Develop, Draft, Review
Sharpen Your Sentences: Expand the Sentence 
Appreciate the Author's Craft</t>
  </si>
  <si>
    <t xml:space="preserve">Draft and Review
</t>
  </si>
  <si>
    <t xml:space="preserve">Complementary Prompt - Argumentative: Which of Rachel's actions best show her thoughts and feelings about the misunderstanding between her and her teacher? Cite specific evidence, including inferences you made, from the text to support your response. </t>
  </si>
  <si>
    <t>Complementary Prompt - Informative: How do Rachel's actions show her thoughts and feelings about the misunderstanding between her and her teacher? Cite specific evidence, including inferences you made, from the text to support your response.</t>
  </si>
  <si>
    <t>CCSS.W.6.2; CCSS.W.6.10; CCSS.W.6.4; CCSS.W.6.5; CCSS.W.6.9; CCSS.W.6.3; CCSS.W.6.1</t>
  </si>
  <si>
    <t>Who Are You?1</t>
  </si>
  <si>
    <t>Module 2: 
Show and Tell: Developing Imagery</t>
  </si>
  <si>
    <t>Organizing Narrative Writing</t>
  </si>
  <si>
    <t>Writing Process: Quick Journal, Connect, Analyze, Develop, Draft, Review
Appreciate the Author's Craft</t>
  </si>
  <si>
    <t>Essential Prompt - Narrative: Using the opening of "Fish Cheeks" as a model, write the exposition of a narrative based on a real or imagined character. You may use this to kickstart your thinking: "On the first day of [choose a particular time of year or a holiday season], [character] [character's main feeling or key action to kick off the story]." Imagine this as a movie trailer; each step of the exposition should hint at what is to come at the beginning, middle, and end while introducing the setting, the character, and the main problem of the story.</t>
  </si>
  <si>
    <t>Complementary Prompt - Argumentative: What specific kinds of imagery does the author use to communicate the tension that the narrator feels about her cultural identity?</t>
  </si>
  <si>
    <t>CCSS.W.6.1; CCSS.W.6.10; CCSS.W.6.4; CCSS.W.6.5; CCSS.W.6.3.a; CCSS.W.6.3; CCSS.W.6.9</t>
  </si>
  <si>
    <t>Who Are You?2</t>
  </si>
  <si>
    <t>Module 3: 
Show and Tell: Practice  Showing Rather Than Telling (Writing for Readers to Infer</t>
  </si>
  <si>
    <t>Developing Events in Narrative Writing</t>
  </si>
  <si>
    <t xml:space="preserve">Writing Process: Quick Journal, Connect, Analyze (Evidence and Annotation) Develop, Draft, Review
</t>
  </si>
  <si>
    <t>Draft and Review</t>
  </si>
  <si>
    <t>Complementary Prompt - Narrative: Rewrite the story in the selection starting from the climax. Take the climax that you just read in this module and rewrite what happens next. Change the ending, create a plot twist, or shift the focus to a different character.</t>
  </si>
  <si>
    <t>Complementary Prompt - Argumentative: In this personal narrative, the author reflects on the positive changes he experiences once he begins to wear glasses. What do you think is the most important lesson that he learns about himself from these changes and why?</t>
  </si>
  <si>
    <t>CCSS.W.6.1; CCSS.W.6.10; CCSS.W.6.4; CCSS.W.6.5; CCSS.W.6.3.b; CCSS.W.6.3; CCSS.W.6.9</t>
  </si>
  <si>
    <t>Who Are You?3</t>
  </si>
  <si>
    <t>Module 4: 
Show and Tell: Conveying Themes</t>
  </si>
  <si>
    <t>Writing Process: Quick Journal, Connect, Analyze (Evidence and Annotation), Develop, Draft, Review
Share Your Best Writing Sample: Reflect on Writing Over the Course of the Unit</t>
  </si>
  <si>
    <t>Complementary Prompt - Narrative: Using "Ice" as a model, describe a time when you embarked on an adventure in order to achieve something special or to win approval from a team, an organization, or even a friend or family member. Think about why getting approval from the people closest to us, like family and friends, feels so important. Use words like myself, yourself, himself, herself, ourselves, yourselves, and themselves to show how you felt and grew during the adventure. Explain how your journey and experiences show the importance of perseverance (never giving up) and why approval from loved ones matters.</t>
  </si>
  <si>
    <t>CCSS.W.6.1; CCSS.W.6.10; CCSS.W.6.4; CCSS.W.6.5; CCSS.W.6.3; CCSS.W.6.9.a; CCSS.W.6.9</t>
  </si>
  <si>
    <t>Who Are You?4</t>
  </si>
  <si>
    <t>Grade 6, Unit 1, Module 5</t>
  </si>
  <si>
    <t>Module 5: 
Show and Tell: Research Project: Author Biography</t>
  </si>
  <si>
    <t>Writing Process: Quick Journal</t>
  </si>
  <si>
    <t>CCSS.W.6.10; CCSS.W.6.4; CCSS.W.6.6; CCSS.W.6.8; CCSS.W.6.7; CCSS.W.6.9; CCSS.W.6.9.a</t>
  </si>
  <si>
    <t>Who Are You?5</t>
  </si>
  <si>
    <t>Grade 6, Unit 1, Module 6</t>
  </si>
  <si>
    <t>Module 6: 
N/A</t>
  </si>
  <si>
    <t>Reflect on the Essential Question
Prepare for the Discussion
Reflect on the Discussion</t>
  </si>
  <si>
    <t>CCSS.W.6.1; CCSS.W.6.3; CCSS.W.6.7; CCSS.W.6.9; CCSS.6.C.4.1</t>
  </si>
  <si>
    <t>Grade 6, Unit 1, Module 7</t>
  </si>
  <si>
    <t>Module 7: 
Show and Tell: Writing to Show Rather than Tell; Student Scoring; Vivid Writing</t>
  </si>
  <si>
    <t>Writing the Personal Narrative
Beginnings in Narrative Writing
Giving and Using Feedback for Revision</t>
  </si>
  <si>
    <t>Writing Process:  Connect, Analyze, Develop, Draft, Review
Score the Example: "Flying Solo" by Simon Doherty
Practice Feedback: "Flying Solo" by Simon Doherty
Choose Your Moment
Map Your Personal Narrative
Make It Vivid: Descriptive Language
Share Your Personal Narrative: Peer Editing
Edit the Draft Together: Give and Get Feedback
Reflect on Your Writing</t>
  </si>
  <si>
    <t>Portfolio: Writing Your Personal Narrative: Draft and Review</t>
  </si>
  <si>
    <t>Portfolio Piece-Narrative: Write a personal narrative about a moment in your life when you shared a side of yourself that you were afraid to show others.</t>
  </si>
  <si>
    <t>CCSS.W.6.10; CCSS.W.6.3; CCSS.W.6.5; CCSS.W.6.3.a; CCSS.W.6.4; CCSS.W.6.9; CCSS.W.6.3.d; CCSS.W.6.3.B; CCSS.W.6.3.C; CCSS.W.6.3.E</t>
  </si>
  <si>
    <t>Who Are You?7</t>
  </si>
  <si>
    <t>CCSS Standards</t>
  </si>
  <si>
    <t>Grade 6 Unit 2</t>
  </si>
  <si>
    <t>Grade 6, Unit 2, Module 0</t>
  </si>
  <si>
    <t>Module 0: 
Show and Tell: Modeling Outlining</t>
  </si>
  <si>
    <t>The Purpose of Arguments
Organizing Arguments</t>
  </si>
  <si>
    <t>Read the Argumentative Writing Rubric</t>
  </si>
  <si>
    <t>CCSS.W.6.10; CCSS.W.6.1.a; CCSS.W.6.1; CCSS.W.6.5; CCSS.W.6.9.b; CCSS.W.6.4</t>
  </si>
  <si>
    <t>How Do We Design Better Schools?0</t>
  </si>
  <si>
    <t>Module 1: 
Show and Tell: Hooks</t>
  </si>
  <si>
    <t>Introductions in Arguments</t>
  </si>
  <si>
    <t>Draft, Review</t>
  </si>
  <si>
    <t>Complementary Prompt - Argumentative: Does the author provide convincing evidence to persuade the audience that school start times need to change?</t>
  </si>
  <si>
    <t>CCSS.W.6.1; CCSS.W.6.10; CCSS.W.6.4; CCSS.W.6.5; CCSS.W.6.1.a; CCSS.W.6.9</t>
  </si>
  <si>
    <t>How Do We Design Better Schools?1</t>
  </si>
  <si>
    <t>Module 2: 
Show and Tell: Integrating Evidence with Effective Word Choices</t>
  </si>
  <si>
    <t>Integrating Evidence Effectively</t>
  </si>
  <si>
    <t>Writing Process: Quick Journal, Connect, Analyze (Evidence and Annotation), Develop, Draft, Review
Sharpen Your Sentences: Sentence Expansion in Counterclaims
Appreciate the Author's Craft</t>
  </si>
  <si>
    <t>Essential Prompt - Argumentative: Trace and evaluate the author's evidence for and against homework. Which side of the argument is more convincing based on the evidence?</t>
  </si>
  <si>
    <t>CCSS.W.6.1; CCSS.W.6.10; CCSS.W.6.4; CCSS.W.6.5; CCSS.W.6.1.b; CCSS.W.6.9; CCSS.W.6.9.b</t>
  </si>
  <si>
    <t>How Do We Design Better Schools?2</t>
  </si>
  <si>
    <t>Module 3: 
Show and Tell: Transitions</t>
  </si>
  <si>
    <t>Transitions and Linking Words
Reasoning
Characteristics of a Formal Style</t>
  </si>
  <si>
    <t xml:space="preserve">Writing Process: Quick Journal, Connect, Analyze (Evidence and Annotation), Develop, Draft, Review
</t>
  </si>
  <si>
    <t>Complementary Prompt - Argumentative: Analyze the author's use of the video, subheadings, bullet points, and examples in the text. Do these text features help the author make a strong case for building school gardens?</t>
  </si>
  <si>
    <t>CCSS.W.6.1; CCSS.W.6.10; CCSS.W.6.4; CCSS.W.6.5; CCSS.W.6.2.c; CCSS.W.6.1.d; CCSS.W.6.9; CCSS.W.6.9.b</t>
  </si>
  <si>
    <t>How Do We Design Better Schools?3</t>
  </si>
  <si>
    <t xml:space="preserve">Module 4: 
Show and Tell: Introducing Counterclaims
</t>
  </si>
  <si>
    <t xml:space="preserve">Counterarguments
</t>
  </si>
  <si>
    <t>Writing Process: Quick Journal, Connect, Analyze (Evidence and Annotation) Develop, Draft, Review
Write to Impress: Maintain Consistent Sentences for Style and Tone
Share Your Best Writing Sample</t>
  </si>
  <si>
    <t>Complementary Prompt - Argumentative: Trace the evidence that the author provides about the argument regarding participation grades in schools. How does the author use evidence to appeal to the values of the reader?</t>
  </si>
  <si>
    <t>CCSS.W.6.1; CCSS.W.6.10; CCSS.W.6.4; CCSS.W.6.5; CCSS.W.6.9.b; CCSS.W.6.9</t>
  </si>
  <si>
    <t>How Do We Design Better Schools?4</t>
  </si>
  <si>
    <t>Grade 6, Unit 2, Module 5</t>
  </si>
  <si>
    <t>Module 5: 
N/A</t>
  </si>
  <si>
    <t xml:space="preserve">
</t>
  </si>
  <si>
    <t xml:space="preserve">Writing Process: Quick Journal
</t>
  </si>
  <si>
    <t>CCSS.W.6.10; CCSS.W.6.4; CCSS.W.6.6; CCSS.W.6.8; CCSS.W.6.5; CCSS.W.6.9.b; CCSS.W.6.1; CCSS.W.6.7; CCSS.W.6.9; CCSS.W.6.9.a</t>
  </si>
  <si>
    <t>Grade 6, Unit 2, Module 6</t>
  </si>
  <si>
    <t xml:space="preserve">Module 6:
Show and Tell: Cite Research to Bolster Your Argument, Use Research to Bolster Your Argument
</t>
  </si>
  <si>
    <t>Reflect on the Essential Question
Prepare for the Debate
Reflect on the Debate</t>
  </si>
  <si>
    <t>How Do We Design Better Schools?5</t>
  </si>
  <si>
    <t>Grade 6, Unit 2, Module 7</t>
  </si>
  <si>
    <t>Module 7: 
Show and Tell: Conclusions</t>
  </si>
  <si>
    <t>Writing the Argumentative Essay
Conclusions in Arguments</t>
  </si>
  <si>
    <t xml:space="preserve">Writing Process: Connect, Analyze, Develop, Draft, Review
Score the Example: “Why Getting Rid of Participation Grades Will Improve Learning Environments” by Mateo Burgos
Practice Feedback: “Why Getting Rid of Participation Grades Will Improve Learning Environments” by Mateo Burgos
Choose Your Argument
Map Your Argument
Make It Powerful: Words to Appeal
Share Your Argument: Peer Editing
Edit the Draft Together: Give and Get Feedback
Reflect on Your Writing
</t>
  </si>
  <si>
    <t>Portfolio: Writing Your Argumentative Essay: Draft, Review</t>
  </si>
  <si>
    <t>Portfolio Piece - Essential Prompt - Argumentative: Based on your readings, what single change to your learning environment or school's design would have the greatest positive impact for student success?</t>
  </si>
  <si>
    <t>CCSS.W.6.10; CCSS.W.6.1; CCSS.W.6.4; CCSS.W.6.5; CCSS.W.6.9; CCSS.W.6.9.b; CCSS.W.6.1.e; CCSS.W.6.1.a; CCSS.W.6.3; CCSS.W.6.1.b; CCSS.W.6.1.C; CCSS.W.6.9.A; CCSS.W.6.9.B; CCSS.W.6.1.D; CCSS.W.6.1.E</t>
  </si>
  <si>
    <t>How Do We Design Better Schools?7</t>
  </si>
  <si>
    <t>Complementary Writing Prompts</t>
  </si>
  <si>
    <t>Grade 6 Unit 3</t>
  </si>
  <si>
    <t>Grade 6, Unit 3, Module 0</t>
  </si>
  <si>
    <t>Module 0: 
Show and Tell: Endings in Narratives</t>
  </si>
  <si>
    <t xml:space="preserve">The Purpose of Narrative Writing </t>
  </si>
  <si>
    <t>How Can New Perceptions Shape Our Choices?0</t>
  </si>
  <si>
    <t>Module 1:
Show and Tell: Character Development</t>
  </si>
  <si>
    <t>Writing Process: Quick Journal, Connect, Analyze (Evidence and Annotation), Develop, Draft, Review
Appreciate the Author's' Craft</t>
  </si>
  <si>
    <t>Complementary Prompt—Argumentative: What do Julia Alvarez’s descriptions of her many name changes say about how she saw herself growing up?</t>
  </si>
  <si>
    <t>CCSS.W.6.1; CCSS.W.6.10; CCSS.W.6.4; CCSS.W.6.5; CCSS.W.6.3; CCSS.W.6.9</t>
  </si>
  <si>
    <t>How Can New Perceptions Shape Our Choices?1</t>
  </si>
  <si>
    <t>Module 2:
N/A</t>
  </si>
  <si>
    <t>Characters in Narrative Writing
Dialogue in Narrative Writing</t>
  </si>
  <si>
    <t>Writing Process: Quick Journal, Connect, Analyze (Evidence and Annotation), Develop, Draft, Review
Sharpen Your Sentences: Use an Appositive in a Sentence
Appreciate the Author's Craft</t>
  </si>
  <si>
    <t>Complementary Prompt—Narrative: Read "Sometimes a Dream Needs a Push" by Walter Dean Myers. Focus on the characters and their development, noting how they handle disappointment, inspire each other, and offer support. Identify a pivotal moment for a character that changes them. Write a paragraph about the moments before, during, and after this event, describing the character's feelings and growth. Use an appositive to add detail and depth, such as: "Marcus, a determined and resilient boy, faced his biggest challenge yet." Reflect on how helping others can be necessary or potentially harmful, and what the characters learn from this balance.</t>
  </si>
  <si>
    <t>Complementary Prompt—Argumentative:  Explain how over the course of the story, Chris and his father begin to view wheelchair basketball and each other in different ways.</t>
  </si>
  <si>
    <t>CCSS.W.6.1; CCSS.W.6.10; CCSS.W.6.4; CCSS.W.6.5; CCSS.W.6.9; CCSS.W.6.3.a; CCSS.W.6.3; CCSS.W.6.3.b</t>
  </si>
  <si>
    <t>How Can New Perceptions Shape Our Choices?2</t>
  </si>
  <si>
    <t>Module 3:
N/A</t>
  </si>
  <si>
    <t>Setting in Narrative Writing
Transitions and Linking Words in Narrative Writing</t>
  </si>
  <si>
    <t>Essential Prompt—Narrative: Read "The Medicine Bag" by Virginia Driving Hawk Sneve, which captures the special meaning of a gift from one generation to the next.  Write a brief narrative, capturing a dialogue between two real or imagined characters when one receives a special item that represents their family and/or cultural heritage.  Use dialogue and actions as techniques to illustrate the characters' cultural and family heritage. Focus on how the characters feel and what they say at the moment that they exchange the special item. Use linking words and transitions (such as "after," "then," "because," "while," or "meanwhile") to make your story flow well.</t>
  </si>
  <si>
    <t>Complementary Prompt—Argumentative:  How does the main character change as a result of his friends meeting his grandfather? How do the series of events from his grandfather's arrival to the end of the story help readers understand about the importance of family and heritage?</t>
  </si>
  <si>
    <t>CCSS.W.6.1; CCSS.W.6.10; CCSS.W.6.4; CCSS.W.6.5; CCSS.W.6.3.c; CCSS.W.6.3; CCSS.W.6.3.b; CCSS.W.6.9</t>
  </si>
  <si>
    <t>How Can New Perceptions Shape Our Choices?3</t>
  </si>
  <si>
    <t>Module 4: 
Show and Tell: Point of View and Irony</t>
  </si>
  <si>
    <t>Irony and Suspense in Narrative Writing</t>
  </si>
  <si>
    <t>Writing Process: Quick Journal, Connect, Analyze (Evidence and Annotation), Develop, Draft, Review
Share Your Best Writing Sample</t>
  </si>
  <si>
    <t xml:space="preserve">Complementary Prompt—Narrative: Imagine a scene in "The Difficult Path" where a character encounters an obstacle. Write a vignette that describes this moment using imagery to capture the mood and atmosphere. Use figurative language like similes or metaphors to enhance your description, showing how the character feels and what they learn from facing this difficulty.
</t>
  </si>
  <si>
    <t>Complementary Prompt—Argumentative:  How does the author's choice to use first person point of view in the story help illuminate the strength of the narrator, Lingsi, as she travels her difficult path?</t>
  </si>
  <si>
    <t>How Can New Perceptions Shape Our Choices?4</t>
  </si>
  <si>
    <t>Grade 6, Unit 3, Module 5</t>
  </si>
  <si>
    <t>How Can New Perceptions Shape Our Choices?5</t>
  </si>
  <si>
    <t>Grade 6, Unit 3, Module 6</t>
  </si>
  <si>
    <t>Grade 6, Unit 3, Module 7</t>
  </si>
  <si>
    <t>Module 7: 
Show and Tell: Narrative Endings</t>
  </si>
  <si>
    <t>Writing the Short Story
Using Concrete, Sensory Details in Narrative Writing
Endings in Narrative Writing</t>
  </si>
  <si>
    <t>Writing Process: Connect, Analyze (Evidence and Annotation), Develop, Draft, Review
Score the Example: "Nico's Win" by Elliot Buchner
Practice Feedback: "Nico's Win" by Elliot Buchner
Choose Your Idea
Map Your Short Story
Plot Your Story: Plotting Your Narrative Arc
Show, Don't Tell: Descriptive Language
Share Your Short Story: Peer Editing
Edit the Draft Together: Give and Get Feedback
Reflect on Your Writing</t>
  </si>
  <si>
    <t>Portfolio: Writing Your Short Story: Draft, Review</t>
  </si>
  <si>
    <t>Portfolio Piece—Narrative: Write a short story set in a realistic or historical setting that addresses a changed perspective the main character has that influences their ideas, actions, and choices.</t>
  </si>
  <si>
    <t>CCSS.W.6.3; CCSS.W.6.4; CCSS.W.6.5; CCSS.W.6.9; CCSS.W.6.10; CCSS.W.6.3.a; CCSS.W.6.3.d; CCSS.W.6.3.B; CCSS.W.6.3.C; CCSS.W.6.3.E</t>
  </si>
  <si>
    <t>How Can New Perceptions Shape Our Choices?7</t>
  </si>
  <si>
    <t>Grade 6 Unit 4</t>
  </si>
  <si>
    <t>Grade 6, Unit 4, Module 0</t>
  </si>
  <si>
    <t>Module 0: Show and Tell: Inquiry to Research; Revising Research Thesis Statements</t>
  </si>
  <si>
    <t>The Purpose of Research Writing</t>
  </si>
  <si>
    <t>Read the Informative Writing Rubric</t>
  </si>
  <si>
    <t>CCSS.W.6.10; CCSS.W.6.7; CCSS.W.6.4; CCSS.W.6.5; CCSS.W.6.6; CCSS.W.6.9</t>
  </si>
  <si>
    <t>Where's All the Food?0</t>
  </si>
  <si>
    <t>Module 1: Show and Tell: Connotation</t>
  </si>
  <si>
    <t xml:space="preserve">Writing Process: Quick Journal, Connect, Analyze (Evidence and Annotation), Develop, Draft, Review
</t>
  </si>
  <si>
    <t>Complementary Prompt—Informative: How is the term "waste" defined and used throughout the text? Analyze how the examples used impact the reader's understanding of waste and how to prevent it.</t>
  </si>
  <si>
    <t>CCSS.W.6.2; CCSS.W.6.10; CCSS.W.6.4; CCSS.W.6.5; CCSS.W.6.9</t>
  </si>
  <si>
    <t>Where's All the Food?1</t>
  </si>
  <si>
    <t>Module 2: 
Show and Tell: Text Structure</t>
  </si>
  <si>
    <t xml:space="preserve">Writing Process: Quick Journal, Connect, Analyze (Evidence and Annotation), Develop, Draft, Review
Sharpen Your Sentences: Integrating Quotations Effectively 
</t>
  </si>
  <si>
    <t>Complementary Prompt—Informative:  How does the impact of each section of the article help readers understand the outcomes of the school-based farming program?</t>
  </si>
  <si>
    <t>Where's All the Food?2</t>
  </si>
  <si>
    <t xml:space="preserve">Module 3: 
Show and Tell: Paragraphs Across Genres
</t>
  </si>
  <si>
    <t>Writing Process: Quick Journal, Connect, Analyze (Evidence and Annotation), Develop, Draft, Review</t>
  </si>
  <si>
    <t>Essential Prompt—Informative:  How do the different perspectives in the article emphasize the impact of the students’ work preventing food waste?</t>
  </si>
  <si>
    <t>Where's All the Food?3</t>
  </si>
  <si>
    <t>Module 4: 
Show and Tell: Paraphrase, Summarize, and Quote</t>
  </si>
  <si>
    <t>Complementary Prompt—Informative: What is the central idea of this article about exploring farming techniques? Use specific evidence from the text to support your response.</t>
  </si>
  <si>
    <t>CCSS.W.6.10; CCSS.W.6.4; CCSS.W.6.5; CCSS.W.6.9.b; CCSS.W.6.9; CCSS.W.6.2</t>
  </si>
  <si>
    <t>Where's All the Food?4</t>
  </si>
  <si>
    <t>Grade 6, Unit 4, Module 5</t>
  </si>
  <si>
    <t>Module 5: 
Show and Tell: Reviewing the Research Process and Synthesizing Information</t>
  </si>
  <si>
    <t>Evaluating Evidence</t>
  </si>
  <si>
    <t xml:space="preserve">Writing Process: Quick Journal, Connect, Analyze (Evidence and Annotation), Develop, Draft, Review
Evaluate Informational Texts: "Farms Sprout in Cities"  and "Rooftop Gardens Are Getting Off the Ground"
</t>
  </si>
  <si>
    <t>CCSS.W.6.10; CCSS.W.6.4; CCSS.W.6.6; CCSS.W.6.8; CCSS.W.6.1; CCSS.W.6.9.b</t>
  </si>
  <si>
    <t>Where's All the Food?5</t>
  </si>
  <si>
    <t>Grade 6, Unit 4, Module 6</t>
  </si>
  <si>
    <t>Module 6: 
Show and Tell: Gather Research</t>
  </si>
  <si>
    <t xml:space="preserve">Understanding the Research Process
</t>
  </si>
  <si>
    <t>Plan Your Research: Step 1 Explore the Topic
Plan Your Research: Step 2 Find Reliable Sources
Plan Your Research: Step 3 Collect Relevant and Reliable Evidence
Plan Your Research: Step 4 Create a Thesis Statement</t>
  </si>
  <si>
    <t>CCSS.W.6.7; CCSS.W.6.8; CCSS.W.6.9.b</t>
  </si>
  <si>
    <t>Where's All the Food?6</t>
  </si>
  <si>
    <t>Grade 6, Unit 4, Module 7</t>
  </si>
  <si>
    <t>Module 7: 
Show and Tell: Talking About Your Research</t>
  </si>
  <si>
    <t>Reflect on the Essential Question
Plan Your Points: Thesis Statement and Evidence</t>
  </si>
  <si>
    <t>CCSS.W.6.5; CCSS.W.6.7; CCSS.W.6.10</t>
  </si>
  <si>
    <t>Where's All the Food?7</t>
  </si>
  <si>
    <t>Grade 6, Unit 4, Module 8</t>
  </si>
  <si>
    <t>Module 8: 
Show and Tell: Writing the Research Paper</t>
  </si>
  <si>
    <t>Writing the Research Paper
Citing and Documenting Sources</t>
  </si>
  <si>
    <t xml:space="preserve">Writing Process: Connect, Analyze, Develop, Draft, Review
Score the Example: "How to Secure the Future of Food" by Mateo Burgos
Practice Feedback: "How to Secure the Future of Food" by Mateo Burgos
Collect Your Research
Map Your Research Paper
Write It and Cite It
Share Your Research Paper: Peer Editing
Edit the Draft Together: Give and Get Feedback
Reflect on Your Writing
</t>
  </si>
  <si>
    <t>Portfolio: Writing Your Research Paper: Draft, Review</t>
  </si>
  <si>
    <t>Portfolio Piece—Essential Prompt - Informative:  Based on the readings and other research, what are the most pressing issues and solutions surrounding food sustainability?</t>
  </si>
  <si>
    <t>CCSS.W.6.7; CCSS.W.6.4; CCSS.W.6.5; CCSS.W.6.6; CCSS.W.6.9; CCSS.W.6.10; CCSS.W.6.2; CCSS.W.6.8; CCSS.W.6.9.A; CCSS.W.6.9.B; CCSS.W.6.2.B; CCSS.W.6.2.C; CCSS.W.6.2.D; CCSS.W.6.2.E; CCSS.W.6.2.F</t>
  </si>
  <si>
    <t>Where's All the Food?8</t>
  </si>
  <si>
    <t>Grade 6 Unit 5</t>
  </si>
  <si>
    <t>Grade 6, Unit 5, Module 0</t>
  </si>
  <si>
    <t xml:space="preserve">Module 0: 
Show and Tell: Cause and Effect Analysis </t>
  </si>
  <si>
    <t>The Purpose of Cause-and-Effect Informative Writing</t>
  </si>
  <si>
    <t>CCSS.W.6.10; CCSS.W.6.2; CCSS.W.6.4; CCSS.W.6.5; CCSS.W.6.9</t>
  </si>
  <si>
    <t>What Is All the Drama About?0</t>
  </si>
  <si>
    <t>Module 1: 
Show and Tell: Analyzing Causes in Drama</t>
  </si>
  <si>
    <t>Introductions and Organization in Informative Writing</t>
  </si>
  <si>
    <t xml:space="preserve">Writing Process: Quick Journal, Connect, Analyze (Evidence and Annotation), Develop, Draft, Review
Map the Play Part I
Sharpen Your Sentences: Creating Cause-and-Effect Sentences
</t>
  </si>
  <si>
    <t>Complementary Prompt—Informative:  Read "Sorry, Wrong Number" by Lucille Fletcher. Explore how sentence structure and punctuation help the actors convey the emotional experience of the story effectively. Pay attention to how the playwright uses specific words and phrases to describe where and when the story happens (in the big city, using a phone). For example, when she tries to call her husband, her sentences get shorter and more jumpy, like "Operator? I have been dialing Murray Hill 4-0098 now for the last three-quarters of an hour, and the line is always busy.” Write a paragraph that explains how these details create a vivid picture of the setting and the problem. Use examples from the play to support your ideas about how punctuation and descriptive language work together to help readers understand the story's time and place.</t>
  </si>
  <si>
    <t>Compelmentary Prompt—Argumentative: Consider the historical, social, and economic aspects of the play. What are the most important ways in which these elements of the setting affect Mrs. Stevenson’s character?</t>
  </si>
  <si>
    <t>CCSS.W.6.1; CCSS.W.6.10; CCSS.W.6.4; CCSS.W.6.5; CCSS.W.6.2.a; CCSS.W.6.2; CCSS.W.6.1.c; CCSS.W.6.9</t>
  </si>
  <si>
    <t>What Is All the Drama About?1</t>
  </si>
  <si>
    <t>Module 2: Show and Tell 5Ws</t>
  </si>
  <si>
    <t>Developing Ideas in Informative Writing</t>
  </si>
  <si>
    <t xml:space="preserve">Writing Process: Quick Journal, Connect, Analyze (Evidence and Annotation)  Develop, Draft, Review
Map the Play Part 2
Sharpen Your Sentences: Vary Your Sentence Length and Structure
</t>
  </si>
  <si>
    <t>Essential Prompt—Informative: How does the playwright use
miscommunication to create humor, suspense, and tension between Mrs.
Stevenson and the other characters?</t>
  </si>
  <si>
    <t>CCSS.W.6.2; CCSS.W.6.10; CCSS.W.6.4; CCSS.W.6.5; CCSS.W.6.2.b; CCSS.W.6.9</t>
  </si>
  <si>
    <t>What Is All the Drama About?2</t>
  </si>
  <si>
    <t>Module 3: 
Show and Tell: Cause and Effect Analysis</t>
  </si>
  <si>
    <t>Transitions in Informative Writing
Precise Language and Vocabulary in Informative Writing</t>
  </si>
  <si>
    <t>Writing Process: Quick Journal, Connect, Analyze (Evidence and Annotation) Develop, Draft, Review
Map the Play Part 3
Share Your Best Writing Sample</t>
  </si>
  <si>
    <t>Complementary Prompt—Informative:  Read "Sorry, Wrong Number" by Lucille Fletcher. Practice applying skills in writing conclusions and using transitions in informative writing based on the play's content. Describe how the main conflicts of the play are resolved and how the play concludes. Write a paragraph that summarizes the resolution of the conflicts and the conclusion of the play, using transitions such as initially, furthermore, ultimately, and consequently to connect your ideas smoothly. Consider how the ending ties together the events and themes of the play. Use specific examples from the text to support your description. This task will help you understand the importance of effective conclusions in writing and how transitions enhance the flow of your ideas in informative essays.</t>
  </si>
  <si>
    <t>Complementary Prompt—Argumentative: Of the six main types of conflict found in literature, what type best describes the main conflict of Sorry, Wrong Number? Include specific evidence from Part III of the play to support your response.</t>
  </si>
  <si>
    <t>CCSS.W.6.1; CCSS.W.6.10; CCSS.W.6.4; CCSS.W.6.5; CCSS.W.6.2.c; CCSS.W.6.2; CCSS.W.6.9.a; CCSS.W.6.9</t>
  </si>
  <si>
    <t>What Is All the Drama About?3</t>
  </si>
  <si>
    <t>Grade 6, Unit 5, Module 4</t>
  </si>
  <si>
    <t>Module 4: 
Show and Tell: Context Across Mediums</t>
  </si>
  <si>
    <t xml:space="preserve">Writing Process: Quick Journal 
</t>
  </si>
  <si>
    <t>CCSS.W.6.10; CCSS.W.6.4; CCSS.W.6.6; CCSS.W.6.8; CCSS.W.6.9.a; CCSS.W.6.7; CCSS.W.6.9</t>
  </si>
  <si>
    <t>What Is All the Drama About?4</t>
  </si>
  <si>
    <t>Grade 6, Unit 5, Module 5</t>
  </si>
  <si>
    <t>Module 5: 
Show and Tell: Elements of Performance</t>
  </si>
  <si>
    <t xml:space="preserve">Reflect on the Essential Question
Prepare for the Performance
Reflect on the Performance
</t>
  </si>
  <si>
    <t>CCSS.W.6.1, CCSS.W.6.2; CCSS.W.6.3, CCSS.W.6.2(d), CCSS.W.6.7, CCSS.W.6.9</t>
  </si>
  <si>
    <t>What Is All the Drama About?5</t>
  </si>
  <si>
    <t>Grade 6, Unit 5, Module 6</t>
  </si>
  <si>
    <t>Module 6: 
Show and Tell: Additional Research Questions</t>
  </si>
  <si>
    <t>Writing the Cause-and-Effect Essay
Conclusions in Informative Writing</t>
  </si>
  <si>
    <t xml:space="preserve">Writing Process: Connect, Analyze (Evidence and Annotation) Develop, Draft, Review
Score the Example: "Mrs. Stevenson" by Ellery Rohlfing
Practice Feedback: "Mrs. Stevenson" by Ellery Rohlfing
Choose Your Focus
Show and Tell: Developing Research Questions
Map Your Cause-and-Effect Essay
Make it Flow: Transition Words
Share Your Essay: Peer Editing
Edit the Draft Together: Give and Get Feedback
Reflect on Your Writing
</t>
  </si>
  <si>
    <t>Portfolio: Writing Your Cause-and-Effect Essay: Draft, Review</t>
  </si>
  <si>
    <t>Portfolio Piece—Essential Prompt: Analyze Mrs. Stevenson's behavior throughout the play. How do her character's mannerisms and actions affect the final outcome of the play?</t>
  </si>
  <si>
    <t xml:space="preserve">CCSS.W.6.1; CCSS.W.6.3; CCSS.W.6.7; CCSS.W.6.9
</t>
  </si>
  <si>
    <t>What Is All the Drama About?6</t>
  </si>
  <si>
    <t>Grade 6 Unit 6</t>
  </si>
  <si>
    <t>Grade 6, Unit 6, Module 0</t>
  </si>
  <si>
    <t>Module 0:  
Show and Tell: Explore Your Future</t>
  </si>
  <si>
    <t>The Purpose of Personal Statement Writing</t>
  </si>
  <si>
    <t>CCSS.W.6.10; CCSS.W.6.4; CCSS.W.6.2; CCSS.W.6.5; CCSS.W.6.7; CCSS.W.6.9</t>
  </si>
  <si>
    <t>How Do Our Brains Work?0</t>
  </si>
  <si>
    <t>Module 1: 
Show and Tell: Conveying Core Beliefs in Personal Statements</t>
  </si>
  <si>
    <t>Complementary Prompt—Narrative: Read “Build Your Brain!” by R. Douglas Fields. Practice applying skills in using time as a storytelling tool. Write a short narrative where you or an imaginative character recall a first day of school or a first day in another new setting. Write the description in the form of a flashback. Establish your narrator’s current place and time and what prompted them to share this memory via a descriptive flashback. Describe how the narrator felt at the beginning and at the end of the memory. Use descriptive language and an anecdote to illustrate the journey. This task will help you understand how writers use time and personal experiences to convey meaningful ideas in narratives.</t>
  </si>
  <si>
    <t>CCSS.W.6.1; CCSS.W.6.10; CCSS.W.6.4; CCSS.W.6.5; CCSS.W.6.2; CCSS.W.6.9; CCSS.W.6.3</t>
  </si>
  <si>
    <t>How Do Our Brains Work?1</t>
  </si>
  <si>
    <t>Module 2: 
Show and Tell: Flashback and Flash-Forward</t>
  </si>
  <si>
    <t>The Impact of an Author's Choices: Selecting and Arranging Details
Using Time as a Storytelling Tool</t>
  </si>
  <si>
    <t xml:space="preserve">Writing Process: Quick Journal, Connect, Analyze (Evidence and Annotation), Develop, Draft, Review
Sharpen Your Sentences: Sentence Combining: Appositives, Pronouns, Conjunctions </t>
  </si>
  <si>
    <t>Complementary Prompt—Informative: How does the author arrange their research, data, and information to explain how different types of learning and activity lead to changes in brain cells?</t>
  </si>
  <si>
    <t>CCSS.W.6.2; CCSS.W.6.10; CCSS.W.6.4; CCSS.W.6.5; CCSS.W.6.9; CCSS.W.6.3</t>
  </si>
  <si>
    <t>How Do Our Brains Work?2</t>
  </si>
  <si>
    <t>Module 3: 
Show and Tell: Vivid Writing</t>
  </si>
  <si>
    <t>The Impact of an Author's Choices: Words and Images
 Imagery and Mood in Narrative Writing</t>
  </si>
  <si>
    <t xml:space="preserve">Complementary Prompt—Narrative: Read "Inside the Reading Mind" by Carrie M. Cannela. Practice using time as a storytelling tool in a narrative. Imagine a character's flash-forward to a moment in a high school, reading a challenging book. Describe this scene, focusing on the character's feelings, surroundings, and how their brain processes information while reading. Use vivid details to bring the moment to life, inspired by the language in the text about brain activity during reading.
</t>
  </si>
  <si>
    <t>CCSS.W.6.2; CCSS.W.6.10; CCSS.W.6.4; CCSS.W.6.5; CCSS.W.6.3; CCSS.W.6.9</t>
  </si>
  <si>
    <t>How Do Our Brains Work?3</t>
  </si>
  <si>
    <t>Module 4: 
Show and Tell: Supporting Personal Statements with Informational Texts</t>
  </si>
  <si>
    <t>Analyzing Connections within Informational Texts</t>
  </si>
  <si>
    <t>Essential Prompt —Informative: How does the author convey the idea of a growth mindset through anecdotes, examples, and expert sources?</t>
  </si>
  <si>
    <t>CCSS.W.6.2; CCSS.W.6.10; CCSS.W.6.4; CCSS.W.6.5; CCSS.W.6.3; CCSS.W.6.9.b; CCSS.W.6.9</t>
  </si>
  <si>
    <t>How Do Our Brains Work?4</t>
  </si>
  <si>
    <t>Grade 6, Unit 6, Module 5</t>
  </si>
  <si>
    <t>Module 5: 
Show and Tell: Summarizing and Reflecting on Research</t>
  </si>
  <si>
    <t>CCSS.W.6.10; CCSS.W.6.4; CCSS.W.6.6; CCSS.W.6.8; CCSS.W.6.9; CCSS.W.6.7; CCSS.W.6.9.a</t>
  </si>
  <si>
    <t>How Do Our Brains Work?5</t>
  </si>
  <si>
    <t>Grade 6, Unit 6, Module 6</t>
  </si>
  <si>
    <t>Module 6: 
Show and Tell: Research to Strengthen Your Presentation</t>
  </si>
  <si>
    <t xml:space="preserve">Reflect on the Essential Question
Create Your Pitch Deck
Reflect on the Pitch Deck
</t>
  </si>
  <si>
    <t>CCSS.W.6.1; CCSS.W.6.3; CCSS.W.6.3(d); CCSS.W.6.7; CCSS.W.6.9</t>
  </si>
  <si>
    <t>How Do Our Brains Work?6</t>
  </si>
  <si>
    <t>Grade 6, Unit 6, Module 7</t>
  </si>
  <si>
    <t>Module 7: 
Show and Tell: Practicing Feedback</t>
  </si>
  <si>
    <t>Writing the Personal Statement</t>
  </si>
  <si>
    <t>Writing Process: Connect, Analyze, Develop, Draft, Review
Score the Example: “Recess Leaders” by Simon Doherty
Practice Feedback:  “Recess Leaders” by Simon Doherty
Plan Your Future
Map Your Plan
Use Examples and Anecdotes
Share Your Plan
Edit the Draft Together: Peer Edit: Give and Get Feedback
Reflect on Your Writing</t>
  </si>
  <si>
    <t>Portfolio: Writing Your Personal Statement: Draft, Review</t>
  </si>
  <si>
    <t xml:space="preserve">Portfolio Piece—Informative: Write an Informative essay that defines the concept of "influence." Your evidence-based definition essay will explore what influence is and what led you to this definition of the word. Include how the words, actions, and characters of the people you read about are examples of the definition. 
</t>
  </si>
  <si>
    <t>CCSS.W.6.3; CCSS.W.6.2; CCSS.W.6.4; CCSS.W.6.5; CCSS.W.6.7; CCSS.W.6.9; CCSS.W.6.10; CCSS.W.6.3.B; CCSS.W.6.3.C; CCSS.W.6.3.E</t>
  </si>
  <si>
    <t>How Do Our Brains Work?7</t>
  </si>
  <si>
    <t>Grade 6 Unit 7</t>
  </si>
  <si>
    <t>Grade 6, Unit 7, Module 0</t>
  </si>
  <si>
    <t>Module 0: 
Show and Tell: Types of Narrative Nonfiction</t>
  </si>
  <si>
    <t>Types of Narrative Writing
The Purpose of Literary Analysis Writing</t>
  </si>
  <si>
    <t>CCSS.W.6.4; CCSS.W.6.10; CCSS.W.6.3; CCSS.W.6.9; CCSS.W.6.5; CCSS.W.6.7; CCSS.W.6.9.a</t>
  </si>
  <si>
    <t>How Do Myths and Tales Teach Us?0</t>
  </si>
  <si>
    <t>Module 1: 
Show and Tell: Summarizing and Paraphrasing</t>
  </si>
  <si>
    <t xml:space="preserve">Writing Process: Quick Journal, Connect, Analyze (Evidence and Annotation), Develop, Draft, Review
Sharpen Your Sentences: Comparing Character Traits 
</t>
  </si>
  <si>
    <t>Essential Prompt —Argumentative: A “hero’s journey” is the set of steps the hero or heroes take in a quest, a long arduous journey driven by a particular goal. The main characters in a hero's journey exhibit certain qualities that make them heroes along the way. In the myth “The Twin Heroes,” how do Mansur and Luembur show heroism? What characteristics make them heroic?</t>
  </si>
  <si>
    <t>CCSS.W.6.1; CCSS.W.6.10; CCSS.W.6.4; CCSS.W.6.5; CCSS.W.6.9</t>
  </si>
  <si>
    <t>How Do Myths and Tales Teach Us?1</t>
  </si>
  <si>
    <t>Module 2: 
Show and Tell: Traditional Tales</t>
  </si>
  <si>
    <t>Complementary Prompt— Argumentative: Echo and Narcissus are characters in a myth that explains the origins of two very specific personality traits. Explain how the plot and character development in the myth of  “Echo and Narcissus” helps readers to understand the consequences of having these traits.</t>
  </si>
  <si>
    <t>How Do Myths and Tales Teach Us?2</t>
  </si>
  <si>
    <t>Module 3: 
Show and Tell: Writing About Character Types</t>
  </si>
  <si>
    <t xml:space="preserve">Writing Process: Quick Journal, Connect, Analyze (Evidence and Annotation). Develop, Draft, Review
Sharpen Your Sentences: Analyzing Traditional Tales
</t>
  </si>
  <si>
    <t>Complementary Prompt—Argumentative: How do The Brothers Grimm use “The Fisherman and His Wife” to teach the reader a lesson about human behavior? What lesson is the fisherman meant to learn in this story? What lesson is the fisherman’s wife meant to learn in this story?</t>
  </si>
  <si>
    <t>How Do Myths and Tales Teach Us?3</t>
  </si>
  <si>
    <t>Module 4: 
Show and Tell: Universal Themes</t>
  </si>
  <si>
    <t>Essential Prompt —Argumentative:  How does Melissa Albert’s modern tale develop the theme of greed and its impact on human behavior? Use details from the story about Jenny, the main character, and her parents in order to write about how people change as a result of their greed.</t>
  </si>
  <si>
    <t>CCSS.W.6.1; CCSS.W.6.10; CCSS.W.6.4; CCSS.W.6.5; CCSS.W.6.9.a; CCSS.W.6.9</t>
  </si>
  <si>
    <t>How Do Myths and Tales Teach Us?4</t>
  </si>
  <si>
    <t>Grade 6, Unit 7, Module 5</t>
  </si>
  <si>
    <t>Module 5: 
Show and Tell: Using Research in Poetry</t>
  </si>
  <si>
    <t xml:space="preserve">Writing Process: Quick Journal
</t>
  </si>
  <si>
    <t>CCSS.W.6.10; CCSS.W.6.4; CCSS.W.6.6; CCSS.W.6.8; CCSS.W.6.9.a; CCSS.W.6.7</t>
  </si>
  <si>
    <t>How Do Myths and Tales Teach Us?5</t>
  </si>
  <si>
    <t>Grade 6, Unit 7, Module 6</t>
  </si>
  <si>
    <t>Grade 6, Unit 7, Module 7</t>
  </si>
  <si>
    <t>Module 7: 
Show and Tell: Compare and Contrast</t>
  </si>
  <si>
    <t>Writing the Literary Analysis
Using First Person in Academic Writing</t>
  </si>
  <si>
    <t xml:space="preserve">Writing Process: Connect, Analyze, Develop, Draft, Review
Score the Example: "Always Wanting More" by Tessa Hudson
Practice Feedback: "Always Wanting More" by Tessa Hudson
Choose Your Texts for Comparison
Compare Similarities
Analyze Differences
Finalize Your Analysis
Develop and Share Your Claim
Organize Your Essay
Use Transition Sentences
Share Your Analysis: Peer Editing
Edit the Draft Together: Give and Get Feedback
Reflect on Your Writing </t>
  </si>
  <si>
    <t>Portfolio: Writing Your Literary Analysis: Draft, Review</t>
  </si>
  <si>
    <t>Portfolio PIece: Essential Prompt—Argumentative Portfolio: Using the myths and the traditional tales in the unit, compare the themes of at least two of the stories to explain how they convey values and human behavior.</t>
  </si>
  <si>
    <t xml:space="preserve">CCSS.W.6.1, CCSS.W.6.3, CCSS.W.6.7, CCSS.W.6.9
</t>
  </si>
  <si>
    <t>How Do Myths and Tales Teach Us?6</t>
  </si>
  <si>
    <t>Grade 7 Unit 1</t>
  </si>
  <si>
    <t>Grade 7, Unit 1, Module 0</t>
  </si>
  <si>
    <t>Module 0:
Show and Tell: Supporting Claims and Literary Texts</t>
  </si>
  <si>
    <t>Intro: What Is CERCA?
Claims
Supporting Claims with Evidence 
The Purpose of Personal Narrative Writing</t>
  </si>
  <si>
    <t>CCSS.W.7.10; CCSS.W.7.5; CCSS.W.7.1.a; CCSS.W.7.1; CCSS.W.7.1.b; CCSS.W.7.3</t>
  </si>
  <si>
    <t>Who Is in Your Circle?0</t>
  </si>
  <si>
    <t>Module 1: 
Show and Tell: Making Claims; Developing Claims about Literary Texts; Responding to the Prompt; Supporting Claims about LIterary Texts with Evidence</t>
  </si>
  <si>
    <t xml:space="preserve">Writing Process: Quick Journal, Connect, Analyze, Develop, Draft, Review
</t>
  </si>
  <si>
    <t>Complementary Prompt—Argumentative: What lessons does Victor learn about himself and how he relates to others over the course of the story? Cite specific evidence, including inferences you made, from the text to support your response.</t>
  </si>
  <si>
    <t>CCSS.W.7.1; CCSS.W.7.10; CCSS.W.7.4; CCSS.W.7.5; CCSS.W.7.9</t>
  </si>
  <si>
    <t>Who Is in Your Circle?1</t>
  </si>
  <si>
    <t>Module 2: 
Show and Tell: Conveying Themes</t>
  </si>
  <si>
    <t xml:space="preserve">Essential Prompt—Narrative: Using the excerpt from “The Coolness
Equation,” write a narrative that explores a pivotal moment in a character’s life where they confront their desire to be part of the “cool” group. Your story should have a clear beginning, middle, and end, showing the character’s journey and growth. Focus on plot development and use a variety of phrases and clauses to add detail and depth. </t>
  </si>
  <si>
    <t>Complementary Prompt —Argumentative: Using evidence from the text, what message is the author trying to convey about peer acceptance and our relationships with ourselves?</t>
  </si>
  <si>
    <t>CCSS.W.7.1; CCSS.W.7.10; CCSS.W.7.4; CCSS.W.7.5; CCSS.W.7.3.a; CCSS.W.7.3; CCSS.W.7.9</t>
  </si>
  <si>
    <t>Who Is in Your Circle?2</t>
  </si>
  <si>
    <t>Module 3: 
Show and Tell: Creating Tone; Writing Arguments;  Inferences and Reasoning</t>
  </si>
  <si>
    <t>Writing Process: Quick Journal, Connect, Analyze, Develop, Draft, Review
Sharpen Your Sentences: Expand the Sentence
Raise Your Score: Test Strategy: Error Analysis
Appreciate an Author's Craft</t>
  </si>
  <si>
    <t>Complementary Prompt—Narrative: After reading the climax of “Seventy-Six Dollars and Forty-Nine Cents,” rewrite the conclusion of the story. Change the ending, introduce a plot twist, or shift the focus to a different character. Use descriptive language to expand your sentences, incorporating phrases and clauses to add detail and create a vivid narrative that explores the impact of communication on identity.</t>
  </si>
  <si>
    <t>Complementary Prompt—Argumentative: What is the tone of Monk’s memoir, and how do the author’s word choices shape this tone for the reader?</t>
  </si>
  <si>
    <t>CCSS.W.7.1; CCSS.W.7.10; CCSS.W.7.4; CCSS.W.7.5; CCSS.W.7.9; CCSS.W.7.3</t>
  </si>
  <si>
    <t>Who Is in Your Circle?3</t>
  </si>
  <si>
    <t>Module 4: 
Show and Tell: Creating Imagery and Mood</t>
  </si>
  <si>
    <t>Imagery and Mood in Narrative Writing</t>
  </si>
  <si>
    <t>Writing Process: Quick Journal, Connect, Analyze, Develop, Draft, Review
Share Your Best Writing Sample</t>
  </si>
  <si>
    <t>Complementary Prompt —Narrative: Imagine you are a character from “Fourth Grade Ukus” by Marie Hara. Write a personal narrative exploring your character’s development throughout the story. Begin by describing your appearance, personality traits, and the challenges you face in fourth grade using vivid imagery. Identify a pivotal moment that changes your character significantly. Describe the events leading up to this moment, what happens during it, and your character’s reaction afterward.</t>
  </si>
  <si>
    <t>Complementary Prompt—Argumentative: How does the author use cultural details and dialogue to communicate both her fear and admiration of Mrs. Vicente?</t>
  </si>
  <si>
    <t>CCSS.W.7.1; CCSS.W.7.10; CCSS.W.7.4; CCSS.W.7.5; CCSS.W.7.3.d; CCSS.W.7.3; CCSS.W.7.9.a; CCSS.W.7.9</t>
  </si>
  <si>
    <t>Who Is in Your Circle?4</t>
  </si>
  <si>
    <t>Grade 7, Unit 1, Module 5</t>
  </si>
  <si>
    <t>Module 5: 
Show and Tell: Research Project</t>
  </si>
  <si>
    <t>CCSS.W.7.10; CCSS.W.7.4; CCSS.W.7.6; CCSS.W.7.8; CCSS.W.7.7; CCSS.W.7.9; CCSS.W.7.9.a; CCSS.W.7.9.b</t>
  </si>
  <si>
    <t>Who Is in Your Circle?5</t>
  </si>
  <si>
    <t>Grade 7, Unit 1, Module 6</t>
  </si>
  <si>
    <t xml:space="preserve">Module 6: 
Show and Tell: Share Your Research </t>
  </si>
  <si>
    <t>CCSS.W.7.1, CCSS.W.7.3, CCSS.W.7.3(d), CCSS.W.7.7, CCSS.W.7.9</t>
  </si>
  <si>
    <t>Who Is in Your Circle?6</t>
  </si>
  <si>
    <t>Grade 7, Unit 1, Module 7</t>
  </si>
  <si>
    <t>Module 7: 
Show and Tell: Brainstorming Feelings</t>
  </si>
  <si>
    <t xml:space="preserve">Writing the Personal Narrative
Beginnings in Narrative Writing
</t>
  </si>
  <si>
    <t>Writing Process: Connect, Analyze, Develop, Draft, Review
Score the Example: "I Might be Free Thursday" by Josephine Solar
Practice Feedback: "I Might be Free Thursday" by Josephine Solar
Choose Your Moment
Map Your Personal Narrative
Make it Vivid: Descriptive Language
Share Your Personal Narrative
Edit the Draft Together: Peer Edit: Give and Get Feedback
Reflect on Your Writing</t>
  </si>
  <si>
    <t>Portfolio: Writing Your Personal Narrative: Draft, Review</t>
  </si>
  <si>
    <t>Essential Prompt—Narrative Portfolio: Write a personal narrative about a moment in your life when you found a friend that helped you feel a sense of belonging.</t>
  </si>
  <si>
    <t>CCSS.W.7.3; CCSS.W.7.5; CCSS.W.7.10; CCSS.W.7.3.a; CCSS.W.7.4; CCSS.W.7.9; CCSS.W.7.3.d; CCSS.W.7.3.B; CCSS.W.7.3.C; CCSS.W.7.3.E</t>
  </si>
  <si>
    <t>Who Is in Your Circle?7</t>
  </si>
  <si>
    <t>Grade 7 Unit 2</t>
  </si>
  <si>
    <t>Grade 7, Unit 2, Module 0</t>
  </si>
  <si>
    <t xml:space="preserve">Module 0: 
Show and Tell : Policy Based Arguments
</t>
  </si>
  <si>
    <t>CCSS.W.7.10; CCSS.W.7.1.a; CCSS.W.7.1; CCSS.W.7.5; CCSS.W.7.9.b; CCSS.W.7.4</t>
  </si>
  <si>
    <t>What Impact Can Transportation Have?0</t>
  </si>
  <si>
    <t>Module 1: 
Show and Tell:  Writing a Hook</t>
  </si>
  <si>
    <t>Introductions to Arguments
Revising for Clarity, Development, and Organization</t>
  </si>
  <si>
    <t>Writing Process: Quick Journal, Connect, Analyze, Develop, Draft, Review
Write to Impress: Use Precise Language
Appreciate the Author's Craft</t>
  </si>
  <si>
    <t>Essential Prompt—Argumentative: Trace the claim and evidence regarding teen driving. How does the author use details, informal language, anecdotes, and statistics to convince readers that technology can make teen driving safe?</t>
  </si>
  <si>
    <t>CCSS.W.7.1; CCSS.W.7.10; CCSS.W.7.4; CCSS.W.7.5; CCSS.W.7.1.a; CCSS.W.7.9</t>
  </si>
  <si>
    <t>What Impact Can Transportation Have?1</t>
  </si>
  <si>
    <t>Module 2: 
Show and Tell: Identifying the Best Evidence</t>
  </si>
  <si>
    <t>Writing Process: Quick Journal, Connect, Analyze, Develop, Draft, Review
Sharpen Your Sentences: Sentence Expansion in Counterclaims
Appreciate the Author's Craft</t>
  </si>
  <si>
    <t>Complementary Writing Prompt (Argumentative): Trace the claim and evidence for the author’s argument to find solutions to transportation barriers for college students. What is the most effective evidence for his argument: research, expert opinions, or personal experiences?</t>
  </si>
  <si>
    <t>CCSS.W.7.1; CCSS.W.7.10; CCSS.W.7.4; CCSS.W.7.5; CCSS.W.7.9; CCSS.W.7.1.b; CCSS.W.7.9.b</t>
  </si>
  <si>
    <t>What Impact Can Transportation Have?2</t>
  </si>
  <si>
    <t>Module 3: 
Show and Tell: Linking Claims and Reasoning</t>
  </si>
  <si>
    <t>Reasoning
Transitions and Linking Words
Characteristics of a Formal Style</t>
  </si>
  <si>
    <t xml:space="preserve">Writing Process: Quick Journal, Connect, Analyze, Develop, Draft, Review
</t>
  </si>
  <si>
    <t>Complementary Writing Prompt (Argumentative): Analyze the author’s use of infographics, photos, and illustrations in the text. Do these text features convince you that smart cars need smarter roads?</t>
  </si>
  <si>
    <t>CCSS.W.7.1; CCSS.W.7.10; CCSS.W.7.4; CCSS.W.7.5; CCSS.W.7.2.c; CCSS.W.7.2.e; CCSS.W.7.9; CCSS.W.7.9.b</t>
  </si>
  <si>
    <t>What Impact Can Transportation Have?3</t>
  </si>
  <si>
    <t>Module 4: 
Show and Tell:  Writing Appeals and Counterclaims</t>
  </si>
  <si>
    <t>Counterarguments</t>
  </si>
  <si>
    <t>Writing Process: Quick Journal, Connect, Analyze, Develop, Draft, Review
Share Your Best Writing Sample: Reflect on Writing Over the Course of the Unit</t>
  </si>
  <si>
    <t>Complementary Writing Prompt (Argumentative): Trace the evidence the author provides to make the case for free public transit. How does the author use evidence to appeal to the audience’s values?</t>
  </si>
  <si>
    <t>CCSS.W.7.1; CCSS.W.7.10; CCSS.W.7.4; CCSS.W.7.5; CCSS.W.7.9.b; CCSS.W.7.9</t>
  </si>
  <si>
    <t>What Impact Can Transportation Have?4</t>
  </si>
  <si>
    <t>Grade 7, Unit 2, Module 5</t>
  </si>
  <si>
    <t>Module 5: 
Show and Tell:  Use Research to Bolster Your Argument</t>
  </si>
  <si>
    <t xml:space="preserve">Sources in Argument Writing
</t>
  </si>
  <si>
    <t>CCSS.W.7.10; CCSS.W.7.4; CCSS.W.7.6; CCSS.W.7.8; CCSS.W.7.5; CCSS.W.7.9.b; CCSS.W.7.1; CCSS.W.7.7; CCSS.W.7.9; CCSS.W.7.9.a</t>
  </si>
  <si>
    <t>What Impact Can Transportation Have?5</t>
  </si>
  <si>
    <t>Grade 7, Unit 2, Module 6</t>
  </si>
  <si>
    <t>Module 6: 
Show and Tell:  Cite Research to Bolster Your Argument</t>
  </si>
  <si>
    <t xml:space="preserve">Reflect on the Essential Question
Prepare for the Debate
Reflect on the Debate
</t>
  </si>
  <si>
    <t>CCSS.W.7.1; CCSS.W.7.3; CCSS.W.7.7; CCSS.W.7.9</t>
  </si>
  <si>
    <t>What Impact Can Transportation Have?6</t>
  </si>
  <si>
    <t>Grade 7, Unit 2, Module 7</t>
  </si>
  <si>
    <t>Module 7: 
Show and Tell: Writing Conclusions</t>
  </si>
  <si>
    <t xml:space="preserve">Writing the Argumentative Essay
Conclusions in Arguments
</t>
  </si>
  <si>
    <t>Writing Process: Connect, Analyze, Develop, Draft, Review
Score the Example: “Getting Around” by Samantha Gonzalez
Practice Feedback: “Getting Around” by Samantha Gonzalez
Choose Your Argument
Map Your Argument
Make It Powerful: Words to Appeal
Share Your Argument: Peer Editing
Edit the Draft Together: Give and Get Feedback
Reflect on Your Writing</t>
  </si>
  <si>
    <t>Portfolio: Writing Your Argument: Draft, Review</t>
  </si>
  <si>
    <t>Essential Prompt—Argumentative Portfolio: Based on your readings, what improvements to transportation would have the greatest positive impact in your
area?</t>
  </si>
  <si>
    <t>CCSS.W.7.10; CCSS.W.7.1; CCSS.W.7.4; CCSS.W.7.5; CCSS.W.7.9; CCSS.W.7.9.b; CCSS.W.7.1.e; CCSS.W.7.1.a; CCSS.W.7.3; CCSS.W.7.1.b; CCSS.W.7.1.C; CCSS.W.7.9.A; CCSS.W.7.9.B; CCSS.W.7.1.D; CCSS.W.7.1.E</t>
  </si>
  <si>
    <t>What Impact Can Transportation Have?7</t>
  </si>
  <si>
    <t>Grade 7 Unit 3</t>
  </si>
  <si>
    <t>Grade 7, Unit 3, Module 0</t>
  </si>
  <si>
    <t>Module 0: 
Show and Tell:  Writing a Literary Analysis</t>
  </si>
  <si>
    <t>The Purpose of Narrative Writing</t>
  </si>
  <si>
    <t>CCSS.W.7.10; CCSS.W.7.4; CCSS.W.7.3; CCSS.W.7.5; CCSS.W.7.9</t>
  </si>
  <si>
    <t>How Do Beliefs Shape Reality?0</t>
  </si>
  <si>
    <t>Module 1: 
Show and Tell: Choosing Verbs to Describe Author's Choices</t>
  </si>
  <si>
    <t>Setting in Narrative Writing</t>
  </si>
  <si>
    <t>Writing Process: Quick Journal, Connect, Analyze, Develop, Draft, Review
Appreciate an Author's Craft</t>
  </si>
  <si>
    <t>Complementary Prompt—Argumentative: How does the author use the setting, characterization, and the events of “All Summer in a Day” to help readers understand the causes and effects of bullying?</t>
  </si>
  <si>
    <t>CCSS.W.7.1; CCSS.W.7.10; CCSS.W.7.4; CCSS.W.7.5; CCSS.W.7.3; CCSS.W.7.9</t>
  </si>
  <si>
    <t>How Do Beliefs Shape Reality?1</t>
  </si>
  <si>
    <t>Module 2: 
Show and Tell: Dialogue</t>
  </si>
  <si>
    <t>Writing Process: Quick Journal, Connect, Analyze, Develop, Draft, Review
Sharpen Your Sentences: Use an Appositive in a Sentence
Appreciate the Author's Craft</t>
  </si>
  <si>
    <t>Complementary Prompt—Narrative: Imagine you are a resident of the year 2081, living in a society where absolute equality is enforced through strict government regulations. Write a descriptive paragraph about a significant setting from the story. Choose one of the following: the Bergerons’ living room during a televised ballet performance, the studio where Harrison makes his dramatic appearance, or the city streets under the rule of the Handicapper General’s agents. Craft your description to vividly convey the atmosphere and details of the setting. Use at least one appositive phrase.</t>
  </si>
  <si>
    <t>Complementary Prompt—Argumentative: Using details from the text that show both direct and indirect characterization, explain why Harrison ultimately rebels against the system of his futuristic society. What commentary is Vonnegut making on society through the characterization of Harrison and his role in the rebellion?</t>
  </si>
  <si>
    <t>CCSS.W.7.1; CCSS.W.7.10; CCSS.W.7.4; CCSS.W.7.5; CCSS.W.7.9; CCSS.W.7.3.a; CCSS.W.7.3; CCSS.W.7.3.b</t>
  </si>
  <si>
    <t>How Do Beliefs Shape Reality?2</t>
  </si>
  <si>
    <t>Module 3: 
Show and Tell:  Writing Transitions in Narratives</t>
  </si>
  <si>
    <t>Transitions and Linking Words in Narrative Writing</t>
  </si>
  <si>
    <t>Essential Prompt—Narrative: Imagine you are a character from “Rainmaker” by Mazi Nwonwu who faces a challenge related to shyness or a similar personal—struggle. Write—a paragraph that includes dialogue between your character—and another person, illustrating how your character finds strength and a sense—of belonging in a difficult moment. Use figurative language, such as similes or—metaphors, to vividly describe your character’s emotions and the atmosphere—around them.</t>
  </si>
  <si>
    <t>Complementary Prompt—Argumentative: How does the author use this—futuristic story and its main characters’ self-discovery to comment upon the—importance of heritage in our lives?</t>
  </si>
  <si>
    <t>CCSS.W.7.1; CCSS.W.7.10; CCSS.W.7.4; CCSS.W.7.5; CCSS.W.7.3.c; CCSS.W.7.3; CCSS.W.7.9</t>
  </si>
  <si>
    <t>How Do Beliefs Shape Reality?3</t>
  </si>
  <si>
    <t>Module 4:
Show and Tell: Irony</t>
  </si>
  <si>
    <t xml:space="preserve">Irony and Suspense in Narrative Writing </t>
  </si>
  <si>
    <t>Complementary Prompt—Narrative: Write a descriptive paragraph that
captures the mood and imagery of a significant scene from “No Me Dejas” by Mark Oshiro. Choose a moment that resonated with you emotionally or visually from the text. Attend to your senses: describe what you can see, hear, touch, and smell in this scene. Use specific, descriptive language to immerse the reader in the setting and evoke the mood of the text through the character’s point of view.</t>
  </si>
  <si>
    <t>Complementary Prompt—Argumentative:  How does Gabriela’s perspective about her own life change after she receives her grandmother’s memories in the Transfer?</t>
  </si>
  <si>
    <t>CCSS.W.7.1; CCSS.W.7.10; CCSS.W.7.4; CCSS.W.7.5; CCSS.W.7.3; CCSS.W.7.9.a; CCSS.W.7.9</t>
  </si>
  <si>
    <t>How Do Beliefs Shape Reality?4</t>
  </si>
  <si>
    <t>Grade 7, Unit 3, Module 5</t>
  </si>
  <si>
    <t>Module 5: 
Show and Tell:  Summarizing, Paraphrasing, and Direct Quotation Using the Research Toolkit</t>
  </si>
  <si>
    <t>How Do Beliefs Shape Reality?5</t>
  </si>
  <si>
    <t>Grade 7, Unit 3, Module 6</t>
  </si>
  <si>
    <t>Module 6:
Show and Tell: Share Your Research</t>
  </si>
  <si>
    <t>CCSS.W.7.1; CCSS.W.7.3; CCSS.W.7.3(d); CCSS.W.7.7; CCSS.W.7.9</t>
  </si>
  <si>
    <t>How Do Beliefs Shape Reality?6</t>
  </si>
  <si>
    <t>Grade 7, Unit 3, Module 7</t>
  </si>
  <si>
    <t>Module 7:
Show and Tell: Narrative Endings; Student Exemplar Scoring</t>
  </si>
  <si>
    <t>Writing Process: Connect, Analyze, Develop, Draft, Review
Score the Example: “The Final Trip” by Eloise Auseon
Practice Feedback: “The Final Trip” by Eloise Auseon
Choose Your Idea
Map Your Short Story
Plot Your Story: Plotting Your Narrative Arc
Show, Don't Tell: Descriptive Language
Share Your Short Story: Peer Editing
Edit the Draft Together: Give and Get Feedback
Reflect on Your Writing</t>
  </si>
  <si>
    <t>Essential Prompt—Narrative: Think about a social issue you feel strongly about (for example, bullying, animal rights, climate change). Write a short story set in an alternate universe that addresses your theme and includes aspects of dystopia/utopia or science fiction that you have explored in this unit.</t>
  </si>
  <si>
    <t>CCSS.W.7.3; CCSS.W.7.4; CCSS.W.7.5; CCSS.W.7.9; CCSS.W.7.10; CCSS.W.7.3.e; CCSS.W.7.3.a; CCSS.W.7.3.d; CCSS.W.7.3.B; CCSS.W.7.3.C; CCSS.W.7.3.E</t>
  </si>
  <si>
    <t>How Do Beliefs Shape Reality?7</t>
  </si>
  <si>
    <t>Grade 7 Unit 4</t>
  </si>
  <si>
    <t>Grade 7, Unit 4, Module 0</t>
  </si>
  <si>
    <t>Module 0: 
Show and Tell:  Introducing Research Papers</t>
  </si>
  <si>
    <t>CCSS.W.7.10; CCSS.W.7.7; CCSS.W.7.4; CCSS.W.7.5; CCSS.W.7.6; CCSS.W.7.9</t>
  </si>
  <si>
    <t>What's the Problem with Plastic?0</t>
  </si>
  <si>
    <t>Module 1: 
Show and Tell:  Research a Genuine Question</t>
  </si>
  <si>
    <t>Complementary Prompt—Informative: How does the author use her story to define the issues with single use plastic packaging?</t>
  </si>
  <si>
    <t>CCSS.W.7.2; CCSS.W.7.10; CCSS.W.7.4; CCSS.W.7.5; CCSS.W.7.9</t>
  </si>
  <si>
    <t>What's the Problem with Plastic?1</t>
  </si>
  <si>
    <t>Module 2: 
Show and Tell:  Text Structure</t>
  </si>
  <si>
    <t xml:space="preserve">Writing Process: Quick Journal, Connect, Analyze, Develop, Draft, Review
Sharpen Your Sentences: Integrating Quotations Effectively
</t>
  </si>
  <si>
    <t>Essential Prompt—Informative: How does the author use the chronological history of the plastic bottle along with compare-contrast techniques to help readers consider various ways to address the problem of plastic?</t>
  </si>
  <si>
    <t>What's the Problem with Plastic?2</t>
  </si>
  <si>
    <t>Module 3: 
Show and Tell:  Author Point of View and Purpose</t>
  </si>
  <si>
    <t xml:space="preserve">Writing Process: Quick Journal, Connect, Analyze, Develop, Draft, Review
</t>
  </si>
  <si>
    <t>Complementary Prompt—Informative: How does the author ease the reader into the deeper scientific problems being caused by plastic waste?</t>
  </si>
  <si>
    <t>What's the Problem with Plastic?3</t>
  </si>
  <si>
    <t>Complementary Prompt—Informative: How does the author help readers to understand the “promise and peril” of plastic alternatives?</t>
  </si>
  <si>
    <t>CCSS.W.7.2; CCSS.W.7.10; CCSS.W.7.4; CCSS.W.7.5; CCSS.W.7.9.b; CCSS.W.7.9</t>
  </si>
  <si>
    <t>What's the Problem with Plastic?4</t>
  </si>
  <si>
    <t>Grade 7, Unit 4, Module 5</t>
  </si>
  <si>
    <t>Module 5: 
Show and Tell:  Fact and Opinion</t>
  </si>
  <si>
    <t>CCSS.W.7.10; CCSS.W.7.4; CCSS.W.7.6; CCSS.W.7.8; CCSS.W.7.1; CCSS.W.7.9.b; CCSS.W.7.7; CCSS.W.7.9</t>
  </si>
  <si>
    <t>What's the Problem with Plastic?5</t>
  </si>
  <si>
    <t>Grade 7, Unit 4, Module 6</t>
  </si>
  <si>
    <t>Module 6:
Show and Tell:  Varying Sources</t>
  </si>
  <si>
    <t>Plan Your Research—Step 1: Explore the Topic
Plan Your Research—Step 2: Find Reliable Sources
Plan Your Research— Step 3: Collect Relevant and Reliable Evidence
Plan Your Research— Step 4: Create a Thesis Statement</t>
  </si>
  <si>
    <t>CCSS.W.7.7CCSS.RI.7.7; CCSS.W.7.7; CCSS.W.7.8; CCSS.W.7.9.b</t>
  </si>
  <si>
    <t>What's the Problem with Plastic?6</t>
  </si>
  <si>
    <t>Grade 7, Unit 4, Module 7</t>
  </si>
  <si>
    <t>Module 7: 
Show and Tell:  Cite Research to Bolster Your Argument</t>
  </si>
  <si>
    <t>Reflect on the Essential Question
Plan Your Points
Reflect on the Panel Discussion</t>
  </si>
  <si>
    <t>CCSS.W.7.1; CCSS.W.7.2; CCSS.W.7.3; CCSS.W.7.2(d); CCSS.W.7.7; CCSS.W.7.9</t>
  </si>
  <si>
    <t>What's the Problem with Plastic?7</t>
  </si>
  <si>
    <t>Grade 7, Unit 4, Module 8</t>
  </si>
  <si>
    <t>Module 8:
Show and Tell: Student Exemplar Scoring; Writing the Research Paper</t>
  </si>
  <si>
    <t xml:space="preserve">Writing Process: Connect, Analyze, Develop, Draft, Review
Score the Example: “Plastic for Dinner?” by Eloise Auseon
Practice Feedback: “Plastic for Dinner?” by Eloise Auseon
Collect Your Research
Map Your Research Paper
Write It and Cite It
Share Your Research Paper: Peer Editing
Edit the Draft Together: Give and Get Feedback
Reflect on Your Writing
</t>
  </si>
  <si>
    <t>Essential Prompt—Informative Portfolio: Based on the readings and other research, what are the most pressing issues surrounding the use of plastic in packaging and other goods?</t>
  </si>
  <si>
    <t>CCSS.W.7.7; CCSS.W.7.4; CCSS.W.7.5; CCSS.W.7.6; CCSS.W.7.9; CCSS.W.7.10; CCSS.W.7.2; CCSS.W.7.8; CCSS.W.7.9.A; CCSS.W.7.9.B; CCSS.W.7.2.B; CCSS.W.7.2.C; CCSS.W.7.2.D; CCSS.W.7.2.E; CCSS.W.7.2.F</t>
  </si>
  <si>
    <t>What's the Problem with Plastic?8</t>
  </si>
  <si>
    <t>Grade 7 Unit 5</t>
  </si>
  <si>
    <t>Grade 7, Unit 5, Module 0</t>
  </si>
  <si>
    <t xml:space="preserve">Module 0: 
Show and Tell:  Cause-and-Effect Analysis </t>
  </si>
  <si>
    <t xml:space="preserve">CCSS.W.7.10; CCSS.W.7.2; CCSS.W.7.4; CCSS.W.7.5; CCSS.W.7.9
</t>
  </si>
  <si>
    <t>What's Love Got to Do with It?0</t>
  </si>
  <si>
    <t>Module 1: 
Show and Tell:  Analyzing Causes in Drama</t>
  </si>
  <si>
    <t xml:space="preserve">Writing Process: Quick Journal, Connect, Analyze, Develop, Draft, Review
Sharpen Your Sentences: Creating Cause And-Effect Sentences
</t>
  </si>
  <si>
    <t>Complementary Writing Prompt—Argumentative: How does Shakespeare begin revealing the complexity of relationships and the difficulty of romantic love through the various conflicts between characters?</t>
  </si>
  <si>
    <t>CCSS.W.7.1; CCSS.W.7.10; CCSS.W.7.4; CCSS.W.7.5; CCSS.W.7.2.a; CCSS.W.7.2; CCSS.W.7.9</t>
  </si>
  <si>
    <t>What's Love Got to Do with It?1</t>
  </si>
  <si>
    <t>Module 2: 
Show and Tell:  5Ws</t>
  </si>
  <si>
    <t xml:space="preserve">Writing Process: Quick Journal, Connect, Analyze, Develop, Draft, Review
Sharpen Your Sentences: Vary Your Sentence Length and Structure
</t>
  </si>
  <si>
    <t>Essential Prompt—Informative: How does Shakespeare use action and
devices to cause confusion and deception between characters?</t>
  </si>
  <si>
    <t>CCSS.W.7.2; CCSS.W.7.10; CCSS.W.7.4; CCSS.W.7.5; CCSS.W.7.9; CCSS.W.7.2.b</t>
  </si>
  <si>
    <t>What's Love Got to Do with It?2</t>
  </si>
  <si>
    <t>Module 3: 
Show and Tell:  Cause and Effect Transition Words</t>
  </si>
  <si>
    <t>Transitions in Informative Writing</t>
  </si>
  <si>
    <t>Complementary Writing Prompt—Informative: How does Shakespeare use language in this Act to escalate the conflict between characters? Think about elements like word puns, clever insults, and hyperbole when crafting your response.</t>
  </si>
  <si>
    <t>CCSS.W.7.2; CCSS.W.7.10; CCSS.W.7.4; CCSS.W.7.5; CCSS.W.7.2.c; CCSS.W.7.9</t>
  </si>
  <si>
    <t>What's Love Got to Do with It?3</t>
  </si>
  <si>
    <t>Module 4: 
Show and Tell:  Word Precision</t>
  </si>
  <si>
    <t>Precise Language and Vocabulary in Informative Writing</t>
  </si>
  <si>
    <t>Complementary Writing Prompt—Informative: Pick a scene from Act IV of “A Midsummer Night’s Dream” where Shakespeare uses dramatic irony and/or humor. Write a paragraph describing this scene and explaining how it made you feel as a reader or audience member. Think about how the funny or surprising parts help solve problems between the characters. Explain why this moment is memorable for its funny or surprising parts and how it helps you understand how Shakespeare handles problems between characters in the play.</t>
  </si>
  <si>
    <t>Complementary Writing Prompt—Argumentative: In Act IV, how does Shakespeare use dramatic irony and humor surrounding the characters and situations to affect the audience?</t>
  </si>
  <si>
    <t>CCSS.W.7.1; CCSS.W.7.10; CCSS.W.7.4; CCSS.W.7.5; CCSS.W.7.9; CCSS.W.7.2.d; CCSS.W.7.2</t>
  </si>
  <si>
    <t>What's Love Got to Do with It?4</t>
  </si>
  <si>
    <t xml:space="preserve">Module 5: 
Show and Tell:  Falling Action and Resolution </t>
  </si>
  <si>
    <t>Complementary Prompt—Informative: Focus on Act V of “A Midsummer Night’s Dream,” especially Puck’s speech at the end. Write a paragraph explaining how Puck’s speech concludes the play. Discuss the ideas Puck addresses and how they connect to the story and characters. Explain how Puck’s words tie together the plot and characters’ journeys. Use examples from Act V to support your ideas, showing how conclusions and themes are linked in Shakespeare’s play.</t>
  </si>
  <si>
    <t>CCSS.W.7.1; CCSS.W.7.10; CCSS.W.7.4; CCSS.W.7.5; CCSS.W.7.9.a; CCSS.W.7.9; CCSS.W.7.2</t>
  </si>
  <si>
    <t>What's Love Got to Do with It?5</t>
  </si>
  <si>
    <t>Grade 7, Unit 5, Module 6</t>
  </si>
  <si>
    <t>Module 6:
Show and Tell:  Researching Mediums</t>
  </si>
  <si>
    <t>CCSS.W.7.10; CCSS.W.7.4; CCSS.W.7.6; CCSS.W.7.8; CCSS.W.7.9.a; CCSS.W.7.7; CCSS.W.7.9; CCSS.W.7.9.b</t>
  </si>
  <si>
    <t>What's Love Got to Do with It?6</t>
  </si>
  <si>
    <t>Grade 7, Unit 5, Module 7</t>
  </si>
  <si>
    <t>Module 7: 
Show and Tell:  Researching the Part</t>
  </si>
  <si>
    <t>Reflect on the Essential Question
Prepare for the Performance
Reflect on the Performance</t>
  </si>
  <si>
    <t>What's Love Got to Do with It?7</t>
  </si>
  <si>
    <t>Grade 7, Unit 5, Module 8</t>
  </si>
  <si>
    <t>Module 8: 
Show and Tell:  Conclusions in Cause / Effect Writing</t>
  </si>
  <si>
    <t>Writing Process: Quick Journal, Connect, Analyze, Develop, Draft, Review
Score the Example
Practice Feedback
Choose Your Focus
Map Your Cause -and-Effect Essay
Make it Flow: Transition Words
Share Your Essay: Peer Editing
Edit the Draft Together: Give and Get Feedback
Reflect on Your Writing</t>
  </si>
  <si>
    <t>Essential Prompt—Informative Portfolio: Determine a theme and trace its development. The plot revolves around conflicts created through tensions between characters, plot twists, and playful language. Choose one or more aspects of the play to support your claim regarding the central theme and its development throughout the play</t>
  </si>
  <si>
    <t xml:space="preserve">CCSS.W.7.1; CCSS.W.7.3; CCSS.W.7.7; CCSS.W.7.9
</t>
  </si>
  <si>
    <t>What's Love Got to Do with It?8</t>
  </si>
  <si>
    <t>Grade 7 Unit 6</t>
  </si>
  <si>
    <t>Grade 7, Unit 6, Module 0</t>
  </si>
  <si>
    <t>Module 0: 
Show and Tell:  Explore Your Future</t>
  </si>
  <si>
    <t>CCSS.W.7.10; CCSS.W.7.4; CCSS.W.7.2; CCSS.W.7.5; CCSS.W.7.7; CCSS.W.7.9</t>
  </si>
  <si>
    <t>What Do You Want to Do with Your Life?0</t>
  </si>
  <si>
    <t>Module 1: 
Show and Tell: Using Flash Forward Techniques and Anecdotes</t>
  </si>
  <si>
    <t xml:space="preserve">
Using Time as a Storytelling Tool</t>
  </si>
  <si>
    <t>Complementary Prompt—Narrative: Read “Go On Your Own Way” by Terina Allen. Think about how the story connects to growing up and making choices in life. Practice telling a story where a character remembers their first day of school in a flashback. Start by describing how they felt nervous and unsure at first, just like Terina Allen describes. Then, show how they started to make friends and realized they could do well in class. Include a short story or personal experience that shows how the character learned something important about themselves during this time. Use colorful words to describe how they felt and changed over time. This will help you understand how writers use time in stories to make them more interesting and to show how people grow and learn from their experiences</t>
  </si>
  <si>
    <t>Complementary Prompt—Informative: How does the author use her own experiences to convey her message to readers who might feel scared about their future or their power over it? Use evidence from the text to support your answer.</t>
  </si>
  <si>
    <t xml:space="preserve">CCSS.W.7.2; CCSS.W.7.10; CCSS.W.7.4; CCSS.W.7.5; CCSS.W.7.3.b; CCSS.W.7.3; CCSS.W.7.9
</t>
  </si>
  <si>
    <t>What Do You Want to Do with Your Life?1</t>
  </si>
  <si>
    <t>Module 2: 
Show and Tell:  Connecting Ideas and Developing Events</t>
  </si>
  <si>
    <t xml:space="preserve">Writing Process: Quick Journal, Connect, Analyze, Develop, Draft, Review
Sharpen Your Sentences: Sentence Combining: Appositives, Pronouns, Conjunctions
</t>
  </si>
  <si>
    <t>Complementary Prompt—Informative: Read “Careers of the Future” by Rachel Kempster Barry to learn about future career trends. Using the research toolkit provided, conduct advanced research into an issue or interest that you’re passionate about. As you gather information, practice using sentence combining techniques such as appositives (adding extra information), pronouns (replacing nouns), and conjunctions (linking ideas) to create clear and sophisticated sentences. Once you have thoroughly researched your topic, write a mini-informative summary. Your summary should explain the topic in a way that anyone can understand, even if they know nothing about it. Use your research to provide facts and explanations. This task will help you
become better at researching, organizing your ideas, and writing about complex topics clearly</t>
  </si>
  <si>
    <t>Complementary Prompt—Argumentative: What are the most impactful strategies (examples, anecdotes, analogies, etc.) that the author uses to communicate their claim that students need to learn STEM, leadership, and collaboration skills in order to prepare for future careers?</t>
  </si>
  <si>
    <t>CCSS.W.7.1; CCSS.W.7.10; CCSS.W.7.4; CCSS.W.7.5; CCSS.W.7.9; CCSS.W.7.3.b; CCSS.W.7.3; CCSS.W.7.2</t>
  </si>
  <si>
    <t>What Do You Want to Do with Your Life?2</t>
  </si>
  <si>
    <t>Module 3: 
Show and Tell:  Choosing Details and Creating Suspense</t>
  </si>
  <si>
    <t>Essential Prompt—Informative Portfolio: Describe the purpose of this article and the key takeaways about each post-secondary option. How does the structure of the article support its purpose?</t>
  </si>
  <si>
    <t>Complementary Prompt—Narrative: After reading “Exploring Postsecondary Options and Choosing What’s Best for You” by Enilorac Archeval Rivera, create a narrative paragraph that uses time as a storytelling tool. Imagine a flashforward to one of the options mentioned in the text, such as the first day of college, a trade program, a gap year, or another postsecondary choice. Show how your character feels as they prepare for this new experience, blending excitement with nervousness. Select specific details to arrange in your story, such as their thoughts, surroundings, and interactions with others. Use descriptive language to vividly describe their emotions and the environment. This task will help you practice bringing a story to life by effectively using time and selecting important details to include.</t>
  </si>
  <si>
    <t>CCSS.W.7.2; CCSS.W.7.10; CCSS.W.7.4; CCSS.W.7.5; CCSS.W.7.3; CCSS.W.7.9</t>
  </si>
  <si>
    <t>What Do You Want to Do with Your Life?3</t>
  </si>
  <si>
    <t>Module 4: 
Show and Tell:  Choosing Words and Images; Research Skills as College/Career Readiness Skills</t>
  </si>
  <si>
    <t>Complementary Prompt—Informative: What is the author’s purpose in this text about personality traits, and how is it conveyed through sentence structure and specific word choices?</t>
  </si>
  <si>
    <t>What Do You Want to Do with Your Life?4</t>
  </si>
  <si>
    <t>Grade 7, Unit 6, Module 5</t>
  </si>
  <si>
    <t>Module 5: 
Show and Tell: Researching for a Well-Rounded Understanding</t>
  </si>
  <si>
    <t>CCSS.W.7.10; CCSS.W.7.4; CCSS.W.7.6; CCSS.W.7.8; CCSS.W.7.9; CCSS.W.7.7; CCSS.W.7.9.b</t>
  </si>
  <si>
    <t>What Do You Want to Do with Your Life?5</t>
  </si>
  <si>
    <t>Grade 7, Unit 6, Module 6</t>
  </si>
  <si>
    <t>Module 6: 
Show and Tell:  Researching Your Pitch</t>
  </si>
  <si>
    <t>What Do You Want to Do with Your Life?6</t>
  </si>
  <si>
    <t>Grade 7, Unit 6, Module 7</t>
  </si>
  <si>
    <t>Module 7: 
Show and Tell: Fleshing Out a Topic; Practicing Feedback</t>
  </si>
  <si>
    <t xml:space="preserve">Writing the Personal Statement
</t>
  </si>
  <si>
    <t>Writing Process: Connect, Analyze, Develop, Draft, Review
Score the Example: “Riding My Bike to New Places and Opportunities” by Harper Schaaf
Practice Feedback: “Riding My Bike to New Places and Opportunities” by Harper Schaaf
Plan Your Future
Map Your Statement
Use Examples and Anecdotes
Share Your Plan: Peer Editing
Edit the Draft Together: Give and Get Feedback
Reflect on Your Writing</t>
  </si>
  <si>
    <t>Portfolio—Informative: Describe a topic, idea, or concept you find
so engaging it makes you lose all track of time. Why does it captivate you? What or who do you turn to when you want to learn more?</t>
  </si>
  <si>
    <t>CCSS.W.7.3; CCSS.W.7.2; CCSS.W.7.4; CCSS.W.7.5; CCSS.W.7.7; CCSS.W.7.9; CCSS.W.7.10; CCSS.W.7.3.B; CCSS.W.7.3.C; CCSS.W.7.3.E</t>
  </si>
  <si>
    <t>What Do You Want to Do with Your Life?7</t>
  </si>
  <si>
    <t>Grade 7 Unit 7</t>
  </si>
  <si>
    <t>Grade 7, Unit 7, Module 0</t>
  </si>
  <si>
    <t>Module 0: 
Show and Tell:  Types of Narrative Writing</t>
  </si>
  <si>
    <t>CCSS.W.7.10; CCSS.W.7.3; CCSS.W.7.4; CCSS.W.7.9; CCSS.W.7.5; CCSS.W.7.7; CCSS.W.7.9.a</t>
  </si>
  <si>
    <t>How Do We Understand Our Past Through Stories?0</t>
  </si>
  <si>
    <t>Module 1: 
Show and Tell:  Plot and Its Impact on Theme</t>
  </si>
  <si>
    <t>Writing Process: Quick Journal, Connect, Analyze, Develop, Draft, Review
Sharpen Your Sentences: Comparing Settings</t>
  </si>
  <si>
    <t>Essential Prompt—Argumentative: Compare and contrast the environmental challenges faced by the character John Thornton and his dog Buck in The Call of the Wild with the real life challenges faced by the author, Jack London, during his turn-of-the-20th-century expedition in the harsh Yukon territory. Use evidence from the texts to support your claims.</t>
  </si>
  <si>
    <t>CCSS.W.7.1; CCSS.W.7.10; CCSS.W.7.4; CCSS.W.7.5; CCSS.W.7.1.d; CCSS.W.7.9</t>
  </si>
  <si>
    <t>How Do We Understand Our Past Through Stories?1</t>
  </si>
  <si>
    <t>Module 2: 
Show and Tell:  Compare and Contrast Texts Across Genres and Themes</t>
  </si>
  <si>
    <t>Compare and Contrast Texts Across Genres</t>
  </si>
  <si>
    <t>Writing Process: Quick Journal, Connect, Analyze, Develop, Draft, Review
Sharpen Your Sentences: Connect Evidence to Claims with Reasoning</t>
  </si>
  <si>
    <t>Essential Prompt—Argumentative: Compare and contrast the challenges and achievements of Bessie Coleman in real life and as the main character in the historical fiction novel A Pair of Wings, written by Carole Hopson. Use evidence from the texts to support your claims.</t>
  </si>
  <si>
    <t>CCSS.W.7.10; CCSS.W.7.4; CCSS.W.7.5; CCSS.W.7.9; CCSS.W.7.1</t>
  </si>
  <si>
    <t>How Do We Understand Our Past Through Stories?2</t>
  </si>
  <si>
    <t>Module 3: 
Show and Tell:  How Authors Use Real Events to Create Conflict in Fiction</t>
  </si>
  <si>
    <t>Writing Process: Quick Journal, Connect, Analyze, Develop, Draft, Review
Sharpen Your Sentences: Writing Focused Summaries
Share Your Best Writing Sample</t>
  </si>
  <si>
    <t>Complementary Prompt—Argumentative: Compare and contrast the refugee experiences that are presented in the excerpts from Ishmael Beah’s memoir, A Long Way Gone, and from the historical fiction novel A Long Walk to Water. What are some similarities and differences between Beah’s real life experiences as a former child soldier seeking refuge in the United States and Salva’s
fictionalized experiences? Consider how each of them initially reacts to their new American homes and how they choose to take action for others with similar experiences. Use evidence from the texts to support your claims.</t>
  </si>
  <si>
    <t>How Do We Understand Our Past Through Stories?3</t>
  </si>
  <si>
    <t>Grade 7, Unit 7, Module 4</t>
  </si>
  <si>
    <t>Module 4: 
Show and Tell:  Researching for Perspectives</t>
  </si>
  <si>
    <t xml:space="preserve">Writing Process: Quick Journal
Read and Analyze Poetry: Compose Your Poem
</t>
  </si>
  <si>
    <t>CCSS.W.7.4; CCSS.W.7.6; CCSS.W.7.8; CCSS.W.7.10; CCSS.W.7.9.a; CCSS.W.7.7; CCSS.W.7.9; CCSS.W.7.9.b</t>
  </si>
  <si>
    <t>How Do We Understand Our Past Through Stories?4</t>
  </si>
  <si>
    <t>Grade 7, Unit 7, Module 5</t>
  </si>
  <si>
    <t>Module 5: 
Show and Tell:  Preparing for Socratic Discussion</t>
  </si>
  <si>
    <t>Reflect on the Essential Question
Prepare for Discussion
Reflect on the Discussion</t>
  </si>
  <si>
    <t>How Do We Understand Our Past Through Stories?5</t>
  </si>
  <si>
    <t>Grade 7, Unit 7, Module 6</t>
  </si>
  <si>
    <t>Module 6:
Show and Tell:  Historical Point of View Across Texts; Student Exemplar Scoring</t>
  </si>
  <si>
    <t>Writing the Literary Analysis</t>
  </si>
  <si>
    <t xml:space="preserve">Writing Process: Quick Journal, Connect, Analyze, Develop, Draft, Review
Score the Example: “Timeless Treasures Live On” by Luca Luzzi
Practice Feedback: “Timeless Treasures Live On” by Luca Luzzi
Choose Your Texts for Comparison
Compare Similarities
Analyze Differences
Develop and Share Your Claim
Organize Your Essay
Use Transition Sentences
Share Your Analysis: Peer Editing 
Edit the Draft Together: Give and Get Feedback
Reflect on Your Writing </t>
  </si>
  <si>
    <t>Essential Prompt—Argumentative Portfolio: Choose two of the historical
fiction texts from the unit. Make a claim about how the author of each text retells history (real events, people, and places) in order to reveal timeless lessons
for humanity.</t>
  </si>
  <si>
    <t>CCSS.W.7.1; CCSS.W.7.3; CCSS.W.7.7;  CCSS.W.7.9</t>
  </si>
  <si>
    <t>How Do We Understand Our Past Through Stories?6</t>
  </si>
  <si>
    <t>Grade 8 Unit 1</t>
  </si>
  <si>
    <t>Grade 8, Unit 1, Module 0</t>
  </si>
  <si>
    <t>Module 0:
Show and Tell:  Personal Narrative</t>
  </si>
  <si>
    <t>An Introduction: What Is CERCA?
Claims
Supporting Claims with Evidence 
The Purpose of Personal Narrative Writing</t>
  </si>
  <si>
    <t>CCSS.W.8.5; CCSS.W.8.1.a; CCSS.W.8.1; CCSS.W.8.1.b; CCSS.W.8.3</t>
  </si>
  <si>
    <t>Who Do You Aim to Be?0</t>
  </si>
  <si>
    <t>Module 1: 
Show and Tell:  Citing Evidence; Supporting Claims About Literary Texts with Evidence</t>
  </si>
  <si>
    <t>Writing Process: Quick Journal, Connect, Analyze, Develop, Draft, Review
Sharpen Your Sentences: Expand the Sentence
Appreciate the Author's Craft</t>
  </si>
  <si>
    <t>Complementary Prompt—Argumentative: Which life lesson that the narrator learns from her interaction with Miss Lottie is most powerful? Cite specific evidence from the text to support your answer.</t>
  </si>
  <si>
    <t>Complementary Prompt —Informative: What powerful life lessons does the narrator learn from her interaction with Miss Lottie? Cite specific evidence, including inferences you made, from the text to support your response.</t>
  </si>
  <si>
    <t>CCSS.W.8.1; CCSS.W.8.2; CCSS.W.8.9.B; CCSS.W.8.10; CCSS.W.8.4; CCSS.W.8.5; CCSS.W.8.9; CCSS.W.8.3</t>
  </si>
  <si>
    <t>Who Do You Aim to Be?1</t>
  </si>
  <si>
    <t>Module 2: 
Show and Tell:  Conveying Themes</t>
  </si>
  <si>
    <t>Complementary Prompt—Narrative: For this narrative prompt, inspired by James Bird’s “I Am the Greatest,” explore the question: “What might failure teach us that success cannot?” Using the provided story opening, write an abbreviated narrative focusing on plot development and active vs. passive verbs. Imagine it as a movie trailer: introduce the main character and their initial situation, show the daily challenges and failures they face, and conclude with their realization about resilience and perseverance. Each part of the narrative (beginning, middle, end) should be 2-3 sentences long.</t>
  </si>
  <si>
    <t>Complementary Prompt—Argumentative: Using evidence from the text, what message is the author trying to convey about self-confidence through the challenges assigned by his mother?</t>
  </si>
  <si>
    <t>CCSS.W.8.1; CCSS.W.8.9.B; CCSS.W.8.2; CCSS.W.8.10; CCSS.W.8.4; CCSS.W.8.5; CCSS.W.8.3.a; CCSS.W.8.3; CCSS.W.8.9</t>
  </si>
  <si>
    <t>Who Do You Aim to Be?2</t>
  </si>
  <si>
    <t xml:space="preserve">Module 3: 
Show and Tell:  Writing Arguments 
 </t>
  </si>
  <si>
    <t>Essential Prompt—Narrative: Inspired by “Amigo Brothers” by Piri Thomas, explore the essential question: “What can we learn from facing unfamiliar challenges?” Focus on character development by describing a pivotal moment that changes your character. Detail the moments leading up to, during, and after this event, highlighting how the character faces and grows from the challenge. Illustrate their thoughts, feelings, and actions to show their transformation through this experience</t>
  </si>
  <si>
    <t>Complementary Prompt—Informative: Based on evidence from the text, what are two key lessons that the boys learned from the experiences they had as they engaged in the unexpected boxing match?</t>
  </si>
  <si>
    <t>CCSS.W.8.10; CCSS.W.8.4; CCSS.W.8.5; CCSS.W.8.9; CCSS.W.8.2; CCSS.W.8.3</t>
  </si>
  <si>
    <t>Who Do You Aim to Be?3</t>
  </si>
  <si>
    <t>Module 4: 
Show and Tell:  Creating Imagery and Mood</t>
  </si>
  <si>
    <t>Complementary Prompt (Narrative): As you read “Off the Shelf” by Patti Smith, focus on how imagery influences the mood, creating feelings and emotions similar to how films use visuals to set different moods. Think back to a moment when you worked hard to achieve something or felt deep empathy. Write a brief narrative with detailed descriptions of that scene, like Smith’s description of the small ranch house in rural South Jersey or the grocery store where Patricia and her mother shopped. Use imagery with descriptive details to capture the emotions of the moment, similar to Smith’s depiction of the tension at the checkout counter over the World Book Encyclopedia.</t>
  </si>
  <si>
    <t>Complementary Prompt (Informative): What specific kinds of imagery does the author use to show what the narrator is thinking and feeling throughout the story, and what final message does the imagery help to convey?</t>
  </si>
  <si>
    <t>CCSS.W.8.2; CCSS.W.8.10; CCSS.W.8.4; CCSS.W.8.5; CCSS.W.8.3; CCSS.W.8.9.a; CCSS.W.8.9</t>
  </si>
  <si>
    <t>Who Do You Aim to Be?4</t>
  </si>
  <si>
    <t>Grade 8, Unit 1, Module 5</t>
  </si>
  <si>
    <t>Module 5: 
Show and Tell:  Evaluating Research; Research Project</t>
  </si>
  <si>
    <t xml:space="preserve">Quick Journal
</t>
  </si>
  <si>
    <t>CCSS.W.8.10; CCSS.W.8.4; CCSS.W.8.6; CCSS.W.8.8; CCSS.W.8.7; CCSS.W.8.9; CCSS.W.8.9.a; CCSS.W.8.9.b</t>
  </si>
  <si>
    <t>Who Do You Aim to Be?5</t>
  </si>
  <si>
    <t>Grade 8, Unit 1, Module 6</t>
  </si>
  <si>
    <t xml:space="preserve">Module 6: 
Show and Tell:  Share Research </t>
  </si>
  <si>
    <t>CCSS.W.8.1; CCSS.W.8.3; CCSS.W.8.3(d); CCSS.W.8.7; CCSS.W.8.9</t>
  </si>
  <si>
    <t>Who Do You Aim to Be?6</t>
  </si>
  <si>
    <t>Grade 8, Unit 1, Module 7</t>
  </si>
  <si>
    <t xml:space="preserve">Module 7: 
Show and Tell:  Planning a Narrative; Hooking Your Audience in a Personal Narrative </t>
  </si>
  <si>
    <t xml:space="preserve">Writing the Personal Narrative
Beginnings in Narrative Writing
Using Concrete, Sensory Details in Narrative Writing
</t>
  </si>
  <si>
    <t>Writing Process: Connect, Analyze, Develop, Draft, Review
Score the Example: “In the Blink of an Eye” by Suri Marrero
Practice Feedback: “In the Blink of an Eye” by Suri Marrero
Choose Your Moment
Map Your Personal Narrative
Make It Vivid: Descriptive Language
Share Your Personal Narrative: Peer Editing
Edit the Draft Together: Give and Get Feedback
Reflect on Your Writing</t>
  </si>
  <si>
    <t>Essential Prompt—Narrative Portfolio: Write a personal narrative about a moment when you learned a valuable lesson that changed your life.</t>
  </si>
  <si>
    <t>CCSS.W.8.3; CCSS.W.8.5; CCSS.W.8.10; CCSS.W.8.3.a; CCSS.W.8.4; CCSS.W.8.9; CCSS.W.8.3.d; CCSS.W.8.3.B; CCSS.W.8.3.C; CCSS.W.8.3.E</t>
  </si>
  <si>
    <t>Who Do You Aim to Be?7</t>
  </si>
  <si>
    <t>Grade 8 Unit 2</t>
  </si>
  <si>
    <t>Grade 8, Unit 2, Module 0</t>
  </si>
  <si>
    <t>Module 0: 
Show and Tell:  Policy-Based Arguments</t>
  </si>
  <si>
    <t xml:space="preserve">The Purpose of Arguments
Organizing Arguments
</t>
  </si>
  <si>
    <t>CCSS.W.8.10; CCSS.W.8.1.a; CCSS.W.8.1; CCSS.W.8.5; CCSS.W.8.9.b; CCSS.W.8.4</t>
  </si>
  <si>
    <t>How Do We Fuel a Community?0</t>
  </si>
  <si>
    <t xml:space="preserve">Module 1: 
Show and Tell:  Writing a Hook </t>
  </si>
  <si>
    <t>Complementary Writing Prompt—Argumentative: How does the author use details and visuals about the California model to appeal to the audience in this argument for using clean energy?</t>
  </si>
  <si>
    <t>CCSS.W.8.1; CCSS.W.8.10; CCSS.W.8.4; CCSS.W.8.5; CCSS.W.8.1.a; CCSS.W.8.9</t>
  </si>
  <si>
    <t>How Do We Fuel a Community?1</t>
  </si>
  <si>
    <t xml:space="preserve">Module 2: Choosing the Best Evidence </t>
  </si>
  <si>
    <t>Essential Prompt—Argumentative: How does the author select and arrange evidence to build
a case for switching from petroleum products to biofuels? Is there enough convincing evidence to support the author’s position?</t>
  </si>
  <si>
    <t>CCSS.W.8.1; CCSS.W.8.10; CCSS.W.8.4; CCSS.W.8.5; CCSS.W.8.9; CCSS.W.8.1.b; CCSS.W.8.9.b</t>
  </si>
  <si>
    <t>How Do We Fuel a Community?2</t>
  </si>
  <si>
    <t>Module 3: 
Show and Tell:  Using Claims and Reasoning</t>
  </si>
  <si>
    <t>Transitions and LInking Words
Characteristics of a Formal Style
Reasoning</t>
  </si>
  <si>
    <t>Complementary Writing Prompt—Argumentative: How does the author use text features such as photos and captions to support the arguments around using solar energy in schools? What details do the photos provide that the text does not?</t>
  </si>
  <si>
    <t>CCSS.W.8.1; CCSS.W.8.10; CCSS.W.8.4; CCSS.W.8.5; CCSS.W.8.2.c; CCSS.W.8.9; CCSS.W.8.9.b</t>
  </si>
  <si>
    <t>How Do We Fuel a Community?3</t>
  </si>
  <si>
    <t>Module 4: Show and Tell:  Writing Claims and Appeals; Linking Claims and Reasoning</t>
  </si>
  <si>
    <t>Complementary Writing Prompt—Argumentative: Trace the evidence the author provides to make the case for nuclear fusion as a viable future energy source. How does the author use evidence to appeal to the audience’s values?</t>
  </si>
  <si>
    <t>CCSS.W.8.1; CCSS.W.8.10; CCSS.W.8.4; CCSS.W.8.5; CCSS.W.8.9.b; CCSS.W.8.9</t>
  </si>
  <si>
    <t>How Do We Fuel a Community?4</t>
  </si>
  <si>
    <t>Grade 8, Unit 2, Module 5</t>
  </si>
  <si>
    <t>Writing Process: Quick Journal
Analyzing and Comparing Arguments</t>
  </si>
  <si>
    <t>CCSS.W.8.10; CCSS.W.8.4; CCSS.W.8.6; CCSS.W.8.8; CCSS.W.8.5; CCSS.W.8.9.b; CCSS.W.8.1; CCSS.W.8.7; CCSS.W.8.9</t>
  </si>
  <si>
    <t>How Do We Fuel a Community?5</t>
  </si>
  <si>
    <t>Grade 8, Unit 2, Module 6</t>
  </si>
  <si>
    <t xml:space="preserve">Module 6: 
Show and Tell:  Cite Research to Bolster Your Argument </t>
  </si>
  <si>
    <t>Quick Journal
Reflect on the Essential Question</t>
  </si>
  <si>
    <t>CCSS.W.8.1; CCSS.W.8.3; CCSS.W.8.7; CCSS.W.8.9</t>
  </si>
  <si>
    <t>How Do We Fuel a Community?6</t>
  </si>
  <si>
    <t>Grade 8, Unit 2, Module 7</t>
  </si>
  <si>
    <t>Module 7: 
Show and Tell: Writing a Conclusion; Student Exemplar Scoring</t>
  </si>
  <si>
    <t>Writing Process: Connect, Analyze, Develop, Draft, Review
Score the Example: “Fueling Our Community” by Victoria Torres
Practice Feedback: “Fueling Our Community” by Victoria Torres
Choose Your Argument
Map Your Argument
Make It Powerful: Words to Appeal
Share Your Argument: Peer Editing
Edit the Draft Together: Give and Get Feedback
Reflect on Your Writing</t>
  </si>
  <si>
    <t>Essential Prompt—Argumentative Portfolio: Based on your readings, what changes have to be made to sourcing, utilizing, and investing in energy to power communities more effectively?</t>
  </si>
  <si>
    <t>CCSS.W.8.10; CCSS.W.8.1; CCSS.W.8.4; CCSS.W.8.5; CCSS.W.8.9; CCSS.W.8.9.b; CCSS.W.8.1.e; CCSS.W.8.1.a; CCSS.W.8.3; CCSS.W.8.1.b; CCSS.W.8.1.C; CCSS.W.8.9.A; CCSS.W.8.9.B; CCSS.W.8.1.D; CCSS.W.8.1.E</t>
  </si>
  <si>
    <t>How Do We Fuel a Community?7</t>
  </si>
  <si>
    <t>Grade 8 Unit 3</t>
  </si>
  <si>
    <t>Grade 8, Unit 3, Module 0</t>
  </si>
  <si>
    <t>Module 0: 
Show and Tell:  Author's Choices</t>
  </si>
  <si>
    <t>CCSS.W.8.10; CCSS.W.8.4; CCSS.W.8.3; CCSS.W.8.5; CCSS.W.8.9</t>
  </si>
  <si>
    <t>How Does Imagination Shape Our Vision?0</t>
  </si>
  <si>
    <t>Module 1: 
Show and Tell:  Describing a Description</t>
  </si>
  <si>
    <t>Complementary Writing Prompt—Argumentative: Based on dialogue from Jason Reynolds’s
text, describe what readers learn about the characters, their relationships to each other, and their world.</t>
  </si>
  <si>
    <t>CCSS.W.8.1; CCSS.W.8.10; CCSS.W.8.4; CCSS.W.8.5; CCSS.W.8.3; CCSS.W.8.9</t>
  </si>
  <si>
    <t>How Does Imagination Shape Our Vision?1</t>
  </si>
  <si>
    <t>Module 2: 
Show and Tell:  Dialogue to Advance Character Development</t>
  </si>
  <si>
    <t>Complementary Writing Prompt—Narrative: While reading “The Attack” by Lulu Delacre, pay attention to how the author vividly describes settings to create a sense of place in the story. Imagine a scene where you are at your favorite restaurant on a night out with friends (real or imagined) or in the kitchen while a favorite relative who enjoys cooking or preparing a meal. Describe this scene with detailed sensory imagery, capturing the sights, sounds, and atmosphere similar to how Delacre establishes the setting in “The Attack.” Include dialogue between characters to enhance the setting and bring the scene to life. Use descriptive language to
paint a clear picture of the environment.</t>
  </si>
  <si>
    <t>Complementary Writing Prompt—Argumentative: How do the characters grow and change as a result of the events of the story?</t>
  </si>
  <si>
    <t>CCSS.W.8.1; CCSS.W.8.10; CCSS.W.8.4; CCSS.W.8.5; CCSS.W.8.9; CCSS.W.8.3.a; CCSS.W.8.3; CCSS.W.8.3.b</t>
  </si>
  <si>
    <t>How Does Imagination Shape Our Vision?2</t>
  </si>
  <si>
    <t xml:space="preserve">Transitions and Linking Words in Narrative Writing
</t>
  </si>
  <si>
    <t>Essential Writing Prompt—Narrative: While reading “My Country Is a Ghost” by
Eugenia Triantafyllou, think about how dialogue is used to develop characters and their relationships. Write a narrative continuing Niovi’s story after she chooses to stay in the new country. Select one instance from the text where Niovi could have a conversation with another character. For example, you might describe her experiences at the Greek restaurant where she starts working, interactions with Remi and his grandmother’s ghost. Additionally, explore other moments such as her conversations with an elderly neighbor who shares wisdom about adjusting to a new culture, or scenes at the local library where Niovi meets a librarian who helps her uncover her family history. Rewrite the scene to include dialogue to illustrate how these interactions shape Niovi’s understanding of herself, her heritage, and her role in her new community.</t>
  </si>
  <si>
    <t>Complementary Writing Prompt (Argumentative): How does the author of this allegorical story explore the theme of connection to a person’s heritage, community, or sense of belonging? Trace the development of this theme by analyzing the main character’s experiences in a new land.</t>
  </si>
  <si>
    <t>CCSS.W.8.1; CCSS.W.8.10; CCSS.W.8.4; CCSS.W.8.5; CCSS.W.8.3.c; CCSS.W.8.3; CCSS.W.8.9</t>
  </si>
  <si>
    <t>How Does Imagination Shape Our Vision?3</t>
  </si>
  <si>
    <t>Module 4
Show and Tell:  Point of View</t>
  </si>
  <si>
    <t xml:space="preserve">Writing Process: Quick Journal, Connect, Analyze, Develop, Draft, Review
Share Your Best Writing Sample
</t>
  </si>
  <si>
    <t>Complementary Writing Prompt—Narrative: Imagine you are transported into the world where the tigers from “Tiger Mending” by Aimee Bender live. Write a story describing this mystical place using vivid imagery to create a mood of healing and connection. Use your imagination to paint a picture of what you see, hear, touch, and smell in this imaginary setting. Show how the environment and its inhabitants reflect themes of resilience, compassion, and the power of care, similar to the themes in “Tiger Mending.”</t>
  </si>
  <si>
    <t>Complementary Writing Prompt—Argumentative: Analyze the point of view from which the story is told. What insights does the narrator’s perspective reveal about the sisters’ relationship?</t>
  </si>
  <si>
    <t>CCSS.W.8.1; CCSS.W.8.10; CCSS.W.8.4; CCSS.W.8.5; CCSS.W.8.9.a; CCSS.W.8.9; CCSS.W.8.3</t>
  </si>
  <si>
    <t>How Does Imagination Shape Our Vision?4</t>
  </si>
  <si>
    <t>Grade 8, Unit 3, Module 5</t>
  </si>
  <si>
    <t>Module 5: 
Show and Tell:  Research Traditional Stories</t>
  </si>
  <si>
    <t xml:space="preserve">Writing Process: Quick Journal
</t>
  </si>
  <si>
    <t>CCSS.W.8.10; CCSS.W.8.4; CCSS.W.8.6; CCSS.W.8.8; CCSS.W.8.7; CCSS.W.8.9; CCSS.W.8.9.a</t>
  </si>
  <si>
    <t>How Does Imagination Shape Our Vision?5</t>
  </si>
  <si>
    <t>Grade 8, Unit 3, Module 6</t>
  </si>
  <si>
    <t>Module 6: 
Show and Tell:  Share Your Research</t>
  </si>
  <si>
    <t xml:space="preserve">
Reflect on the Essential Question
Prepare for Discussion
Reflect on the Discussion</t>
  </si>
  <si>
    <t>CCSS.W.8.1; CCSS.W.8.3; CCSS.W.8.3(d); CCSS.W.8.7  CCSS.W.8.9</t>
  </si>
  <si>
    <t>How Does Imagination Shape Our Vision?6</t>
  </si>
  <si>
    <t>Grade 8, Unit 3, Module 7</t>
  </si>
  <si>
    <t>Writing the Short Story
Using Concrete, Sensory Details Narrative Writing
Endings in Narrative Writing</t>
  </si>
  <si>
    <t>Writing Process: Connect, Analyze, Develop, Draft, Review
Score the Example: “Ghost Stories” by Mateo Burgos
Practice Feedback: “Ghost Stories” by Mateo Burgos
Choose Your Idea
Map Your Short Story
Plot Your Story: Plotting Your Narrative Arc
Show, Don't Tell: Descriptive Language
Share Your Short Story: Peer Editing
Edit the Draft Together: Give and Get Feedback
Reflect on Your Writing</t>
  </si>
  <si>
    <t>Essential Writing Prompt—Narrative Portfolio: Write a short story, set in an imaginary setting, in which the main character uses the power of imagination to solve a problem.</t>
  </si>
  <si>
    <t>CCSS.W.8.3; CCSS.W.8.4; CCSS.W.8.5; CCSS.W.8.9; CCSS.W.8.10; CCSS.W.8.3.e; CCSS.W.8.3.a; CCSS.W.8.3.d; CCSS.W.8.3.B; CCSS.W.8.3.C; CCSS.W.8.3.E</t>
  </si>
  <si>
    <t>How Does Imagination Shape Our Vision?7</t>
  </si>
  <si>
    <t>Grade 8 Unit 4</t>
  </si>
  <si>
    <t>Grade 8, Unit 4, Module 0</t>
  </si>
  <si>
    <t>Module 0: 
Show and Tell: Introducing Research Papers</t>
  </si>
  <si>
    <t>CCSS.W.8.10; CCSS.W.8.7; CCSS.W.8.4; CCSS.W.8.5; CCSS.W.8.6; CCSS.W.8.9</t>
  </si>
  <si>
    <t>How Can Travel Be Green?0</t>
  </si>
  <si>
    <t>Module 1: 
Show and Tell:  Research Isn't Boring</t>
  </si>
  <si>
    <t>Complementary Writing Prompt – Informative: How does the author use examples to explain the need for public transportation?</t>
  </si>
  <si>
    <t>CCSS.W.8.2; CCSS.W.8.10; CCSS.W.8.4; CCSS.W.8.5; CCSS.W.8.9</t>
  </si>
  <si>
    <t>How Can Travel Be Green?1</t>
  </si>
  <si>
    <t>Writing Process: Quick Journal, Connect, Analyze, Develop, Draft, Review
Sharpen Your Sentences: Integrate Quotations Effectively</t>
  </si>
  <si>
    <t>Essential Writing Prompt – Informative: How does the author make a case for buses through both narrative and compare-contrast approaches to building his argument?</t>
  </si>
  <si>
    <t>How Can Travel Be Green?2</t>
  </si>
  <si>
    <t>Complementary Writing Prompt – Informative: How does the author use multiple reasons to build an argument about how electric rideables should be used in cities?</t>
  </si>
  <si>
    <t>How Can Travel Be Green?3</t>
  </si>
  <si>
    <t>Module 4: 
Show and Tell:  Paraphrase, Summarize, and Quote</t>
  </si>
  <si>
    <t>Complementary Writing Prompt – Informative: How do the writers use the different perspectives of Chicagoans to explain the transit challenges in the city?</t>
  </si>
  <si>
    <t>CCSS.W.8.2; CCSS.W.8.10; CCSS.W.8.4; CCSS.W.8.5; CCSS.W.8.9.b; CCSS.W.8.9</t>
  </si>
  <si>
    <t>How Can Travel Be Green?4</t>
  </si>
  <si>
    <t>Grade 8, Unit 4, Module 5</t>
  </si>
  <si>
    <t>Module 5
Show and Tell: Fact and Opinion</t>
  </si>
  <si>
    <t xml:space="preserve">Writing Process: Quick Journal
Evaluate Informational Texts: “Twelve Best Ways to Get Cars Out of Cities – Ranked by New Research” and “The Environmental Impact of Cars”
</t>
  </si>
  <si>
    <t>CCSS.W.8.10; CCSS.W.8.4; CCSS.W.8.6; CCSS.W.8.8; CCSS.W.8.1; CCSS.W.8.9.b; CCSS.W.8.7; CCSS.W.8.9</t>
  </si>
  <si>
    <t>How Can Travel Be Green?5</t>
  </si>
  <si>
    <t>Grade 8, Unit 4, Module 6</t>
  </si>
  <si>
    <t>Module 6:
Show and Tell: Researching for Fact-Based Information</t>
  </si>
  <si>
    <t xml:space="preserve">Plan Your Research - Step 1: 
Plan Your Research - Step 2: Find Reliable Sources
Plan Your Research - Step 3: Collect Relevant and Reliable Evidence
Plan Your Research - Step 4: Create a Thesis Statement
</t>
  </si>
  <si>
    <t>CCSS.W.8.7; CCSS.W.8.8; CCSS.W.8.9.b</t>
  </si>
  <si>
    <t>How Can Travel Be Green?6</t>
  </si>
  <si>
    <t>Grade 8, Unit 4, Module 7</t>
  </si>
  <si>
    <t>Module 7: Show and Tell: Cite Research to Bolster Your Argument</t>
  </si>
  <si>
    <t>Grade 8, Unit 4, Module 8</t>
  </si>
  <si>
    <t>Module 8:
N/A</t>
  </si>
  <si>
    <t xml:space="preserve">Writing Process: Connect, Develop, Draft, Review
Score the Example: “Transporting Us to a More Sustainable Society” by Samantha Gonzalez
Practice Feedback: “Transporting Us to a More Sustainable Society” by Samantha Gonzalez
Collect Your Research
Map Your Research Paper
Write It and Cite It
Share Your Research Paper: Peer Editing
Edit the Draft Together: Give and Get Feedback
Reflect on Your Writing
</t>
  </si>
  <si>
    <t>Essential Writing Prompt – Informative Portfolio: Based on the readings and other research, what are the most pressing issues around the effectiveness and sustainability of transportation?</t>
  </si>
  <si>
    <t>CCSS.W.8.7; CCSS.W.8.4; CCSS.W.8.5; CCSS.W.8.6; CCSS.W.8.9; CCSS.W.8.10; CCSS.W.8.2; CCSS.W.8.8; CCSS.W.8.9.A; CCSS.W.8.9.B; CCSS.W.8.2.B; CCSS.W.8.2.C; CCSS.W.8.2.D; CCSS.W.8.2.E; CCSS.W.8.2.F</t>
  </si>
  <si>
    <t>How Can Travel Be Green?8</t>
  </si>
  <si>
    <t>Grade 8 Unit 5</t>
  </si>
  <si>
    <t>Grade 8, Unit 5, Module 0</t>
  </si>
  <si>
    <t>Module 0: 
Show and Tell:  Purpose of Cause and Effect Informative Writing</t>
  </si>
  <si>
    <t>CCSS.W.8.10; CCSS.W.8.2; CCSS.W.8.4; CCSS.W.8.5; CCSS.W.8.9</t>
  </si>
  <si>
    <t>What Is the Legacy of Our Words?0</t>
  </si>
  <si>
    <t>Module 1: 
Show and Tell:  Understanding the Importance of Setting in a Drama</t>
  </si>
  <si>
    <t xml:space="preserve">Writing Process: Quick Journal, Connect, Analyze, Develop, Draft, Review
Sharpen Your Sentences: Creating Cause-and-Effect Sentences
</t>
  </si>
  <si>
    <t>Essential Writing Prompt—Informative: Choose two characters that are introduced in Scenes I and II and compare how they react to their new setting. Use dialogue and stage directions to support your response.</t>
  </si>
  <si>
    <t>CCSS.W.8.2; CCSS.W.8.10; CCSS.W.8.4; CCSS.W.8.5; CCSS.W.8.2.a; CCSS.W.8.9</t>
  </si>
  <si>
    <t>What Is the Legacy of Our Words?1</t>
  </si>
  <si>
    <t>Complementary Writing Prompt—Informative: Read Frances Goodrich and Albert Hackett’s play “The Diary of Anne Frank: Act I, Scene III” to explore the experiences of Anne Frank and her family during World War II. Pay close attention to the characters’ reactions and emotions as they adjust to their new confined setting. Choose one character from the play, such as Anne, Mr. Frank, or Mrs. Van Daan, and write a paragraph describing specific lines of dialogue that reveal how they feel about their new environment. Use these lines to explain the character’s emotions and thoughts, showing how they adapt to living in hiding and the challenges they face. Support your analysis with examples from the scene to illustrate the character’s feelings and reactions effectively.</t>
  </si>
  <si>
    <t>Complementary Writing Prompt—Informative:  Consider how the dialogue and incidents in Act I, Scene III illustrate the conflict among inhabitants of the annex. What do the playwrights want readers/viewers to learn or understand from this scene about what causes conflict among people?</t>
  </si>
  <si>
    <t>CCSS.W.8.1; CCSS.W.8.10; CCSS.W.8.4; CCSS.W.8.5; CCSS.W.8.9; CCSS.W.8.2.b; CCSS.W.8.2</t>
  </si>
  <si>
    <t>What Is the Legacy of Our Words?2</t>
  </si>
  <si>
    <t xml:space="preserve">Writing Process: Quick Journal, Connect, Analyze, Summarize, Develop, Draft, Review
</t>
  </si>
  <si>
    <t>Complementary Writing Prompt—Informative: Read Frances Goodrich and Albert Hackett’s play “The Diary of Anne Frank: Act I, Scenes IV and V” to delve into the interactions and conflicts among the characters. Pay attention to the sequence of events that contribute to the development of conflict. Choose a moment when the characters experience significant conflict with one another, such as between Anne and Mrs. Van Daan or Mr. Frank and Mr. Van Daan. Write a paragraph explaining the sequence of events that lead to the growing conflict. Describe how each character’s actions, dialogue, and reactions contribute to the tension, using specific examples from the play to illustrate the progression of the conflict for the reader or audience.</t>
  </si>
  <si>
    <t>Complementary Writing Prompt—Argumentative:  Analyze how Anne is changing and maturing based on her words and actions in the play so far. Describe her dynamic character traits, making a claim about the kind of person she appears to be at this point in the play versus when we first meet her.</t>
  </si>
  <si>
    <t>CCSS.W.8.1; CCSS.W.8.10; CCSS.W.8.4; CCSS.W.8.5; CCSS.W.8.2.c; CCSS.W.8.2; CCSS.W.8.9</t>
  </si>
  <si>
    <t>What Is the Legacy of Our Words?3</t>
  </si>
  <si>
    <t>Module 4: 
Show and Tell: Word Precision</t>
  </si>
  <si>
    <t xml:space="preserve">Writing Process: Quick Journal, Connect, Analyze, Summarize, Develop, Draft, Review
</t>
  </si>
  <si>
    <t>Complementary Writing Prompt—Informative: Read Frances Goodrich and Albert Hackett’s play “The Diary of Anne Frank: Act II, Scenes I and II” to explore the evolving relationships among the characters. Pay close attention to how their interactions and reactions contribute to the development of these relationships. Choose a pair of characters, such as Anne and Peter, or Mr. and Mrs. Van Daan, whose relationship appears to grow or deepen in this part of the play. Write a paragraph describing the relationship between these characters and explain how the playwrights communicate this change. Use specific lines of dialogue, character actions, and reactions to illustrate how the relationship evolves, highlighting key moments that show the progression of feelings and interactions between the characters.</t>
  </si>
  <si>
    <t>Complementary Writing Prompt—Argumentative:  How do the playwrights use the characters’ deepening relationships to create rising dramatic action throughout Act II, Scenes I and II? Consider the dialogue and stage directions, as well as the motivations behind them, when crafting your response.</t>
  </si>
  <si>
    <t>CCSS.W.8.1; CCSS.W.8.10; CCSS.W.8.4; CCSS.W.8.5; CCSS.W.8.9; CCSS.W.8.2.d; CCSS.W.8.2</t>
  </si>
  <si>
    <t>What Is the Legacy of Our Words?4</t>
  </si>
  <si>
    <t>Module 5: N/A</t>
  </si>
  <si>
    <t>Complementary Writing Prompt—Informative: Read Frances Goodrich and Albert Hackett’s play “The Diary of Anne Frank: Act II, Scenes III-V” to explore the play’s conclusion. Analyze how the conclusion ties together the themes (such as hope, resilience, or the impact of war) and character arcs developed throughout the play, and explain the lasting impression it leaves on the audience. Reflect on how the playwrights chose to end the story and describe your emotional response as a reader or audience member. Use examples from Act III-V to support your ideas, showing how conclusions and themes are linked in the play.</t>
  </si>
  <si>
    <t>Complementary Writing Prompt – Argumentative: How do the playwrights use specific lines and phrases from Anne’s diary to support a major theme in the play?</t>
  </si>
  <si>
    <t>CCSS.W.8.1; CCSS.W.8.10; CCSS.W.8.4; CCSS.W.8.5; CCSS.W.8.9.a; CCSS.W.8.9; CCSS.W.8.2</t>
  </si>
  <si>
    <t>What Is the Legacy of Our Words?5</t>
  </si>
  <si>
    <t>Grade 8, Unit 5, Module 6</t>
  </si>
  <si>
    <t>Module 6:
Show and Tell: Comparing and Contrasting Mediums; Researching Themes</t>
  </si>
  <si>
    <t>CCSS.W.8.10; CCSS.W.8.4; CCSS.W.8.6; CCSS.W.8.8; CCSS.W.8.9.a; CCSS.W.8.7; CCSS.W.8.9; CCSS.W.8.9.b</t>
  </si>
  <si>
    <t>What Is the Legacy of Our Words?6</t>
  </si>
  <si>
    <t>Grade 8, Unit 5, Module 7</t>
  </si>
  <si>
    <t>Module 7:
Show and Tell: Researching the Part</t>
  </si>
  <si>
    <t xml:space="preserve">Reflect on the Essential Question
Prepare for the Performance
Reflect on the Performance </t>
  </si>
  <si>
    <t>CCSS.W.8.1; CCSS.W.8.2; CCSS.W.8.3; CCSS.W.8.2(d); CCSS.W.8.7; CCSS.W.8.9</t>
  </si>
  <si>
    <t>What Is the Legacy of Our Words?7</t>
  </si>
  <si>
    <t>Grade 8, Unit 5, Module 8</t>
  </si>
  <si>
    <t>Module 8:
Show and Tell: Conclusions in Informational Texts</t>
  </si>
  <si>
    <t>Writing Process: Connect, Develop, Draft, Review
Score the Example: “The Journey of a Journal” by Suri Marrero
Practice Feedback: “The Journey of a Journal” by Suri Marrero
Choose Your Focus
Map Your Cause-and-Effect Essay
Make it Flow: Transition Words
Share Your Essay: Peer Editing
Edit the Draft Together: Give and Get Feedback
Reflect on Your Writing</t>
  </si>
  <si>
    <t>Essential Writing Prompt—Informative: What do the playwrights convey about Anne’s motivations for writing about her experiences in her real-life diary? When considering some of the lasting impacts of her story and her words, what are the most important lessons her story has for readers?</t>
  </si>
  <si>
    <t>CCSS.W.8.2; CCSS.W.8.4; CCSS.W.8.5; CCSS.W.8.9; CCSS.W.8.10; CCSS.W.8.2.f; CCSS.W.8.3.a; CCSS.W.8.3.d; CCSS.W.8.9.A; CCSS.W.8.9.B; CCSS.W.8.2.B; CCSS.W.8.2.C; CCSS.W.8.2.D; CCSS.W.8.2.E; CCSS.W.8.2.F</t>
  </si>
  <si>
    <t>What Is the Legacy of Our Words?8</t>
  </si>
  <si>
    <t>Grade 8 Unit 6</t>
  </si>
  <si>
    <t>Grade 8, Unit 6, Module 0</t>
  </si>
  <si>
    <t>Module 0: 
Show and Tell: Personal Statement Inventories</t>
  </si>
  <si>
    <t xml:space="preserve">The Purpose of Personal Statement Writing </t>
  </si>
  <si>
    <t>CCSS.W.8.10; CCSS.W.8.4; CCSS.W.8.2; CCSS.W.8.5; CCSS.W.8.7; CCSS.W.8.9</t>
  </si>
  <si>
    <t>What Directions Might You Take?0</t>
  </si>
  <si>
    <t>Module 1: 
Show and Tell: Using Flash Forward Techniques in Anecdotes</t>
  </si>
  <si>
    <t xml:space="preserve">Using Time as a Storytelling Tool
</t>
  </si>
  <si>
    <t xml:space="preserve">Writing Process: Quick Journal, Connect/Plan Your Future, Analyze, Summarize, Draft, Review
</t>
  </si>
  <si>
    <t>Complementary Writing Prompt – Narrative: Read Joseph Taylor’s article “Bringing to Light Dark Matter” to explore Vera Cooper Rubin’s early fascination with stargazing and her determination to pursue astronomy despite societal expectations. Pay attention to how Vera’s childhood experiences shaped her passion for astronomy and her resilience in the face of challenges. Imagine Vera as a character recalling her early years of stargazing and her journey into astronomy. Write a narrative paragraph describing Vera’s flashback to a significant moment from her childhood, such as her first telescope or a memorable night of stargazing. Use specific details and examples from the text to illustrate Vera’s initial excitement, her challenges in pursuing her passion, and how these experiences shaped her determination to become an astronomer who made groundbreaking discoveries.</t>
  </si>
  <si>
    <t>Complementary Writing Prompt – Informative: How does Vera’s story illustrate the idea that following interests and passions regardless of other peoples’ perceptions can have a positive impact?</t>
  </si>
  <si>
    <t>CCSS.W.8.2; CCSS.W.8.10; CCSS.W.8.4; CCSS.W.8.5; CCSS.W.8.3.b; CCSS.W.8.9; CCSS.W.8.3</t>
  </si>
  <si>
    <t>What Directions Might You Take?1</t>
  </si>
  <si>
    <t>Module 2: 
Show and Tell: Choosing Details and Developing Events</t>
  </si>
  <si>
    <t xml:space="preserve">Writing Process: Quick Journal, Connect/Plan Your Future, Analyze, Summarize, Draft, Review
Sharpen Your Sentences: Sentence Combining: Appositives, Pronouns, Conjunctions
</t>
  </si>
  <si>
    <t>Complementary Writing Prompt - Argumentative: Which step described in “Ten Steps to Choosing the Right College” is the most important in choosing the right college?</t>
  </si>
  <si>
    <t>Complementary Writing Prompt – Informative: How do the authors select and arrange details in order to help readers understand the most important parts of the college selection process?</t>
  </si>
  <si>
    <t>CCSS.W.8.1; CCSS.W.8.2; CCSS.W.8.10; CCSS.W.8.4; CCSS.W.8.5; CCSS.W.8.9; CCSS.W.8.3.b</t>
  </si>
  <si>
    <t>What Directions Might You Take?2</t>
  </si>
  <si>
    <t>Module 3: 
Show and Tell:  Choosing Details and Creating Suspense; Automated Feedback</t>
  </si>
  <si>
    <t xml:space="preserve">Writing Process: Quick Journal, Connect/Plan Your Future, Analyze, Summarize, Develop/Share Your Plan, Draft, Review
</t>
  </si>
  <si>
    <t>Complementary Writing Prompt – Narrative: Read Melissa Ezarik’s article “First in the Family Make Their Mark in College” to explore Ashley German Soto’s journey transitioning to Union College. Imagine yourself as a first-generation college student like Ashley, navigating from high school to college or to your first day on the job. Write a narrative where you flash-forward to your first day of college or first day on the job, incorporating feelings of anticipation, uncertainty, and
determination. Use time as a storytelling tool to illustrate how you overcome challenges and find your place in this new environment. Focus on using clear grammar skills to structure your narrative effectively.</t>
  </si>
  <si>
    <t>Complementary Writing Prompt – Informative: How does the choice to include personal accounts, graphics, and survey statistics help readers to better understand some of the challenges that many first-generation students face?</t>
  </si>
  <si>
    <t>CCSS.W.8.2; CCSS.W.8.10; CCSS.W.8.4; CCSS.W.8.5; CCSS.W.8.3; CCSS.W.8.9</t>
  </si>
  <si>
    <t>What Directions Might You Take?3</t>
  </si>
  <si>
    <t>Module 4: 
Show and Tell: Making Connections</t>
  </si>
  <si>
    <t xml:space="preserve">Writing Process: Quick Journal, Connect/Plan Your Future, Analyze, Summarize, Develop/Share Your Plan, Draft, Review
Share Your Best Writing Sample
</t>
  </si>
  <si>
    <t>Essential Writing Prompt – Informative: How does the author connect the need or problem in each recommendation to the solutions she proposes to make action steps clear for readers?</t>
  </si>
  <si>
    <t>What Directions Might You Take?4</t>
  </si>
  <si>
    <t>Grade 8, Unit 6, Module 5</t>
  </si>
  <si>
    <t>Module 5:
Show and Tell: Research to Deepen Your Understanding</t>
  </si>
  <si>
    <t>CCSS.W.8.10; CCSS.W.8.4; CCSS.W.8.6; CCSS.W.8.8; CCSS.W.8.9; CCSS.W.8.7; CCSS.W.8.9.b</t>
  </si>
  <si>
    <t>What Directions Might You Take?5</t>
  </si>
  <si>
    <t>Grade 8, Unit 6, Module 6</t>
  </si>
  <si>
    <t>Module 6: 
Show and Tell:  Research to Extend Learning</t>
  </si>
  <si>
    <t>Reflect on the Essential Question
Create Your Pitch Deck
Reflect on the Pitch Deck</t>
  </si>
  <si>
    <t>What Directions Might You Take?6</t>
  </si>
  <si>
    <t>Grade 8, Unit 6, Module 7</t>
  </si>
  <si>
    <t>Module 7: Show and Tell: Introducing a Personal Statement</t>
  </si>
  <si>
    <t>Writing Process: Connect, Analyze, Develop, Draft, Review
Score the Example: "No Debate About It” by Suri Marrero
Practice Feedback: "No Debate About It” by Suri Marrero
Plan Your Future
Map Your Statement
Use Examples and Anecdotes
Share Your Statement: Peer Editing
Edit the Draft Together: Give and Get Feedback
Reflect on Your Writing</t>
  </si>
  <si>
    <t>Essential Writing Prompt – Narrative: Describe how you have taken advantage of a significant educational opportunity or worked to overcome an educational barrier you have faced.</t>
  </si>
  <si>
    <t>CCSS.W.8.3; CCSS.W.8.2; CCSS.W.8.4; CCSS.W.8.5; CCSS.W.8.7; CCSS.W.8.9; CCSS.W.8.10; CCSS.W.8.3.B; CCSS.W.8.3.C; CCSS.W.8.3.E</t>
  </si>
  <si>
    <t>What Directions Might You Take?7</t>
  </si>
  <si>
    <t>Grade 8 Unit 7</t>
  </si>
  <si>
    <t>Grade 8, Unit 7, Module 0</t>
  </si>
  <si>
    <t>Module 0: 
Show and Tell: Types of Narrative Writing</t>
  </si>
  <si>
    <t>CCSS.W.8.10; CCSS.W.8.3; CCSS.W.8.4; CCSS.W.8.9; CCSS.W.8.5; CCSS.W.8.7; CCSS.W.8.9.a</t>
  </si>
  <si>
    <t>How Does Knowledge Change Perspective?0</t>
  </si>
  <si>
    <t>Module 1: 
Show and Tell:  Analyzing Traditional Tales</t>
  </si>
  <si>
    <t>Writing Process: Quick Journal, Connect, Analyze, Develop, Draft, Review
Sharpen Your Sentences: Making Arguments About Character Traits</t>
  </si>
  <si>
    <t>Essential Writing Prompt – Argumentative: In this updated retelling of the Cinderella story, the author provides a moral lesson about how money shapes our perceptions of happiness. Using evidence from the text, explain how the author develops this theme through the character of Mathilde and the symbol of the necklace.</t>
  </si>
  <si>
    <t>CCSS.W.8.1; CCSS.W.8.10; CCSS.W.8.4; CCSS.W.8.5; CCSS.W.8.1.d; CCSS.W.8.9</t>
  </si>
  <si>
    <t>How Does Knowledge Change Perspective?1</t>
  </si>
  <si>
    <t>Module 2: 
Show and Tell:  Plot and Its Impact on Theme</t>
  </si>
  <si>
    <t xml:space="preserve">Writing Process: Quick Journal, Connect, Analyze, Develop, Draft, Review
Sharpen Your Sentences: Connect Evidence to Claims With Reasoning
</t>
  </si>
  <si>
    <t>Essential Writing Prompt – Argumentative: In this retelling of a traditional fairy tale, the author explores the themes of growing up and choosing a life path. Using evidence from the text, analyze how the author retells this story and explores modern themes and lessons by using the elements of traditional fairy tales.</t>
  </si>
  <si>
    <t>CCSS.W.8.1; CCSS.W.8.10; CCSS.W.8.4; CCSS.W.8.5; CCSS.W.8.9</t>
  </si>
  <si>
    <t>How Does Knowledge Change Perspective?2</t>
  </si>
  <si>
    <t>Grade 8, Unit 7, Module 3</t>
  </si>
  <si>
    <t>Module 3:
Show and Tell:  Compare and Contrast Texts Across Genres and Themes</t>
  </si>
  <si>
    <t xml:space="preserve">Writing Process: Quick Journal, Connect, Analyze, Develop, Draft, Review
Sharpen Your Sentences: Writing Focus Summaries
</t>
  </si>
  <si>
    <t>Complementary Writing Prompt – Argumentative: In this modern short story, Wolfe explores the common theme that things are not always as they appear. Using evidence from the text, explain how the author develops this theme to teach a valuable lesson about the human condition.</t>
  </si>
  <si>
    <t>How Does Knowledge Change Perspective?3</t>
  </si>
  <si>
    <t xml:space="preserve">Module 4: 
Show and Tell:  Symbolism </t>
  </si>
  <si>
    <t>Complementary Writing Prompt – Argumentative: In this magical tale, the author explores how one man can inspire, through the power of imagination, an entire village. Analyze the meaning behind the symbolism and allegory within the story, and explain how each impacts the theme.</t>
  </si>
  <si>
    <t>CCSS.W.8.1; CCSS.W.8.10; CCSS.W.8.4; CCSS.W.8.5; CCSS.W.8.9.a; CCSS.W.8.9</t>
  </si>
  <si>
    <t>How Does Knowledge Change Perspective?4</t>
  </si>
  <si>
    <t>Grade 8, Unit 7, Module 5</t>
  </si>
  <si>
    <t>Module 5
Show and Tell: Researching to Understand Perspective</t>
  </si>
  <si>
    <t>Composing Poetry</t>
  </si>
  <si>
    <t xml:space="preserve">Writing Process: Quick Journal, Connect, Analyze, Develop, Draft, Review
Read and Analyze Poetry: Compose Your Poem
Read and Analyze Poetry: Share Your Poem: Peer Edit
</t>
  </si>
  <si>
    <t>How Does Knowledge Change Perspective?5</t>
  </si>
  <si>
    <t>Grade 8, Unit 7, Module 6</t>
  </si>
  <si>
    <t>Module 6
Show and Tell: Preparing for Socratic Discussion with Research</t>
  </si>
  <si>
    <t xml:space="preserve">Reflect on the Essential Question
Prepare for the Discussion
Reflect on the Discussion
</t>
  </si>
  <si>
    <t>How Does Knowledge Change Perspective?6</t>
  </si>
  <si>
    <t>Grade 8, Unit 7, Module 7</t>
  </si>
  <si>
    <t>Module 7
Show and Tell: Allegory</t>
  </si>
  <si>
    <t xml:space="preserve">Writing Process: Connect, Analyze, Develop, Draft, Review
Score the Example: "Enlightenment: The Progression of the World” by Suri Marrero
Practice Feedback: "Enlightenment: The Progression of the World” by Suri Marrero
Choose Your Texts for Comparison
Compare Similarities
Analyze Differences
Develop and Share Your Claim
Organize Your Essay
Use Transition Sentences
Share Your Analysis: Peer Editing
Edit the Draft Together: Give and Get Feedback
Reflect on Your Writing </t>
  </si>
  <si>
    <t>Essential Writing Prompt – Argumentative: How does enlightenment change characters, their actions, or their personalities in Plato’s famous “Allegory of the Cave” and other texts in this unit?</t>
  </si>
  <si>
    <t>CCSS.W.8.9; CCSS.W.8.4; CCSS.W.8.5; CCSS.W.8.7; CCSS.W.8.9.a; CCSS.W.8.10; CCSS.W.8.1; CCSS.W.8.1.b; CCSS.W.8.2.a; CCSS.W.8.3; CCSS.W.8.1.C; CCSS.W.8.9.A; CCSS.W.8.9.B; CCSS.W.8.1.D; CCSS.W.8.1.E</t>
  </si>
  <si>
    <t>How Does Knowledge Change Perspective?7</t>
  </si>
  <si>
    <t>Grade 9 Unit 1</t>
  </si>
  <si>
    <t>Grade 9, Unit 1, Module 0</t>
  </si>
  <si>
    <t xml:space="preserve">Module 0: Show and Tell–Personal Narrative
</t>
  </si>
  <si>
    <t xml:space="preserve">An Introduction: What Is CERCA?
Claims
Supporting Claims with Evidence 
The Purpose of Personal Narrative Writing </t>
  </si>
  <si>
    <t>CCSS.W.9-10.10; CCSS.W.9-10.5; CCSS.W.9-10.1.a; CCSS.W.9-10.1; CCSS.W.9-10.1.b; CCSS.W.9-10.3</t>
  </si>
  <si>
    <t>Where Are You From?0</t>
  </si>
  <si>
    <t>Module 1:
Show and Tell: Describing Literary Techniques; Making Claims; Citing Evidence About Author's Choices</t>
  </si>
  <si>
    <t>Complementary Writing Prompt – Argumentative: What values and emotional experiences does the author convey through the descriptions of his childhood vacation spot? Cite specific evidence from the text to support your response.</t>
  </si>
  <si>
    <t>CCSS.W.9-10.1; CCSS.W.9-10.10; CCSS.W.9-10.4; CCSS.W.9-10.5; CCSS.W.9-10.3; CCSS.W.9-10.9</t>
  </si>
  <si>
    <t>Where Are You From?1</t>
  </si>
  <si>
    <t>Module 2: 
Show and Tell: Creating Imagery and Mood</t>
  </si>
  <si>
    <t>Imagery and Mood in Narrative Writing
Organizing Narrative Writing</t>
  </si>
  <si>
    <t>Complementary Writing Prompt – Argumentative: Which kind of imagery used by the author best illustrates the exhilaration of childhood?</t>
  </si>
  <si>
    <t>Complementary Writing Prompt – Informative: What specific kinds of imagery does the author use to illustrate the exhilaration of childhood and other contrasts with adulthood?</t>
  </si>
  <si>
    <t>CCSS.W.9-10.1; CCSS.W.9-10.2; CCSS.W.9-10.10; CCSS.W.9-10.4; CCSS.W.9-10.5; CCSS.W.9-10.9; CCSS.W.9-10.3</t>
  </si>
  <si>
    <t>Where Are You From?2</t>
  </si>
  <si>
    <t>Module 3: 
Show and Tell: Writing Arguments (3)</t>
  </si>
  <si>
    <t>Complementary Writing Prompt – Narrative: Think of a pivotal or defining moment for a character in “Once More to the Lake,” An American Childhood, or “Mango, Number 61.” What was the moment or event that changed them? Now, focus on that event and write a paragraph about the moments before, during, and after that character-changing event. Be certain to include sensory imagery and figurative language in your writing</t>
  </si>
  <si>
    <t>Complementary Writing Prompt – Informative: What can readers infer about the ways in which culture and community shaped the person that the author would become?</t>
  </si>
  <si>
    <t>CCSS.W.9-10.2; CCSS.W.9-10.10; CCSS.W.9-10.4; CCSS.W.9-10.5; CCSS.W.9-10.9; CCSS.W.9-10.3</t>
  </si>
  <si>
    <t>Where Are You From?3</t>
  </si>
  <si>
    <t>Module 4: 
Show and Tell: Crafting Author's Message</t>
  </si>
  <si>
    <t xml:space="preserve">Writing Process: Quick Journal, Connect, Analyze, Develop, Draft, Review
Share Your Best Writing Sample
</t>
  </si>
  <si>
    <t>Complementary Writing Prompt – Narrative: In the text “My Favorite Photograph,” the author writes, “I was asked multiple questions about my Indian name, my background, and how I could be Indian and Jewish and Hindu at the same time. I didn’t know the answer. I had never been asked this question before.” Create the multi-line dialogue described here, utilizing your skills with sensory and figurative language.</t>
  </si>
  <si>
    <t>Complementary Writing Prompt – Informative: What specific memories of time and place do the author’s snapshots capture, and what do they convey about the author’s message about growing up?</t>
  </si>
  <si>
    <t>CCSS.W.9-10.2; CCSS.W.9-10.10; CCSS.W.9-10.4; CCSS.W.9-10.5; CCSS.W.9-10.9.a; CCSS.W.9-10.9; CCSS.W.9-10.3</t>
  </si>
  <si>
    <t>Where Are You From?4</t>
  </si>
  <si>
    <t>Grade 9, Unit 1, Module 5</t>
  </si>
  <si>
    <t>CCSS.W.9-10.10; CCSS.W.9-10.4; CCSS.W.9-10.6; CCSS.W.9-10.8; CCSS.W.9-10.7; CCSS.W.9-10.9; CCSS.W.9-10.9.a; CCSS.W.9-10.9.b</t>
  </si>
  <si>
    <t>Where Are You From?5</t>
  </si>
  <si>
    <t>Grade 9, Unit 1, Module 6</t>
  </si>
  <si>
    <t>Module 6: 
Show and Tell: Research Project</t>
  </si>
  <si>
    <t>CCSS.W.9-10.1; CCSS.W.9-10.3; CCSS.W.9-10.3(D); CCSS.W.9-10.7; CCSS.W.9-10.9</t>
  </si>
  <si>
    <t>Where Are You From?6</t>
  </si>
  <si>
    <t>Grade 9, Unit 1, Module 7</t>
  </si>
  <si>
    <t>Module 7: 
Show and Tell: Narrative Introductions; Student Exemplar Scoring</t>
  </si>
  <si>
    <t>Writing Process: Connect, Analyze, Develop, Draft, Review
Score the Example: “Claire” by Michael Gilliland
Practice Feedback: “Claire” by Michael Gilliland
Choose Your Moment
Map Your Personal Narrative
Make It Vivid: Descriptive Language
Share Your Personal Narrative: Peer Editing
Edit the Draft Together: Give and Get Feedback
Reflect on Your Writing</t>
  </si>
  <si>
    <t>Essential Writing Prompt – Narrative: Write a personal narrative that illustrates a moment within a specific place and time that has an impact on who you are becoming.</t>
  </si>
  <si>
    <t>CCSS.W.9-10.3; CCSS.W.9-10.5; CCSS.W.9-10.10; CCSS.W.9-10.3.a; CCSS.W.9-10.4; CCSS.W.9-10.9; CCSS.W.9-10.3.d; CCSS.W.9-10.3.B; CCSS.W.9-10.3.C; CCSS.W.9-10.3.E</t>
  </si>
  <si>
    <t>Where Are You From?7</t>
  </si>
  <si>
    <t>Grade 9 Unit 2</t>
  </si>
  <si>
    <t>Grade 9, Unit 2, Module 0</t>
  </si>
  <si>
    <t>Module 0: 
Show and Tell: Policy-based Arguments</t>
  </si>
  <si>
    <t>The Purpose of Arguments
Organizing Arguments</t>
  </si>
  <si>
    <t>Reading the Argumentative Writing Rubric</t>
  </si>
  <si>
    <t>CCSS.W.9-10.10; CCSS.W.9-10.1; CCSS.W.9-10.5; CCSS.W.9-10.9.b; CCSS.W.9-10.4</t>
  </si>
  <si>
    <t>How Do Communities Connect Safely?0</t>
  </si>
  <si>
    <t>Module 1: 
Show and Tell: Writing a Hook</t>
  </si>
  <si>
    <t xml:space="preserve">Introductions in Arguments
</t>
  </si>
  <si>
    <t>Writing Process: Quick Journal, Connect, Analyze, Develop, Draft, Review
Write to Impress: Using Evidence from Sources
Appreciate the Author's Craft</t>
  </si>
  <si>
    <t>Essential Writing Prompt – Argumentative: Does the author use convincing evidence to appeal to the audience about the negative impacts of monitoring teens’ social media activity?</t>
  </si>
  <si>
    <t>CCSS.W.9-10.1; CCSS.W.9-10.10; CCSS.W.9-10.4; CCSS.W.9-10.5; CCSS.W.9-10.1.a; CCSS.W.9-10.8; CCSS.W.9-10.9</t>
  </si>
  <si>
    <t>How Do Communities Connect Safely?1</t>
  </si>
  <si>
    <t>Module 2: 
Show and Tell: Choosing the Best Evidence</t>
  </si>
  <si>
    <t>Integrating Evidence Effectively 
Characteristics of a Formal Style</t>
  </si>
  <si>
    <t>Writing Process: Quick Journal, Connect, Analyze, Develop, Draft, Review
Sharpen your Sentences: Sentence Expansion in Counterclaims
Write to Impress: Edit Citations
Appreciate the Author's Craft</t>
  </si>
  <si>
    <t>Complementary Writing Prompt – Argumentative: Trace and evaluate the author’s claim and supporting evidence. What does the author argue could be done to address both the positive and negative impacts of social media influencers on adolescents?</t>
  </si>
  <si>
    <t>CCSS.W.9-10.1; CCSS.W.9-10.10; CCSS.W.9-10.4; CCSS.W.9-10.5; CCSS.W.9-10.9; CCSS.W.9-10.1.b; CCSS.W.9-10.9.b</t>
  </si>
  <si>
    <t>How Do Communities Connect Safely?2</t>
  </si>
  <si>
    <t>Module 3: Linking Claims and Reasoning</t>
  </si>
  <si>
    <t>Reasoning
Transitions and Linking Words</t>
  </si>
  <si>
    <t>Complementary Writing Prompt – Argumentative: In what ways does the author argue that social media has been beneficial to the rise of climate change awareness?</t>
  </si>
  <si>
    <t>Complementary Writing Prompt – Informative: How does the author use examples and text features, such as TikTok memes, as evidence to support the arguments around social media and activism? What new information is highlighted in the meme that is not in the text?</t>
  </si>
  <si>
    <t>CCSS.W.9-10.2; CCSS.W.9-10.10; CCSS.W.9-10.4; CCSS.W.9-10.5; CCSS.W.9-10.1; CCSS.W.9-10.2.c; CCSS.W.9-10.9; CCSS.W.9-10.9.b</t>
  </si>
  <si>
    <t>How Do Communities Connect Safely?3</t>
  </si>
  <si>
    <t>Module 4: 
Show and Tell: Writing Appeals and Counterclaims</t>
  </si>
  <si>
    <t>Complementary Writing Prompt – Argumentative: What are the benefits and drawbacks of using online privacy protections to keep adolescents off of social media?</t>
  </si>
  <si>
    <t>Complementary Writing Prompt – Informative: Trace the issue that seems to be at stake for readers surrounding the debate about children and social media. How does the author appeal to the audience?</t>
  </si>
  <si>
    <t>CCSS.W.9-10.2; CCSS.W.9-10.10; CCSS.W.9-10.4; CCSS.W.9-10.5; CCSS.W.9-10.1; CCSS.W.9-10.9.b; CCSS.W.9-10.9</t>
  </si>
  <si>
    <t>How Do Communities Connect Safely?4</t>
  </si>
  <si>
    <t>Grade 9, Unit 2, Module 5</t>
  </si>
  <si>
    <t>Module 5: 
Show and Tell: Use Research to Bolster Your Argument</t>
  </si>
  <si>
    <t>Sources in Argument Writing</t>
  </si>
  <si>
    <t>CCSS.W.9-10.10; CCSS.W.9-10.4; CCSS.W.9-10.6; CCSS.W.9-10.8; CCSS.W.9-10.5; CCSS.W.9-10.9.b; CCSS.W.9-10.1; CCSS.W.9-10.7; CCSS.W.9-10.9</t>
  </si>
  <si>
    <t>How Do Communities Connect Safely?5</t>
  </si>
  <si>
    <t>Grade 9, Unit 2, Module 6</t>
  </si>
  <si>
    <t>Module 6: 
Show and Tell: Cite Research to Bolster Your Argument</t>
  </si>
  <si>
    <t>CCSS.W.9-10.1; CCSS.W.9-10.3; CCSS.W.9-10.7; CCSS.W.9-10.9</t>
  </si>
  <si>
    <t>How Do Communities Connect Safely?6</t>
  </si>
  <si>
    <t>Grade 9, Unit 2, Module 7</t>
  </si>
  <si>
    <t>Module 7: 
Show and Tell: Student Exemplar Scoring</t>
  </si>
  <si>
    <t>Writing Process: Connect, Develop, Draft, Review
Score the Example: “Feeling Safe, Online and In Person” by Gabriella Deckard
Practice Feedback: “Feeling Safe, Online and In Person” by Gabriella Deckard
Choose Your Argument
Map Your Argument
Make It Powerful: Words to Appeal
Share Your Argument: Peer Editing
Edit the Draft Together: Give and Get Feedback
Reflect on Your Writing</t>
  </si>
  <si>
    <t>Essential Writing Prompt – Argumentative: Based on your readings, what changes would you make as a user and community member to build a healthier online experience for all?</t>
  </si>
  <si>
    <t>CCSS.W.9-10.1; CCSS.W.9-10.4; CCSS.W.9-10.5; CCSS.W.9-10.9; CCSS.W.9-10.9.b; CCSS.W.9-10.10; CCSS.W.9-10.1.e; CCSS.W.9-10.1.a; CCSS.W.9-10.3; CCSS.W.9-10.1.b; CCSS.W.9-10.1.C; CCSS.W.9-10.9.A; CCSS.W.9-10.9.B; CCSS.W.9-10.1.D; CCSS.W.9-10.1.E</t>
  </si>
  <si>
    <t>How Do Communities Connect Safely?7</t>
  </si>
  <si>
    <t>Grade 9 Unit 3</t>
  </si>
  <si>
    <t>Grade 9, Unit 3, Module 0</t>
  </si>
  <si>
    <t>Module 0: 
Show and Tell: Types of Narrative</t>
  </si>
  <si>
    <t>CCSS.W.9-10.10; CCSS.W.9-10.4; CCSS.W.9-10.5; CCSS.W.9-10.9</t>
  </si>
  <si>
    <t>How Do We Make Difficult Decisions?0</t>
  </si>
  <si>
    <t>Module 1:  
Show and Tell: Developing Characters in Fiction</t>
  </si>
  <si>
    <t>Characters in Narrative Writing</t>
  </si>
  <si>
    <t>Complementary Writing Prompt – Argumentative: By the end of the story, is Rainsford driven by terror or his own desire to dominate Zaroff? Support your answer with details about Rainsford’s changes over the course of the story.</t>
  </si>
  <si>
    <t>CCSS.W.9-10.10; CCSS.W.9-10.1; CCSS.W.9-10.4; CCSS.W.9-10.5; CCSS.W.9-10.1.a; CCSS.W.9-10.1.b; CCSS.W.9-10.3; CCSS.W.9-10.7; CCSS.W.9-10.2; CCSS.W.9-10.11; CCSS.W.9-10.9</t>
  </si>
  <si>
    <t>How Do We Make Difficult Decisions?1</t>
  </si>
  <si>
    <t>Module 2: 
Show and Tell:  Setting</t>
  </si>
  <si>
    <t>Dialogue in Narrative Writing
Setting in Narrative Writing</t>
  </si>
  <si>
    <t>Complementary Writing Prompt – Argumentative: Analyze the change that Sylvia undergoes as her love of nature is challenged by her desire to please others during a visit from a stranger. Using evidence from the story, what is the main factor in helping her make her final decision regarding the white heron?</t>
  </si>
  <si>
    <t>CCSS.W.9-10.10; CCSS.W.9-10.4; CCSS.W.9-10.5; CCSS.W.9-10.9; CCSS.W.9-10.3.b; CCSS.W.9-10.3; CCSS.W.9-10.1; CCSS.W.9-10.2</t>
  </si>
  <si>
    <t>How Do We Make Difficult Decisions?2</t>
  </si>
  <si>
    <t>Module 3:  Show and Tell: Transitions and Linking Words in Narrative Writing</t>
  </si>
  <si>
    <t>Complementary Writing Prompt – Narrative: Think of a pivotal moment for Jack in “The Paper Menagerie.” What event changed him? Now, focus on that event and write a reflection paragraph in which he explains to his mother how he changed. Use at least one appositive in your writing.</t>
  </si>
  <si>
    <t>Complementary Writing Prompt – Argumentative: How does the narrator use the technique of the shared letter to show the perspective of the mother and comment upon the power of family bonds?</t>
  </si>
  <si>
    <t>CCSS.W.9-10.1; CCSS.W.9-10.10; CCSS.W.9-10.4; CCSS.W.9-10.5; CCSS.W.9-10.3; CCSS.W.9-10.9; CCSS.W.9-10.2</t>
  </si>
  <si>
    <t>How Do We Make Difficult Decisions?3</t>
  </si>
  <si>
    <t>Module 4: 
Show and Tell: Irony in Narrative Writing</t>
  </si>
  <si>
    <t>Complementary Writing Prompt – Narrative: From the story “St. Lucy’s Home for Girls Raised by Wolves,” write a multi-line conversation between Claudette and her parents upon her return “home.” Tell this dialogue from the parents’ point of view. Include irony in this dialogue.</t>
  </si>
  <si>
    <t>Complementary Writing Prompt – Argumentative: What observations is the author making about adolescence in this short story? Trace the main character’s development, and use details from the story to support your claim.</t>
  </si>
  <si>
    <t>CCSS.W.9-10.1; CCSS.W.9-10.10; CCSS.W.9-10.4; CCSS.W.9-10.5; CCSS.W.9-10.3; CCSS.W.9-10.9.a; CCSS.W.9-10.9</t>
  </si>
  <si>
    <t>How Do We Make Difficult Decisions?4</t>
  </si>
  <si>
    <t>Grade 9, Unit 3, Module 5</t>
  </si>
  <si>
    <t>Module 5:
Show and Tell: Researching for Clarification</t>
  </si>
  <si>
    <t>How Do We Make Difficult Decisions?5</t>
  </si>
  <si>
    <t>Grade 9, Unit 3, Module 6</t>
  </si>
  <si>
    <t>CCSS.W.9-10.1; CCSS.W.9-10.3; CCSS.W.9-10.3(d); CCSS.W.9-10.7; CCSS.W.9-10.9</t>
  </si>
  <si>
    <t>How Do We Make Difficult Decisions?6</t>
  </si>
  <si>
    <t>Grade 9, Unit 3, Module 7</t>
  </si>
  <si>
    <t>Module 7: Show and Tell: Using Concrete, Sensory Details in Narrative Writing; Student Exemplar Scoring</t>
  </si>
  <si>
    <t xml:space="preserve">Writing the Short Story
Using Concrete Sensory Details in Narrative Writing
Endings in Narrative Writing
</t>
  </si>
  <si>
    <t>Writing Process: Connect, Analyze, Develop, Draft, Review
Score the Example: “Day 181” by Michael Gilliland
Practice Feedback: “Day 181” by Michael Gilliland
Choose Your Idea
Map Your Short Story
Plot Your Story: Plotting Your Narrative Arc
Show, Don't Tell: Descriptive Language
Share Your Short Story: Peer Editing
Edit the Draft Together: Give and Get Feedback
Reflect on Your Writing</t>
  </si>
  <si>
    <t>Essential Prompt—Narrative: Think about the factors that lead to certain
decisions. Write a short story in which a character or several characters make
choices that are shaped by their experiences and values.</t>
  </si>
  <si>
    <t>CCSS.W.9-10.3; CCSS.W.9-10.4; CCSS.W.9-10.5; CCSS.W.9-10.9; CCSS.W.9-10.10; CCSS.W.9-10.3.e; CCSS.W.9-10.3.a; CCSS.W.9-10.3.d; CCSS.W.9-10.3.B; CCSS.W.9-10.3.C; CCSS.W.9-10.3.E</t>
  </si>
  <si>
    <t>How Do We Make Difficult Decisions?7</t>
  </si>
  <si>
    <t>Grade 9 Unit 4</t>
  </si>
  <si>
    <t>Grade 9, Unit 4, Module 0</t>
  </si>
  <si>
    <t>Module 0:
Show and Tell: Introducing Research Papers</t>
  </si>
  <si>
    <t>CCSS.W.9-10.10; CCSS.W.9-10.7; CCSS.W.9-10.4; CCSS.W.9-10.5; CCSS.W.9-10.6; CCSS.W.9-10.9</t>
  </si>
  <si>
    <t>How Does Food Impact the Environment?0</t>
  </si>
  <si>
    <t>Module 1:
Show and Tell: Determining the Meaning of Words and Phrases</t>
  </si>
  <si>
    <t>Writing Process: Quick Journal, Connect, Analyze, Develop, Draft, Review</t>
  </si>
  <si>
    <t>Essential Writing Prompt – Informative: How does the author give readers a clear understanding of the differences between grass-fed and feedlot beef?</t>
  </si>
  <si>
    <t>CCSS.W.9-10.10; CCSS.W.9-10.4; CCSS.W.9-10.5; CCSS.W.9-10.9; CCSS.W.9-10.2</t>
  </si>
  <si>
    <t>How Does Food Impact the Environment?1</t>
  </si>
  <si>
    <t>Module 2: Show and Tell: Researching Cause-and-Effect Structures</t>
  </si>
  <si>
    <t xml:space="preserve">Writing Process: Quick Journal, Connect, Analyze, Develop, Draft, Review
Sharpen Your Sentences: Integrate Quotations Effectively
</t>
  </si>
  <si>
    <t>Complementary Writing Prompt – Informative: How does the author use sections to build a story about cattle, bison and birds?</t>
  </si>
  <si>
    <t>How Does Food Impact the Environment?2</t>
  </si>
  <si>
    <t>Module 3:
Show and Tell: Researching Opposing Arguments</t>
  </si>
  <si>
    <t>Complementary Writing Prompt – Informative: How does the author use various ideas and examples to express a point of view about lab-grown burgers?</t>
  </si>
  <si>
    <t>How Does Food Impact the Environment?3</t>
  </si>
  <si>
    <t>Module 4:
Show and Tell: Summarizing Research</t>
  </si>
  <si>
    <t xml:space="preserve">Writing Process: Quick Journal, Connect, Analyze, Develop, Draft, Review
Share Your Best Writing Example
</t>
  </si>
  <si>
    <t>Complementary Writing Prompt – Informative: How do the different sections of text come together to explain the challenges of factory farming?</t>
  </si>
  <si>
    <t>CCSS.W.9-10.2; CCSS.W.9-10.10; CCSS.W.9-10.4; CCSS.W.9-10.5; CCSS.W.9-10.9.b; CCSS.W.9-10.9</t>
  </si>
  <si>
    <t>How Does Food Impact the Environment?4</t>
  </si>
  <si>
    <t>Grade 9, Unit 4, Module 5</t>
  </si>
  <si>
    <t xml:space="preserve">Evaluating Evidence
</t>
  </si>
  <si>
    <t>Writing Process: Quick Journal
Evaluate Informational Texts: Food and Climate Change: Healthy Diets for a Healthier Planet” and “Your Questions About Food and Climate Change, Answered” 
Research Toolkit: Developing and Refining Research Questions</t>
  </si>
  <si>
    <t>CCSS.W.9-10.10; CCSS.W.9-10.4; CCSS.W.9-10.6; CCSS.W.9-10.8; CCSS.W.9-10.9.b; CCSS.W.9-10.7</t>
  </si>
  <si>
    <t>How Does Food Impact the Environment?5</t>
  </si>
  <si>
    <t>Grade 9, Unit 4, Module 6</t>
  </si>
  <si>
    <t>Module 6:
Show and Tell: Researching for Fact-Based Sources</t>
  </si>
  <si>
    <t>Plan Your Research: Step 1: Explore the Topic
Plan Your Research: Step 2: Find Reliable Sources
Plan Your Research: Step 3: Collect Relevant and Reliable Evidence
Plan Your Research: Step 4: Create a Thesis Statement</t>
  </si>
  <si>
    <t>CCSS.W.9-10.7;CCSS.RI.9-10.7; CCSS.W.9-10.7; CCSS.W.9-10.8; CCSS.W.9-10.9.b</t>
  </si>
  <si>
    <t>How Does Food Impact the Environment?6</t>
  </si>
  <si>
    <t>Grade 9, Unit 4, Module 7</t>
  </si>
  <si>
    <t>Module 7:
Show and Tell: Including Outside Sources</t>
  </si>
  <si>
    <t xml:space="preserve">Reflect on the Essential Question
Plan Your Points
Reflect on the Panel Discussion
</t>
  </si>
  <si>
    <t>CCSS.W.9-10.1; CCSS.W.9-10.2; CCSS.W.9-10.3; CCSS.W.9-10.2(d); CCSS.W.9-10.7; CCSS.W.9-10.9</t>
  </si>
  <si>
    <t>How Does Food Impact the Environment?7</t>
  </si>
  <si>
    <t>Grade 9, Unit 4, Module 8</t>
  </si>
  <si>
    <t>Module 8: Show and Tell: Score the Example; Researching to Compile Resources</t>
  </si>
  <si>
    <t xml:space="preserve">Writing the Research Paper
Citing and Documenting Sources
</t>
  </si>
  <si>
    <t xml:space="preserve">Writing Process: Connect, Analyze, Develop, Draft, Review
Score the Example: “Can We Save the World by Going Vegan?” by 
Gabriella Deckard
Practice Feedback: “Can We Save the World by Going Vegan?” by 
Gabriella Deckard
Collect Your Research
Map Your Research Paper
Write It and Cite It
Share Your Research Paper
Peer Edit: Give and Get Feedback
Reflect on Your Writing
</t>
  </si>
  <si>
    <t>Essential Writing Prompt – Informative: Based on the readings and other research, what are the most pressing issues surrounding meat sustainability?</t>
  </si>
  <si>
    <t>CCSS.W.9-10.7; CCSS.W.9-10.4; CCSS.W.9-10.5; CCSS.W.9-10.6; CCSS.W.9-10.9; CCSS.W.9-10.10; CCSS.W.9-10.2; CCSS.W.9-10.8; CCSS.W.9-10.9.A; CCSS.W.9-10.9.B; CCSS.W.9-10.2.B; CCSS.W.9-10.2.C; CCSS.W.9-10.2.D; CCSS.W.9-10.2.E; CCSS.W.9-10.2.F</t>
  </si>
  <si>
    <t>How Does Food Impact the Environment?8</t>
  </si>
  <si>
    <t>Grade 9 Unit 5</t>
  </si>
  <si>
    <t>Grade 9, Unit 5, Module 0</t>
  </si>
  <si>
    <t>Module 0:
Show and Tell: Cause and Effect Informative Writing</t>
  </si>
  <si>
    <t>CCSS.W.9-10.10; CCSS.W.9-10.2; CCSS.W.9-10.4; CCSS.W.9-10.5; CCSS.W.9-10.9</t>
  </si>
  <si>
    <t>What Is This Thing Called Love?0</t>
  </si>
  <si>
    <t>Module 1:
Show and Tell: Shakespearean Langauge</t>
  </si>
  <si>
    <t xml:space="preserve">Essential Writing Prompt – Argumentative: How does Shakespeare use specific words and phrases to establish the time, place, and social dynamics of Romeo and Juliet’s Verona? </t>
  </si>
  <si>
    <t>CCSS.W.9-10.1; CCSS.W.9-10.10; CCSS.W.9-10.4; CCSS.W.9-10.5; CCSS.W.9-10.2.a; CCSS.W.9-10.2; CCSS.W.9-10.9</t>
  </si>
  <si>
    <t>What Is This Thing Called Love?1</t>
  </si>
  <si>
    <t>Module 2:
Show and Tell: Direct and Indirect Characterization</t>
  </si>
  <si>
    <t>Writing Process: Quick Journal, Connect, Analyze, Develop, Draft, Review
Sharpen Your Sentences: Vary Your Sentence Length and Structure</t>
  </si>
  <si>
    <t>Complementary Writing Prompt – Informative: Choose either Romeo or Juliet and write a paragraph that describes specific words and phrases that Shakespeare uses to help the reader/audience understand their main character traits through indirect characterization (thoughts, actions, speech, and dialogue). Use at least three different ways to begin their sentences. (Try using one of each sentence opener: a noun phrase, an adverbial phrase, or an adjective phrase!)</t>
  </si>
  <si>
    <t>Complementary Writing Prompt – Argumentative: What can readers infer about the protagonists, Romeo and Juliet, based on their dialogue and interactions with others?</t>
  </si>
  <si>
    <t>CCSS.W.9-10.1; CCSS.W.9-10.10; CCSS.W.9-10.4; CCSS.W.9-10.5; CCSS.W.9-10.9; CCSS.W.9-10.2.b; CCSS.W.9-10.2</t>
  </si>
  <si>
    <t>What Is This Thing Called Love?2</t>
  </si>
  <si>
    <t>Module 3:
Show and Tell: Types of Conflict in Literature</t>
  </si>
  <si>
    <t>Complementary Writing Prompt – Informative: Write an introductory paragraph as if you are beginning an essay describing the major plot points of Romeo and Juliet through Act II. Utilize at least two transitional devices to ensure clarity of relationships and cohesion of your ideas.</t>
  </si>
  <si>
    <t>Complementary Writing Prompt – Argumentative: Based on Act II, what are the primary internal and external conflicts that shape Romeo and Juliet’s decisions and actions?</t>
  </si>
  <si>
    <t>CCSS.W.9-10.1; CCSS.W.9-10.10; CCSS.W.9-10.4; CCSS.W.9-10.5; CCSS.W.9-10.2.c; CCSS.W.9-10.2; CCSS.W.9-10.9</t>
  </si>
  <si>
    <t>What Is This Thing Called Love?3</t>
  </si>
  <si>
    <t>Module 4:
Show and Tell: Developing Dramatic Action in Scenes</t>
  </si>
  <si>
    <t>Precise Langauge and Vocabulary in Informative Writing</t>
  </si>
  <si>
    <t>Essential Writing Prompt – Informative: Write a paragraph explaining one occurrence of parallel plot structure in the sequence of events experienced by Romeo and Juliet during ACT III. Use precise language in your explanation.</t>
  </si>
  <si>
    <t>Complementary Writing Prompt – Informative: Write a paragraph explaining one occurrence of parallel plot structure in the sequence of events experienced by Romeo and Juliet during ACT III. Use precise language in your explanation.</t>
  </si>
  <si>
    <t>CCSS.W.9-10.1; CCSS.W.9-10.10; CCSS.W.9-10.4; CCSS.W.9-10.5; CCSS.W.9-10.9; CCSS.W.9-10.2.d; CCSS.W.9-10.2</t>
  </si>
  <si>
    <t>What Is This Thing Called Love?4</t>
  </si>
  <si>
    <t>Module 5:
Show and Tell: Developing Characters in Drama</t>
  </si>
  <si>
    <t>Complementary Writing Prompt – Informative: Write a paragraph identifying Juliet’s behavior shifts in Act IV. Use specific examples from the text to support your writing.</t>
  </si>
  <si>
    <t>Complementary Writing Prompt – Argumentative: In Act IV, how does Juliet’s behavior shift, and what can you infer about her emotional state from her behavior and choices?</t>
  </si>
  <si>
    <t>CCSS.W.9-10.1; CCSS.W.9-10.10; CCSS.W.9-10.4; CCSS.W.9-10.5; CCSS.W.9-10.9; CCSS.W.9-10.2</t>
  </si>
  <si>
    <t>What Is This Thing Called Love?5</t>
  </si>
  <si>
    <t>Module 6:
Show and Tell: Determining Themes in Drama</t>
  </si>
  <si>
    <t>Complementary Writing Prompt – Informative: Write a paragraph summarizing how Shakespeare chose to conclude the play in Act V. Explain how concluding the play this way affects the reader’s experience and what they are expected to learn from this ending.</t>
  </si>
  <si>
    <t>Complementary Writing Prompt – Argumentative : At the resolution of the play, what might be the enduring legacies of Romeo and Juliet for their families and the city of Verona? What are the enduring lessons of their story for viewers?</t>
  </si>
  <si>
    <t>CCSS.W.9-10.1; CCSS.W.9-10.10; CCSS.W.9-10.4; CCSS.W.9-10.5; CCSS.W.9-10.9.a; CCSS.W.9-10.9; CCSS.W.9-10.2</t>
  </si>
  <si>
    <t>What Is This Thing Called Love?6</t>
  </si>
  <si>
    <t>Grade 9, Unit 5, Module 7</t>
  </si>
  <si>
    <t>Module 7:
Show and Tell: Researching Mediums</t>
  </si>
  <si>
    <t>CCSS.W.9-10.10; CCSS.W.9-10.4; CCSS.W.9-10.6; CCSS.W.9-10.8; CCSS.W.9-10.9.a; CCSS.W.9-10.7; CCSS.W.9-10.9; CCSS.W.9-10.9.b</t>
  </si>
  <si>
    <t>What Is This Thing Called Love?7</t>
  </si>
  <si>
    <t>Grade 9, Unit 5, Module 8</t>
  </si>
  <si>
    <t>Module 8:
Show and Tell:  Performance</t>
  </si>
  <si>
    <t xml:space="preserve">CCSS.W.9-10.1; CCSS.W.9-10.2; CCSS.W.9-10.3; CCSS.W.9-10.2(d); CCSS.W.9-10.7; CCSS.W.9-10.9
</t>
  </si>
  <si>
    <t>What Is This Thing Called Love?8</t>
  </si>
  <si>
    <t>Grade 9, Unit 5, Module 9</t>
  </si>
  <si>
    <t>Module 9:
Show and Tell: Score the Example; Conclusions in Informative Writing</t>
  </si>
  <si>
    <t>Writing Process: Connect, Analyze, Develop, Draft, Review
Score the Example: “Consequences Showed in Romeo and Juliet” by Gabriella Deckard
Practice Feedback: “Consequences Showed in Romeo and Juliet” by Gabriella Deckard
Choose Your Focus
Map Your Cause-and-Effect Essay
Make it Flow: Transition Words
Share Your Essay: Peer Editing
Edit the Draft Together: Give and Get Feedback
Reflect on Your Writing</t>
  </si>
  <si>
    <t>Essential Writing Prompt – Informative: Choose one of the protagonists—either Romeo or Juliet. In your cause-and-effect essay, analyze the character traits, personal choices, and external factors that ultimately led to his or her final fate.</t>
  </si>
  <si>
    <t>CCSS.W.9-10.2; CCSS.W.9-10.4; CCSS.W.9-10.5; CCSS.W.9-10.9; CCSS.W.9-10.10; CCSS.W.9-10.2.f; CCSS.W.9-10.3.a; CCSS.W.9-10.3.d; CCSS.W.9-10.9.A; CCSS.W.9-10.9.B; CCSS.W.9-10.2.B; CCSS.W.9-10.2.C; CCSS.W.9-10.2.D; CCSS.W.9-10.2.E; CCSS.W.9-10.2.F</t>
  </si>
  <si>
    <t>What Is This Thing Called Love?9</t>
  </si>
  <si>
    <t>Grade 9 Unit 6</t>
  </si>
  <si>
    <t>Grade 9, Unit 6, Module 0</t>
  </si>
  <si>
    <t>Module 0:
Show and Tell: Personal Statement</t>
  </si>
  <si>
    <t>CCSS.W.9-10.10; CCSS.W.9-10.4; CCSS.W.9-10.3; CCSS.W.9-10.5; CCSS.W.9-10.7; CCSS.W.9-10.9</t>
  </si>
  <si>
    <t>What Interests You?0</t>
  </si>
  <si>
    <t>Module 1: Show and Tell: Using Examples and Anecdotes to Explain Ideas</t>
  </si>
  <si>
    <t>Essential Writing Prompt – Informative: What is the main message from Shonda Rhimes in her commencement speech? How does she build toward it and reinforce it in the structure of her speech, the rhythm of repeated sentences, and other details?</t>
  </si>
  <si>
    <t>CCSS.W.9-10.2; CCSS.W.9-10.10; CCSS.W.9-10.4; CCSS.W.9-10.5; CCSS.W.9-10.9</t>
  </si>
  <si>
    <t>What Interests You?1</t>
  </si>
  <si>
    <t>Module 2:
Show and Tell: Using Time as a Storytelling Technique</t>
  </si>
  <si>
    <t>Using Time as a Storytelling Tool</t>
  </si>
  <si>
    <t xml:space="preserve">Writing Process: Quick Journal, Connect, Analyze, Develop, Draft, Review
Sharpen Your Sentences: Sentence Combining Appositives, Pronouns, Conjunctions
</t>
  </si>
  <si>
    <t>Complementary Writing Prompt – Informative: How does the author develop a clear and complete set of considerations for each aspect of the value of extracurriculars in the college admission process?</t>
  </si>
  <si>
    <t>What Interests You?2</t>
  </si>
  <si>
    <t>Module 3:
Show and Tell: Connotation and Denotation</t>
  </si>
  <si>
    <t>Complementary Writing Prompt – Informative: How does the author make their purpose clear through sentence structure and specific word choice?</t>
  </si>
  <si>
    <t>What Interests You?3</t>
  </si>
  <si>
    <t>Module 4:
Show and Tell: Analyzing Connections in Informational Texts:</t>
  </si>
  <si>
    <t>Writing Process: Quick Journal, Connect, Analyze, Develop, Draft, Review
Share Your Best Writing Sample</t>
  </si>
  <si>
    <t>Complementary Writing Prompt – Informative: How does the author help readers analyze the pros and cons of working while in high school?</t>
  </si>
  <si>
    <t>What Interests You?4</t>
  </si>
  <si>
    <t>Grade 9, Unit 6, Module 5</t>
  </si>
  <si>
    <t>Module 5:
Show and Tell: Using Research to Gain Understanding</t>
  </si>
  <si>
    <t>CCSS.W.9-10.10; CCSS.W.9-10.4; CCSS.W.9-10.6; CCSS.W.9-10.8; CCSS.W.9-10.9; CCSS.W.9-10.7; CCSS.W.9-10.9.b</t>
  </si>
  <si>
    <t>What Interests You?5</t>
  </si>
  <si>
    <t>Grade 9, Unit 6, Module 6</t>
  </si>
  <si>
    <t>Module 6: 
Show and Tell: Researching Transitions</t>
  </si>
  <si>
    <t>What Interests You?6</t>
  </si>
  <si>
    <t>Grade 9, Unit 6, Module 7</t>
  </si>
  <si>
    <t>Module 7:
Show and Tell: Practice Feedback; Personal Statement</t>
  </si>
  <si>
    <t>Writing the Personal Statement
Audience</t>
  </si>
  <si>
    <t>Writing Process: Connect, Develop, Draft, Review, Reflect
Score the Example: "Writing and the Joys of Creativity" by Gabriella Deckard 
Practice Feedback: "Writing and the Joys of Creativity" by Gabriella Deckard 
Plan Your Future
Map Your Statement 
Use Examples and Anecdotes
Share Your Personal Statement: Peer Editing
Edit the Draft Together: Give and Get Feedback
Reflect on Your Writing</t>
  </si>
  <si>
    <t>Essential Writing Prompt – Narrative: Describe something you’re passionate about. What makes it so appealing? How do you learn more about it?</t>
  </si>
  <si>
    <t>CCSS.W.9-10.3; CCSS.W.9-10.2; CCSS.W.9-10.4; CCSS.W.9-10.5; CCSS.W.9-10.7; CCSS.W.9-10.9; CCSS.W.9-10.10; CCSS.W.9-10.3.B; CCSS.W.9-10.3.C; CCSS.W.9-10.3.E</t>
  </si>
  <si>
    <t>What Interests You?7</t>
  </si>
  <si>
    <t>Grade 9 Unit 7</t>
  </si>
  <si>
    <t>Grade 9, Unit 7, Module 0</t>
  </si>
  <si>
    <t>Module 0:
Show and Tell: Literary Analysis</t>
  </si>
  <si>
    <t>CCSS.W.9-10.10; CCSS.W.9-10.3; CCSS.W.9-10.4; CCSS.W.9-10.1; CCSS.W.9-10.5; CCSS.W.9-10.7; CCSS.W.9-10.9; CCSS.W.9-10.9.a</t>
  </si>
  <si>
    <t>Why Does the Odyssey Endure?0</t>
  </si>
  <si>
    <t>Module 1:
Show and Tell: How Epics and Coming-of-Age Stories Work</t>
  </si>
  <si>
    <t xml:space="preserve">Writing Process: Quick Journal, Connect, Analyze, Develop, Draft, Review
Sharpen Your Sentences: Making Arguments About Character Traits
</t>
  </si>
  <si>
    <t>Essential Writing Prompt – Argumentative: How is Telemachos’s character shaped by his understanding of and relationship with his father, Odysseus?</t>
  </si>
  <si>
    <t>CCSS.W.9-10.1; CCSS.W.9-10.10; CCSS.W.9-10.4; CCSS.W.9-10.5; CCSS.W.9-10.1.d; CCSS.W.9-10.9</t>
  </si>
  <si>
    <t>Why Does the Odyssey Endure?1</t>
  </si>
  <si>
    <t>Module 2:
Show and Tell: Character Traits and Differences</t>
  </si>
  <si>
    <t xml:space="preserve">Writing Process: Quick Journal, Connect, Analyze, Develop, Draft, Review
Sharpen Your Sentences: Connect Evidence to Claims with Reasoning
</t>
  </si>
  <si>
    <t>Complementary Writing Prompt – Argumentative: How do Odysseus’s decisions in the face of moral dilemmas define him as a leader?</t>
  </si>
  <si>
    <t>CCSS.W.9-10.1; CCSS.W.9-10.10; CCSS.W.9-10.4; CCSS.W.9-10.5; CCSS.W.9-10.9</t>
  </si>
  <si>
    <t>Why Does the Odyssey Endure?2</t>
  </si>
  <si>
    <t>Module 3:
Show and Tell: Conflict and Resolution</t>
  </si>
  <si>
    <t>Writing About Conflict and Resolution</t>
  </si>
  <si>
    <t>Complementary Writing Prompt – Argumentative: To what extent are the suitors villainous and deserving of violent destruction? Use evidence of their behaviors and motivations from the story to support your claims.</t>
  </si>
  <si>
    <t>Why Does the Odyssey Endure?3</t>
  </si>
  <si>
    <t>Module 4:
Show and Tell: A Comparison of Archetypes</t>
  </si>
  <si>
    <t>Writing About Character Archetypes: Comparison and Contrast</t>
  </si>
  <si>
    <t>Writing Process: Quick Journal, Connect, Analyze, Develop, Draft, Review
Apply Your Learning: Comparing Character Archetypes
Sharpen Your Sentences: Writing Focused Summaries
Share Your Best Writiing Sample</t>
  </si>
  <si>
    <t>Complementary Writing Prompt – Argumentative: How do the qualities of an epic hero like Odysseus compare to modern ideas about heroism?</t>
  </si>
  <si>
    <t>CCSS.W.9-10.1; CCSS.W.9-10.10; CCSS.W.9-10.4; CCSS.W.9-10.5; CCSS.W.9-10.9.a; CCSS.W.9-10.9</t>
  </si>
  <si>
    <t>Why Does the Odyssey Endure?4</t>
  </si>
  <si>
    <t>Grade 9, Unit 7, Module 5</t>
  </si>
  <si>
    <t>Module 5:
Show and Tell: Researching for Perspectives</t>
  </si>
  <si>
    <t>CCSS.W.9-10.10; CCSS.W.9-10.4; CCSS.W.9-10.6; CCSS.W.9-10.8; CCSS.W.9-10.9.a; CCSS.W.9-10.7; CCSS.W.9-10.9</t>
  </si>
  <si>
    <t>Why Does the Odyssey Endure?5</t>
  </si>
  <si>
    <t>Grade 9, Unit 7, Module 6</t>
  </si>
  <si>
    <t>Why Does the Odyssey Endure?6</t>
  </si>
  <si>
    <t>Grade 9, Unit 7, Module 7</t>
  </si>
  <si>
    <t>Module 7:
Show and Tell: Literary Analysis; Student Exemplar Scoring</t>
  </si>
  <si>
    <t xml:space="preserve">Writing the LIterary Analysis </t>
  </si>
  <si>
    <t xml:space="preserve">Writing Process: Connect, Analyze, Develop, Draft, Review
Score the Example: “The Odyssey and Its Impact on Modern Works” by Gabriella Deckard
Practice Feedback: “The Odyssey and Its Impact on Modern Works” by Gabriella Deckard
Choose Your Texts for Comparison
Compare Similarities
Analyze Differences
Finalize Your Analysis
Develop and Share Your Claim
Organize Your Essay
Use Transition Sentences
Share Your Analysis: Peer Editing
Edit the Draft Together: Give and Get Feedback
Reflect on Your Writing </t>
  </si>
  <si>
    <t xml:space="preserve">Essential Writing Prompt – Argumentative: Select one or two texts that build on or transform ideas about themes, plot points, or characters from “The Odyssey.” Make a claim about how each author conveys their own unique perspective on an idea from The Odyssey and support it with examples from the original text as well as the newer text. </t>
  </si>
  <si>
    <t>CCSS.W.9-10.9; CCSS.W.9-10.4; CCSS.W.9-10.5; CCSS.W.9-10.7; CCSS.W.9-10.9.a; CCSS.W.9-10.10; CCSS.W.9-10.1; CCSS.W.9-10.1.b; CCSS.W.9-10.2.a; CCSS.W.9-10.3; CCSS.W.9-10.1.C; CCSS.W.9-10.9.A; CCSS.W.9-10.9.B; CCSS.W.9-10.1.D; CCSS.W.9-10.1.E</t>
  </si>
  <si>
    <t>Why Does the Odyssey Endure?7</t>
  </si>
  <si>
    <t>Grade 10 Unit 1</t>
  </si>
  <si>
    <t>Grade 10, Unit 1, Module 0</t>
  </si>
  <si>
    <t>Module 0: 
Show and Tell: Supporting Arguments</t>
  </si>
  <si>
    <t xml:space="preserve">An Introduction: What Is CERCA
Claims
Supporting Claims with Evidence 
The Purpose of Personal Narrative Writing </t>
  </si>
  <si>
    <t>CCSS.W.9-10.10; CCSS.W.9-10.11; CCSS.W.9-10.5; CCSS.W.9-10.1.a; CCSS.W.9-10.1; CCSS.W.9-10.1.b; CCSS.W.9-10.3</t>
  </si>
  <si>
    <t>What Makes You, You?0</t>
  </si>
  <si>
    <t>Module 1: 
Show and Tell: Author's Clauses and Phrases; Making Claims</t>
  </si>
  <si>
    <t>Complementary Writing Prompt – Argumentative: Based on evidence from the text, choose which factor you think has the greatest influence on who we become: our family, community, or the media we consume.</t>
  </si>
  <si>
    <t>What Makes You, You?1</t>
  </si>
  <si>
    <t>Module 2: 
Show and Tell: Creating Imagery and Mood; Describing an Author's Style</t>
  </si>
  <si>
    <t>Complementary Prompt – Argumentative: How does Richard Rodriguez use imagery techniques to emphasize the similarities and di!erences between his own experiences with education and that of his parents?</t>
  </si>
  <si>
    <t>CCSS.W.9-10.1; CCSS.W.9-10.10; CCSS.W.9-10.4; CCSS.W.9-10.5; CCSS.W.9-10.9; CCSS.W.9-10.3</t>
  </si>
  <si>
    <t>What Makes You, You?2</t>
  </si>
  <si>
    <t>Module 3: 
Show and Tell: Writing Arguments</t>
  </si>
  <si>
    <t>Complementary Prompt – Narrative: After reading “Choose Your Own Identity,” reflect on your own experiences with your identity growing up. Write a descriptive paragraph describing a moment from your life where you
struggled to fit in. Tap into what you were feeling and experiencing at the time. Fully describe that period of your life. Attend to your senses: what could you see, hear, touch, smell? Use descriptive language so that the reader is able to imagine themselves in your place</t>
  </si>
  <si>
    <t>Complementary Prompt – Informative: Using specific evidence from the text, why does the author believe that individuals, instead of society or institutions, should be able to define their own race?</t>
  </si>
  <si>
    <t>What Makes You, You?3</t>
  </si>
  <si>
    <t>Complementary Writing Prompt – Narrative: Using the excerpt from “Breaking Night” as an example, write a short narrative with a beginning, a middle, and an end. Choose a brief episode for your life or the life of someone you know. As you compose brief narrative, choose descriptive details that convey a universal theme or message. So rather than telling readers what to think, try to illustrate that message. For example, an episode about overcoming feelings of powerlessness might end with “I was out of the back seat. I am no longer a
passenger. I am the driver and the engine.”</t>
  </si>
  <si>
    <t>Complementary Writing Prompt – Argumentative:: What message does Liz Murray convey throughout her story about personal choice and its impact on identity?</t>
  </si>
  <si>
    <t>CCSS.W.9-10.1; CCSS.W.9-10.10; CCSS.W.9-10.4; CCSS.W.9-10.5; CCSS.W.9-10.9.a; CCSS.W.9-10.9; CCSS.W.9-10.3</t>
  </si>
  <si>
    <t>What Makes You, You?4</t>
  </si>
  <si>
    <t>Grade 10, Unit 1, Module 5</t>
  </si>
  <si>
    <t>What Makes You, You?5</t>
  </si>
  <si>
    <t>Grade 10, Unit 1, Module 6</t>
  </si>
  <si>
    <t xml:space="preserve">Module 6: Show and Tell: Share Your Research
</t>
  </si>
  <si>
    <t>What Makes You, You?6</t>
  </si>
  <si>
    <t>Grade 10, Unit 1, Module 7</t>
  </si>
  <si>
    <t>Module 7:
Show and Tell: Narrative Introductions; Student Exemplar Scoring</t>
  </si>
  <si>
    <t>Writing Process: Connect, Develop, Draft, Review
Score the Example: “The Bird’s Eye” by Aditi Kavipurapu
Practice Feedback: “The Bird’s Eye” by Aditi Kavipurapu
Choose Your Moment
Map Your Personal Narrative
Make It Vivid: Descriptive Language
Share Your Personal Narrative: Peer Editing
Edit the Draft Together: Give and Get Feedback
Reflect on Your Writing</t>
  </si>
  <si>
    <t xml:space="preserve">Essential Writing Prompt – Narrative: Write about a single moment when you realized that your family, community, or even your media had shaped an important aspect of who you are
</t>
  </si>
  <si>
    <t>What Makes You, You?7</t>
  </si>
  <si>
    <t>Grade 10 Unit 2</t>
  </si>
  <si>
    <t>Grade 10, Unit 2, Module 0</t>
  </si>
  <si>
    <t xml:space="preserve">Module 0: 
Show and Tell: Policy-Based Arguments
</t>
  </si>
  <si>
    <t>CCSS.W.9-10.10; CCSS.W.9-10.1.a; CCSS.W.9-10.1; CCSS.W.9-10.5; CCSS.W.9-10.9.b; CCSS.W.9-10.4</t>
  </si>
  <si>
    <t>How Do We Solve the Water Problem?0</t>
  </si>
  <si>
    <t>Writing Process: Quick Journal, Connect, Analyze, Develop, Draft, Review
Write to Impress: Cite Evidence from Sources
Appreciate the Author's Craft</t>
  </si>
  <si>
    <t>Essential Writing Prompt – Argumentative: Write an argumentative essay about the impacts of descriptive details and anecdotes in a writer’s appeal to an audience.</t>
  </si>
  <si>
    <t>How Do We Solve the Water Problem?1</t>
  </si>
  <si>
    <t>Writing Process: Quick Journal, Connect, Analyze, Develop, Draft, Review
Sharpen Your Sentences: Sentence Expansion in Counterclaims
Write to Impress: Edit Citations
Appreciate the Author's Craft</t>
  </si>
  <si>
    <t>Complementary Writing Prompt - Argumentative: As the authors select and arrange evidence, how do they build a case in favor of better government funding for water access? Do they provide sufficient evidence for their position?</t>
  </si>
  <si>
    <t>How Do We Solve the Water Problem?2</t>
  </si>
  <si>
    <t>Complementary Writing Prompt - Argumentative: How does the author use text features such as photos and animations as evidence to support the arguments around the region’s fight for scarce resources? What new information is highlighted that the author feels is important enough to draw attention to?</t>
  </si>
  <si>
    <t>CCSS.W.9-10.1; CCSS.W.9-10.10; CCSS.W.9-10.4; CCSS.W.9-10.5; CCSS.W.9-10.2.c; CCSS.W.9-10.9; CCSS.W.9-10.9.b</t>
  </si>
  <si>
    <t>How Do We Solve the Water Problem?3</t>
  </si>
  <si>
    <t>Complementary Writing Prompt - Argumentative: Trace the issues on both sides of this debate about desalination. According to evidence provided in this ongoing debate, how do proponents appeal to their audience’s values in presenting their arguments around desalination?</t>
  </si>
  <si>
    <t>CCSS.W.9-10.1; CCSS.W.9-10.10; CCSS.W.9-10.4; CCSS.W.9-10.5; CCSS.W.9-10.9.b; CCSS.W.9-10.9</t>
  </si>
  <si>
    <t>How Do We Solve the Water Problem?4</t>
  </si>
  <si>
    <t>Grade 10, Unit 2, Module 5</t>
  </si>
  <si>
    <t>How Do We Solve the Water Problem?5</t>
  </si>
  <si>
    <t>Grade 10, Unit 2, Module 6</t>
  </si>
  <si>
    <t>Module 6: Show and Tell: Cite Research to Bolster Your Argument:</t>
  </si>
  <si>
    <t>How Do We Solve the Water Problem?6</t>
  </si>
  <si>
    <t>Grade 10, Unit 2, Module 7</t>
  </si>
  <si>
    <t>Module 7:
Show and Tell: Writing a Conclusion; Student Exemplar Scoring</t>
  </si>
  <si>
    <t>Writing Process: Connect, Analyze, Draft, Develop, Review
Score the Example: “Beyond Flint” by Karen Hernandez
Practice Feedback: “Beyond Flint” by Karen Hernandez
Choose Your Argument
Map Your Argument
Make It Powerful: Words to Appeal
Share Your Argument: Peer Editing
Edit the Draft Together: Give and Get Feedback
Reflect on Your Writing</t>
  </si>
  <si>
    <t>Essential Writing Prompt—Argumentative: Based on your readings, what are the most
pressing issues facing communities around the world in the ongoing debate about how to access clean water?</t>
  </si>
  <si>
    <t>How Do We Solve the Water Problem?7</t>
  </si>
  <si>
    <t>Grade 10 Unit 3</t>
  </si>
  <si>
    <t>Grade 10, Unit 3, Module 0</t>
  </si>
  <si>
    <t>Module 0: Show and Tell: Types of Narrative</t>
  </si>
  <si>
    <t>CCSS.W.9-10.10; CCSS.W.9-10.1; CCSS.W.9-10.4; CCSS.W.9-10.5; CCSS.W.9-10.9</t>
  </si>
  <si>
    <t>Who Decides What You Should Do?0</t>
  </si>
  <si>
    <t>Module 1: 
Show and Tell: Developing Characters in Fiction</t>
  </si>
  <si>
    <t>Complementary Writing Prompt – Argumentative: How do T’Challa and Ororo embody character archetypes, and how do these archetypes influence their approaches to the central conflict of the story?</t>
  </si>
  <si>
    <t>CCSS.W.9-10.10; CCSS.W.9-10.4; CCSS.W.9-10.5; CCSS.W.9-10.3; CCSS.W.9-10.9; CCSS.W.9-10.1</t>
  </si>
  <si>
    <t>Who Decides What You Should Do?1</t>
  </si>
  <si>
    <t>Module 2: 
Show and Tell: Dialogue to Advance the Plot</t>
  </si>
  <si>
    <t xml:space="preserve">Dialogue in Narrative Writing
Setting in Narrative Writing
</t>
  </si>
  <si>
    <t xml:space="preserve">Writing Process: Quick Journal, Connect, Analyze, Develop, Draft, Review
Sharpen Your Sentences: Use an Appositive in a Sentence
</t>
  </si>
  <si>
    <t>Complementary Writing Prompt – Argumentative: Analyze the commentary Shirley Jackson makes on society and human behavior through the story of “The Lottery.” Use details from the text to explain why everyone in the town chooses to participate year after year.</t>
  </si>
  <si>
    <t>Who Decides What You Should Do?2</t>
  </si>
  <si>
    <t>Module 3:
Show and Tell: Transitions and Linking Words in Narrative Writing</t>
  </si>
  <si>
    <t>Irony and Suspense in Narrative Writing
Using Time as a Storytelling Tool
Transitions and Linking Words in Narrative Writing</t>
  </si>
  <si>
    <t>Complementary Writing Prompt –  Narrative: After reading “Hop-Frog,” think of a pivotal moment for a character from the text. What was the event that changed them? How did their character develop as the text continued? Write a paragraph focusing on this event. Include the moments before, during, and after the character-changing moment. Make sure to fully demonstrate how the character changed as the events progressed.</t>
  </si>
  <si>
    <t>Complementary Writing Prompt – Argumentative: How does Edgar Allan Poe use the story’s structure in order to present Hop-Frog’s actions as just or unjust?</t>
  </si>
  <si>
    <t>Who Decides What You Should Do?3</t>
  </si>
  <si>
    <t>Module 4:
Show and Tell: Understanding Figurative Language</t>
  </si>
  <si>
    <t xml:space="preserve">Writing Process: Quick Journal, Connect, Analyze, Develop, Draft, Review
Appreciate the Author's Craft
Share Your Best Writing Sample
</t>
  </si>
  <si>
    <t>Complementary Writing Prompt – Narrative: In the text, “A Very Old Man with Enormous Wings,” the author describes a woman who had been changed into a spider for disobeying her parents. In the story, people are able to ask her questions and she shares the details of her situation. Reread that section of the text and write a descriptive paragraph that includes dialogue of what the conversation between her and the people attending the carnival could have sounded like. Make sure to use relevant details from the text to create accurate
dialogue for the characters.</t>
  </si>
  <si>
    <t>Complementary Writing Prompt – Argumentative: Analyze the author’s development of point of view and perspective in the story. What do the points of view and the perspectives of at least two characters convey about the connections between our beliefs and human behavior?</t>
  </si>
  <si>
    <t>Who Decides What You Should Do?4</t>
  </si>
  <si>
    <t>Grade 10, Unit 3, Module 5</t>
  </si>
  <si>
    <t>Module 5:
Show and Tell: Research to Highlight Parallels Among Texts</t>
  </si>
  <si>
    <t xml:space="preserve">Quick Journal
</t>
  </si>
  <si>
    <t>CCSS.W.9-10.10; CCSS.W.9-10.4; CCSS.W.9-10.6; CCSS.W.9-10.8; CCSS.W.9-10.7; CCSS.W.9-10.9; CCSS.W.9-10.9.a</t>
  </si>
  <si>
    <t>Who Decides What You Should Do?5</t>
  </si>
  <si>
    <t>Grade 10, Unit 3, Module 6</t>
  </si>
  <si>
    <t>Module 6:
Show and Tell: Socratic Discussion</t>
  </si>
  <si>
    <t>Who Decides What You Should Do?6</t>
  </si>
  <si>
    <t>Grade 10, Unit 3, Module 7</t>
  </si>
  <si>
    <t>Module 7:
Show and Tell: Using Concrete, Sensory Details in Narrative Writing; Student Exemplar Scoring</t>
  </si>
  <si>
    <t xml:space="preserve">Writing the Short Story
Using Concrete Sensory Details in Narrative Writing
Endings in Narrative Writing
</t>
  </si>
  <si>
    <t>Writing Process: Connect, Develop, Draft, Review, Reflect
Score the Example: “Drol” by Aditi Kavipurapu
Practice Feedback: “Drol” by Aditi Kavipurapu
Choose Your Idea
Map Your Short Story
Plot Your Story: Plotting Your Narrative Arc
Show, Don't Tell: Descriptive Language
Share Your Short Story
Peer Editing: Give and Get Feedback
Reflect on Your Writing</t>
  </si>
  <si>
    <t>Essential Writing Prompt – Narrative: Think about an aspect of human behavior that society affects. Write a short story using the characters, settings, and plot characteristics of horror, dystopia, magical realism, or fantasy to develop your story</t>
  </si>
  <si>
    <t>CCSS.W.9-10.3; CCSS.W.9-10.4; CCSS.W.9-10.5; CCSS.W.9-10.9; CCSS.W.9-10.10; CCSS.W.9-10.3.a; CCSS.W.9-10.3.d; CCSS.W.9-10.3.B; CCSS.W.9-10.3.C; CCSS.W.9-10.3.E</t>
  </si>
  <si>
    <t>Who Decides What You Should Do?7</t>
  </si>
  <si>
    <t>Grade 10 Unit 4</t>
  </si>
  <si>
    <t>Grade 10, Unit 4, Module 0</t>
  </si>
  <si>
    <t>Module 0: 
Show and Tell: Introduction to Research Papers</t>
  </si>
  <si>
    <t>How Do We Feed the World?0</t>
  </si>
  <si>
    <t>Module 1: Show and Tell: Researching for Clarity</t>
  </si>
  <si>
    <t>Complementary Writing Prompt – Informative: How does the author explain the concept of carbon footprint through the example of farmers in India?</t>
  </si>
  <si>
    <t>How Do We Feed the World?1</t>
  </si>
  <si>
    <t>Module 2: Show and Tell: Evaluating a Claim</t>
  </si>
  <si>
    <t>Essential Writing Prompt – Informative: How does the author structure the text to inform readers of the five-step method for solving the global food crisis?</t>
  </si>
  <si>
    <t>How Do We Feed the World?2</t>
  </si>
  <si>
    <t>Module 3: Show and Tell: Analyzing Point of View</t>
  </si>
  <si>
    <t>Complementary Writing Prompt – Informative: How does the author blend narrative writing and scientific information to appeal to the audience and build support for hydroponic farming?</t>
  </si>
  <si>
    <t>How Do We Feed the World?3</t>
  </si>
  <si>
    <t>Complementary Writing Prompt – Informative: How does the author use different sections to build a complete picture of the evolution of floating farms in Bangladesh?</t>
  </si>
  <si>
    <t>How Do We Feed the World?4</t>
  </si>
  <si>
    <t>Grade 10, Unit 4, Module 5</t>
  </si>
  <si>
    <t>Module 5: Show and Tell: Evaluating Evidence in Research</t>
  </si>
  <si>
    <t xml:space="preserve">Quick Journal
Evaluate Informational Texts: “What Is Sustainable Agriculture?” and “What Is the Difference Between Organic Farming and            Sustainable Farming?”
</t>
  </si>
  <si>
    <t>CCSS.W.9-10.10; CCSS.W.9-10.4; CCSS.W.9-10.6; CCSS.W.9-10.8; CCSS.W.9-10.9.b; CCSS.W.9-10.7; CCSS.W.9-10.9</t>
  </si>
  <si>
    <t>How Do We Feed the World?5</t>
  </si>
  <si>
    <t>Grade 10, Unit 4, Module 6</t>
  </si>
  <si>
    <t>Module 6: Show and Tell: Finding Outside Sources</t>
  </si>
  <si>
    <t xml:space="preserve">Plan Your Research: Step 1: Explore the Topic
Plan Your Research: Step 2: Find Reliable Sources
Plan Your Research: Step 3: Collect Relevant and Reliable Evidence
Plan Your Research: Step 4: Create a Thesis Statement
</t>
  </si>
  <si>
    <t>CCSS.W.9-10.7; CCSS.W.9-10.8; CCSS.W.9-10.9.b</t>
  </si>
  <si>
    <t>How Do We Feed the World?6</t>
  </si>
  <si>
    <t>Grade 10, Unit 4, Module 7</t>
  </si>
  <si>
    <t>Module 7:
Show and Tell: Synthesizing Outside Sources</t>
  </si>
  <si>
    <t>How Do We Feed the World?7</t>
  </si>
  <si>
    <t>Grade 10, Unit 4, Module 8</t>
  </si>
  <si>
    <t>Module 8: Show and Tell: Practice Feedback; Compile Research</t>
  </si>
  <si>
    <t xml:space="preserve">Writing Process: Connect, Develop, Draft, Review, Reflect
Score the Example: “Problems with Solutions to a Growing Global Crisis” by Michael Gilliland
Practice Feedback: “Problems with Solutions to a Growing Global Crisis” by Michael Gilliland
Collect Your Research
Map Your Research Paper
Write It and Cite It
Share Your Research Paper: Peer Editing
Edit the Draft Together: Give and Get Feedback
Reflect on Your Writing
</t>
  </si>
  <si>
    <t>Essential Writing Prompt – Informative: Based on the readings and other research, what are the most pressing issues around how to solve the global food crisis and agricultural sustainability?</t>
  </si>
  <si>
    <t>How Do We Feed the World?8</t>
  </si>
  <si>
    <t>Grade 10 Unit 5</t>
  </si>
  <si>
    <t>Grade 10, Unit 5, Module 0</t>
  </si>
  <si>
    <t>Module 0: 
Show and Tell: Cause-and-Effect Informative Writing</t>
  </si>
  <si>
    <t>What Happens to a Dream Deferred?0</t>
  </si>
  <si>
    <t>Module 1: 
Show and Tell: Developing Dramatic Action in Scenes</t>
  </si>
  <si>
    <t>Complementary Writing Prompt – Argumentative: In Act I, Scene I, what specific techniques does Lorraine Hansberry use to introduce the dramatic action of A Raisin in the Sun? Consider what audiences learn about the setting, characters, and conflicts in your response.</t>
  </si>
  <si>
    <t>CCSS.W.9-10.1; CCSS.W.9-10.10; CCSS.W.9-10.4; CCSS.W.9-10.5; CCSS.W.9-10.2; CCSS.W.9-10.9</t>
  </si>
  <si>
    <t>What Happens to a Dream Deferred?1</t>
  </si>
  <si>
    <t>Module 2: 
Show and Tell: Types of Conflict in Literature</t>
  </si>
  <si>
    <t>Complementary Writing Prompt – Informative: Read “A Raisin in the Sun, Act I Scene II,” and choose one of the characters from the play. Write a paragraph describing specific lines of dialogue and the syntax used by that character that demonstrates their main character traits.</t>
  </si>
  <si>
    <t>Complementary Writing Prompt – Argumentative: In Act I, Scene II, what are the main internal and external conflicts that impact the choices of the Younger family?</t>
  </si>
  <si>
    <t>What Happens to a Dream Deferred?2</t>
  </si>
  <si>
    <t>Module 3: Show and Tell: Developing Point of View</t>
  </si>
  <si>
    <t>Complementary Writing Prompt – Informative: Read “A Raisin in the Sun, Act II Scene I,” and write an introductory paragraph as if you are beginning an essay describing the major plot points of the text so far</t>
  </si>
  <si>
    <t>Complementary Writing Prompt – Argumentative: In Act II, Scene I, how do the characters demonstrate hidden feelings toward each other, and how do these perspectives influence their reactions to events?</t>
  </si>
  <si>
    <t>What Happens to a Dream Deferred?3</t>
  </si>
  <si>
    <t>Module 4: Show and Tell: Developing Dramatic Action</t>
  </si>
  <si>
    <t>Essential Writing Prompt – Informative: How does Hansberry use the characters’ emotions and desires to build rising dramatic action in Act II, Scene II?</t>
  </si>
  <si>
    <t>Complementary Writing Prompt – Informative: Read “A Raisin in the Sun, Act II Scene II” and write a paragraph explaining the sequence of events leading to conflict that is experienced by one of the main characters during this act of the play. Make sure to use precise language and vocabulary when sequencing the events.</t>
  </si>
  <si>
    <t>What Happens to a Dream Deferred?4</t>
  </si>
  <si>
    <t>Module 5: Show and Tell: Developing Characters in Drama</t>
  </si>
  <si>
    <t>Complementary Writing Prompt – Informative: Read “A Raisin in the Sun, Act II Scene III” and in a paragraph, describe how a main character is changing. Make sure to use specific moments and lines of dialogue from the text that highlight how this change is happening.</t>
  </si>
  <si>
    <t>Complementary Writing Prompt – Argumentative: In Act II, Scene III, which characters demonstrate significant change, and how does Hansberry communicate these changes throughout the scene?</t>
  </si>
  <si>
    <t>What Happens to a Dream Deferred?5</t>
  </si>
  <si>
    <t>Complementary Writing Prompt – Informative: Complementary Prompt (Informative): Read “A Raisin in the Sun, Act III” and explain in a paragraph how Lorraine Hansberry chose to conclude the play and how this conclusion made you feel as a reader/ audience member. Consider what themes you noticed in the conclusion of the play and how these themes might affect the reader’s/audience member’s experience.</t>
  </si>
  <si>
    <t>Complementary Writing Prompt – Argumentative: How does Hansberry use symbolism to demonstrate the final themes of the play?</t>
  </si>
  <si>
    <t>What Happens to a Dream Deferred?6</t>
  </si>
  <si>
    <t>Grade 10, Unit 5, Module 7</t>
  </si>
  <si>
    <t>Module 7:
Show and Tell: Researching for Cross-Cultural Parallels</t>
  </si>
  <si>
    <t>What Happens to a Dream Deferred?7</t>
  </si>
  <si>
    <t>Grade 10, Unit 5, Module 8</t>
  </si>
  <si>
    <t>Module 8:
Show and Tell: Performance</t>
  </si>
  <si>
    <t>What Happens to a Dream Deferred?8</t>
  </si>
  <si>
    <t>Grade 10, Unit 5, Module 9</t>
  </si>
  <si>
    <t>Module 9:
Show and Tell: Show and Tell: Conclusions in Informative Writing; Student Exemplar Scoring</t>
  </si>
  <si>
    <t>Writing Process: Connect, Develop, Draft, Review, Reflect
Score the Example: “The Black Family Dream” by Morgan Scott
Practice Feedback: “The Black Family Dream” by Morgan Scott
Choose Your Focus
Map Your Cause-and-Effect Essay
Make it Flow: Transition Words
Share Your Essay: Peer Editing
Edit the Draft Together: Give and Get Feedback
Reflect on Your Writing</t>
  </si>
  <si>
    <t>Essential Writing Prompt – Informative: Choose one of the members of the Younger family. What role does the “American Dream” play in shaping this character’s desires and what are its effects on how their story plays out in A Raisin in the Sun?</t>
  </si>
  <si>
    <t>CCSS.W.9-10.2; CCSS.W.9-10.4; CCSS.W.9-10.5; CCSS.W.9-10.9; CCSS.W.9-10.10; CCSS.W.9-10.3.d; CCSS.W.9-10.9.A; CCSS.W.9-10.9.B; CCSS.W.9-10.2.B; CCSS.W.9-10.2.C; CCSS.W.9-10.2.D; CCSS.W.9-10.2.E; CCSS.W.9-10.2.F</t>
  </si>
  <si>
    <t>What Happens to a Dream Deferred?9</t>
  </si>
  <si>
    <t>Grade 10 Unit 6</t>
  </si>
  <si>
    <t>Grade 10, Unit 6, Module 0</t>
  </si>
  <si>
    <t>Module 0: 
Show and Tell: Personal Statement</t>
  </si>
  <si>
    <t>The Purpose of the Personal Statement</t>
  </si>
  <si>
    <t>What Is the Value of College?0</t>
  </si>
  <si>
    <t>Module 1: 
Show and Tell: Using Examples and Anecdotes to Explain Ideas</t>
  </si>
  <si>
    <t>Complementary Writing Prompt – Argumentative: What are the most powerful examples and anecdotes that Kerry Washington uses throughout her speech to develop her call to action for the audience?</t>
  </si>
  <si>
    <t>CCSS.W.9-10.1; CCSS.W.9-10.2; CCSS.W.9-10.10; CCSS.W.9-10.4; CCSS.W.9-10.5; CCSS.W.9-10.9</t>
  </si>
  <si>
    <t>What Is the Value of College?1</t>
  </si>
  <si>
    <t>Module 2: 
Show and Tell: Impact of an Author’s Choices Selecting and
Arranging Details</t>
  </si>
  <si>
    <t>Essential Writing Prompt – Informative: How do the authors’ choices in how they select and arrange evidence reveal their larger purpose behind writing this article? Consider the central claim they want to communicate to readers when crafting your response.</t>
  </si>
  <si>
    <t>What Is the Value of College?2</t>
  </si>
  <si>
    <t>Complementary Writing Prompt – Informative: How does the author use different text features, including images and quotations, to help readers understand how to build a happier life?</t>
  </si>
  <si>
    <t>CCSS.W.9-10.2; CCSS.W.9-10.10; CCSS.W.9-10.4; CCSS.W.9-10.5; CCSS.W.9-10.3; CCSS.W.9-10.9</t>
  </si>
  <si>
    <t>What Is the Value of College?3</t>
  </si>
  <si>
    <t>Complementary Writing Prompt – Informative: How does the author use evidence to appeal to the audience when building the case that college should be for all? Consider elements like the author’s tone and commentary in your response</t>
  </si>
  <si>
    <t>What Is the Value of College?4</t>
  </si>
  <si>
    <t>Grade 10, Unit 6, Module 5</t>
  </si>
  <si>
    <t>Module 5: Show and Tell: Fact and Opinion</t>
  </si>
  <si>
    <t>What Is the Value of College?5</t>
  </si>
  <si>
    <t>Grade 10, Unit 6, Module 6</t>
  </si>
  <si>
    <t>What Is the Value of College?6</t>
  </si>
  <si>
    <t>Grade 10, Unit 6, Module 7</t>
  </si>
  <si>
    <t>Writing Process: Connect, Analyze, Develop, Draft, Review
Score the Example: "Time for a Change" by Ingrid Medgyesy 
Practice Feedback: "Time for a Change" by Ingrid Medgyesy 
Plan Your Future
Map Your Plan
Use Examples and Anecdotes
Share Your Personal Statement: Peer Editing
Edit the Draft Together: Give and Get Feedback
Reflect on Your Writing</t>
  </si>
  <si>
    <t>Essential Writing Prompt – Narrative: Describe a time when you had to either take a risk or stay safe. What did you do? What happened? Would you do it again?</t>
  </si>
  <si>
    <t>What Is the Value of College?7</t>
  </si>
  <si>
    <t>Grade 10 Unit 7</t>
  </si>
  <si>
    <t>Grade 10, Unit 7, Module 0</t>
  </si>
  <si>
    <t>Module 0: 
Show and Tell: Literary Analysis</t>
  </si>
  <si>
    <t>Types of Narrative Writing 
The Purpose of Literary Analysis Writing</t>
  </si>
  <si>
    <t>How Do Ancient and Sacred Texts Speak to Us?0</t>
  </si>
  <si>
    <t>Module 1: 
Show and Tell: Traditional Tales</t>
  </si>
  <si>
    <t xml:space="preserve">Writing Process: Quick Journal, Connect, Analyze, Develop, Draft, Review
Sharpen Your Sentences: Analyzing Traditional Tales: Creation Stories
</t>
  </si>
  <si>
    <t>Essential Writing Prompt – Argumentative: Compare and contrast an element of the creation stories in these four selections. How do these selections celebrate the creation of nature and humanity? Choose one aspect to analyze, such as character, plot, theme, etc</t>
  </si>
  <si>
    <t>How Do Ancient and Sacred Texts Speak to Us?1</t>
  </si>
  <si>
    <t>Grade 10, Unit 7, Module 2</t>
  </si>
  <si>
    <t>Module 2: 
Show and Tell: Common Characters</t>
  </si>
  <si>
    <t>Essential Writing Prompt – Argumentative: Through extraordinary skill, both Prometheus and Dr. Victor Frankenstein unleash their creations on the world – Prometheus, the power of fire, and Dr. Frankenstein, the power to bring life into a corpse. Using evidence found in each text, analyze each character’s motivations and discuss whether or not these characters were justified in creating and then abandoning their creations.</t>
  </si>
  <si>
    <t>How Do Ancient and Sacred Texts Speak to Us?2</t>
  </si>
  <si>
    <t>Module 3: Show and Tell: Setting</t>
  </si>
  <si>
    <t>Complementary Writing Prompt – Argumentative: In these modern creation stories, two authors imagine, through an omniscient narrator, what it would be like to embark on a post-apocalyptic world. Using evidence from the texts, compare the lessons learned after the destruction of humankind. What universal theme do both stories have in common that could serve as a caution to present-day humans?</t>
  </si>
  <si>
    <t>How Do Ancient and Sacred Texts Speak to Us?3</t>
  </si>
  <si>
    <t>Grade 10, Unit 7, Module 4</t>
  </si>
  <si>
    <t>Module 4: Show and Tell: Researching Examples</t>
  </si>
  <si>
    <t xml:space="preserve">Quick Journal
Read and Analyze Poetry: Compose Your Poem
Read and Analyze Poetry: Share Your Poem-Peer Edit
</t>
  </si>
  <si>
    <t>How Do Ancient and Sacred Texts Speak to Us?4</t>
  </si>
  <si>
    <t>Grade 10, Unit 7, Module 5</t>
  </si>
  <si>
    <t>Module 5: Show and Tell: Reseraching Additional Sources</t>
  </si>
  <si>
    <t>CCSS.W.9-10.1; CCSS.W.9-10..3; CCSS.W.9-10..7; CCSS.W.9-10..9</t>
  </si>
  <si>
    <t>How Do Ancient and Sacred Texts Speak to Us?5</t>
  </si>
  <si>
    <t>Grade 10, Unit 7, Module 6</t>
  </si>
  <si>
    <t>Module 6:
Show and Tell: Literary Analysis; Student Exemplar Scoring</t>
  </si>
  <si>
    <t xml:space="preserve">Writing Process: Connect, Develop, Draft, Review, Reflect
Score the Example: “Old Tales Turned into Modern Classics” by Anik Shah
Practice Feedback: “Old Tales Turned into Modern Classics” by Anik Shah
Choose Your Texts for Comparison
Compare Similarities
Analyze Differences
Finalize Your Analysis
Develop and Share Your Claim
Organize Your Essay
Use Transition Sentences
Share Your Analysis: Peer Editing
Edit the Draft Together: Give and Get Feedback
Reflect on Your Writing </t>
  </si>
  <si>
    <t>Essential Writing Prompt – Argumentative: How do modern creation texts draw on ancient, sacred, or classical texts as inspiration while transforming them into completely new works? Select one of the ancient, sacred, or classical works of literature from this unit to compare to a later text that draws on it as inspiration or transforms it into a modern or re-envisioned work.</t>
  </si>
  <si>
    <t>How Do Ancient and Sacred Texts Speak to Us?6</t>
  </si>
  <si>
    <t>Grade 11 Unit 1</t>
  </si>
  <si>
    <t>Grade 11, Unit 1, Module 0</t>
  </si>
  <si>
    <t>Module 0: Show and Tell: Personal Narrative</t>
  </si>
  <si>
    <t xml:space="preserve">An Introduction: What Is CERCA?
Claims
Supporting Claims with Evidence 
The Purpose of Personal Narrative Writing 
</t>
  </si>
  <si>
    <t>CCSS.W.11-12.3; CCSS.W.11-12.10; CCSS.W.11-12.5; CCSS.W.11-12.1</t>
  </si>
  <si>
    <t>Who Influences You?0</t>
  </si>
  <si>
    <t>Module 1: 
Show and Tell: Supporting Arguments; Making Claims</t>
  </si>
  <si>
    <t>Complementary Writing Prompt – Argumentative: How do the author’s memories support the idea that childhood experiences and relationships shape our identities as adults?</t>
  </si>
  <si>
    <t>CCSS.W.11-12.1; CCSS.W.11-12.3; CCSS.W.11-12.4; CCSS.W.11-12.10; CCSS.W.11-12.5; CCSS.W.11-12.9</t>
  </si>
  <si>
    <t>Who Influences You?1</t>
  </si>
  <si>
    <t>Module 2: 
Show and Tell: Crafting Author's Message</t>
  </si>
  <si>
    <t>Complementary Writing Prompt – Argumentative: Using specific evidence from the text, what themes and messages does Sonia Sotomayor convey about intellectual and emotional growth through her descriptions of her interactions with others in her youth?</t>
  </si>
  <si>
    <t>CCSS.W.11-12.1; CCSS.W.11-12.4; CCSS.W.11-12.10; CCSS.W.11-12.5; CCSS.W.11-12.9; CCSS.W.11-12.3</t>
  </si>
  <si>
    <t>Who Influences You?2</t>
  </si>
  <si>
    <t>Complementary Writing Prompt – Narrative: Using the text “The Way to Rainy Mountain” by N. Scott Momaday, write a descriptive paragraph about Rainy Mountain that honors and memorializes the author’s ancestors. Reflect on how the author’s use of imagery and mood in describing the landscape relates to the mysterious beginnings of the Kiowa tribe and evokes an emotional response. Attend to your senses—what can you see, hear, touch, smell? Use vivid and descriptive language to help the reader imagine themselves there.</t>
  </si>
  <si>
    <t>Complementary Writing Prompt – Argumentative: How does the author use descriptive details and imagery to memorialize his heritage, while telling the story of his grandmother?</t>
  </si>
  <si>
    <t>CCSS.W.11-12.1; CCSS.W.11-12.4; CCSS.W.11-12.10; CCSS.W.11-12.5; CCSS.W.11-12.3; CCSS.W.11-12.9</t>
  </si>
  <si>
    <t>Who Influences You?3</t>
  </si>
  <si>
    <t>Module 4: 
Show and Tell: Impact of Author's Word Choice</t>
  </si>
  <si>
    <t>Complementary Writing Prompt – Narrative: Using the text “The Secret to a Long Life is Bocce” by William Giraldi, write an abbreviated narrative based on this story opening: “Jimmy Pasto began explaining to me who Sammy Viscione is and his role as the commissioner of the local bocce league. As Jimmy shared stories of Sammy’s dedication and the community’s love for bocce, I discovered a surprising connection to my own family’s past.” Each step of the narrative should have 3-4 sentences that describe what happens at that part of the plot and how it builds on the previous section. Reflect on the Complementary question: How can a shared interest create a sense of community? Focus on plot development and the impact of the author’s choices regarding words and images to evoke imagery and mood.</t>
  </si>
  <si>
    <t>Complementary Writing Prompt – Argumentative: How does the author use descriptive details to convey their unique perspective on the value of Bocce ball?</t>
  </si>
  <si>
    <t>CCSS.W.11-12.1; CCSS.W.11-12.4; CCSS.W.11-12.10; CCSS.W.11-12.5; CCSS.W.11-12.9.a; CCSS.W.11-12.9; CCSS.W.11-12.3</t>
  </si>
  <si>
    <t>Who Influences You?4</t>
  </si>
  <si>
    <t>Grade 11, Unit 1, Module 5</t>
  </si>
  <si>
    <t>Module 5: 
Show and Tell: Evaluating Research; Research Project</t>
  </si>
  <si>
    <t>CCSS.W.11-12.4; CCSS.W.11-12.6; CCSS.W.11-12.8; CCSS.W.11-12.10; CCSS.W.11-12.7; CCSS.W.11-12.9; CCSS.W.11-12.9.a; CCSS.W.11-12.9.b</t>
  </si>
  <si>
    <t>Who Influences You?5</t>
  </si>
  <si>
    <t>Grade 11, Unit 1, Module 6</t>
  </si>
  <si>
    <t>CCSS.W.11-12.1; CCSS.W.11-12.3; CCSS.W.11-12.7; CCSS.W.11-12.9</t>
  </si>
  <si>
    <t>Who Influences You?6</t>
  </si>
  <si>
    <t>Grade 11, Unit 1, Module 7</t>
  </si>
  <si>
    <t>Module 7:
Show and Tell: Narrative Introductions; Student Scoring</t>
  </si>
  <si>
    <t xml:space="preserve">Writing Process: Connect: Develop, Draft, Review, Reflect
Score the Example: “Frank Mann” by Annie Whitmore
Practice Feedback: “Frank Mann” by Annie Whitmore
Choose Your Moment
Map Your Personal Narrative
Make It Vivid: Descriptive Language
Share Your Personal Narrative: Peer Editing
Edit the Draft Together: Give and Get Feedback
Reflect on Your Writing
</t>
  </si>
  <si>
    <t xml:space="preserve">Essential Writing Prompt – Narrative: Write about a personal moment when you realized the impact your family and heritage had on your individual beliefs and values
</t>
  </si>
  <si>
    <t>CCSS.W.11-12.9; CCSS.W.11-12.5; CCSS.W.11-12.3; CCSS.W.11-12.10; CCSS.W.11-12.4; CCSS.W.11-12.3.d; CCSS.W.11-12.3.B; CCSS.W.11-12.3.C; CCSS.W.11-12.3.E</t>
  </si>
  <si>
    <t>Who Influences You?7</t>
  </si>
  <si>
    <t>Grade 11 Unit 2</t>
  </si>
  <si>
    <t>Grade 11, Unit 2, Module 0</t>
  </si>
  <si>
    <t>Module 0: 
Show and Tell: Policy-Based Arguments</t>
  </si>
  <si>
    <t>CCSS.W.11-12.4; CCSS.W.11-12.10; CCSS.W.11-12.1; CCSS.W.11-12.5; CCSS.W.11-12.9.b</t>
  </si>
  <si>
    <t>What Differences Can National Parks Make?0</t>
  </si>
  <si>
    <t>Complementary Writing Prompt – Argumentative: How does the author use details and specific examples to appeal to the audience in this argument for and against national park designation?</t>
  </si>
  <si>
    <t>CCSS.W.11-12.1; CCSS.W.11-12.4; CCSS.W.11-12.10; CCSS.W.11-12.5; CCSS.W.11-12.9</t>
  </si>
  <si>
    <t>What Differences Can National Parks Make?1</t>
  </si>
  <si>
    <t>Essential Writing Prompt – Argumentative: As the author selects and arranges evidence, how does he build a case in favor of the modern preservation of our national parks? Is the evidence sufficient for his position?</t>
  </si>
  <si>
    <t>CCSS.W.11-12.1; CCSS.W.11-12.10; CCSS.W.11-12.4; CCSS.W.11-12.9; CCSS.W.11-12.5; CCSS.W.11-12.9.b</t>
  </si>
  <si>
    <t>What Differences Can National Parks Make?2</t>
  </si>
  <si>
    <t>Reasoning</t>
  </si>
  <si>
    <t>Complementary Writing Prompt – Argumentative: Trace and evaluate the author’s claim and evidence, including text features, to evaluate whether this information does or does not support the author’s argument.</t>
  </si>
  <si>
    <t>CCSS.W.11-12.1; CCSS.W.11-12.10; CCSS.W.11-12.4; CCSS.W.11-12.5; CCSS.W.11-12.9; CCSS.W.11-12.9.b</t>
  </si>
  <si>
    <t>What Differences Can National Parks Make?3</t>
  </si>
  <si>
    <t>Module 4: 
Show and Tell: Linking Claims and Reasoning</t>
  </si>
  <si>
    <t>Transitions and Linking Words
Counterarguments</t>
  </si>
  <si>
    <t>Writing Process: Quick Journal, Connect, Analyze, Develop, Draft, Review
Share Your Best Writiing Sample</t>
  </si>
  <si>
    <t>Complementary Writing Prompt – Argumentative: Trace the issues that seem to be at stake for readers on both sides of the debate around maintaining our national parks. According to the evidence provided, how does the author appeal to the audience’s values in presenting the argument?</t>
  </si>
  <si>
    <t>CCSS.W.11-12.1; CCSS.W.11-12.10; CCSS.W.11-12.4; CCSS.W.11-12.5; CCSS.W.11-12.9.b; CCSS.W.11-12.9</t>
  </si>
  <si>
    <t>What Differences Can National Parks Make?4</t>
  </si>
  <si>
    <t>Grade 11, Unit 2, Module 5</t>
  </si>
  <si>
    <t>CCSS.W.11-12.10; CCSS.W.11-12.4; CCSS.W.11-12.6; CCSS.W.11-12.8; CCSS.W.11-12.5; CCSS.W.11-12.9.b; CCSS.W.11-12.1; CCSS.W.11-12.7; CCSS.W.11-12.9; CCSS.W.11-12.9.a</t>
  </si>
  <si>
    <t>What Differences Can National Parks Make?5</t>
  </si>
  <si>
    <t>Grade 11, Unit 2, Module 6</t>
  </si>
  <si>
    <t>What Differences Can National Parks Make?6</t>
  </si>
  <si>
    <t>Grade 11, Unit 2, Module 7</t>
  </si>
  <si>
    <t xml:space="preserve">Writing the Argumentative Essay
Conclusions in Arguments
</t>
  </si>
  <si>
    <t>Writing Process: Connect, Develop, Draft, Review, Reflect
Score the Example: “The Preservation of Our National Parks” by Natalie Marroquin
Practice Feedback: “The Preservation of Our National Parks” by Natalie Marroquin
Choose Your Argument
Map Your Argument
Make It Powerful: Words to Appeal
Share Your Argument
Edit the Draft Together: Peer Edit 
Reflect on Your Writing</t>
  </si>
  <si>
    <t>Essential Writing Prompt – Argumentative: Based on your readings, what are the most pressing issues for communities regarding the designation and maintenance of national parks?</t>
  </si>
  <si>
    <t>CCSS.W.11-12.10; CCSS.W.11-12.1; CCSS.W.11-12.4; CCSS.W.11-12.5; CCSS.W.11-12.9; CCSS.W.11-12.9.b; CCSS.W.11-12.3; CCSS.W.11-12.1.C; CCSS.W.11-12.9.A; CCSS.W.11-12.9.B; CCSS.W.11-12.1.D; CCSS.W.11-12.1.E</t>
  </si>
  <si>
    <t>What Differences Can National Parks Make?7</t>
  </si>
  <si>
    <t>Grade 11 Unit 3</t>
  </si>
  <si>
    <t>Grade 11, Unit 3, Module 0</t>
  </si>
  <si>
    <t>Module 0: 
Show and Tell: Multiple, Parallel Plots, and Subplots</t>
  </si>
  <si>
    <t>CCSS.W.11-12.10; CCSS.W.11-12.4; CCSS.W.11-12.5; CCSS.W.11-12.9</t>
  </si>
  <si>
    <t>How Do Our Choices Define Us?0</t>
  </si>
  <si>
    <t>Module 1: 
Show and Tell: Creating Meaningful Settings</t>
  </si>
  <si>
    <t>Dialogue in Narrative Writing</t>
  </si>
  <si>
    <t>Complementary Writing Prompt – Argumentative: Analyze how Chekhov uses the journeys of the two main characters to explore the concept of freedom. Who do you think is worse off by the end of the story, the banker or the lawyer?</t>
  </si>
  <si>
    <t>CCSS.W.11-12.3; CCSS.W.11-12.1; CCSS.W.11-12.4; CCSS.W.11-12.10; CCSS.W.11-12.5; CCSS.W.11-12.9</t>
  </si>
  <si>
    <t>How Do Our Choices Define Us?1</t>
  </si>
  <si>
    <t>Module 2: 
Show and Tell:  Dialogue to Advance the Plot</t>
  </si>
  <si>
    <t>Complementary Writing Prompt – Argumentative: Analyze how James Joyce develops Eveline’s character and her struggle for freedom throughout the story. Did Eveline make the right decision at the end of the story?</t>
  </si>
  <si>
    <t>CCSS.W.11-12.3; CCSS.W.11-12.4; CCSS.W.11-12.10; CCSS.W.11-12.5; CCSS.W.11-12.9; CCSS.W.11-12.1</t>
  </si>
  <si>
    <t>How Do Our Choices Define Us?2</t>
  </si>
  <si>
    <t>Module 3:
Show and Tell: Irony of Double Meanings</t>
  </si>
  <si>
    <t>Irony and Suspense in Narrative Writing
Transitions and Linking Words in Narrative Writing</t>
  </si>
  <si>
    <t>Complementary Writing Prompt – Narrative: Read the excerpt from “Anyone Can Do It” by Manuel Muñoz. Reflect on the character of Delfina and her situation as described in the text. Now, imagine a pivotal moment for Delfina that alters her perspective or circumstances profoundly. Write a narrative paragraph that delves into the moments leading up to, during, and after this significant event. Ensure your narrative vividly portrays Delfina’s emotions, thoughts, and actions as she navigates through this critical turning point in her life. Be sure to include transitional words and phrases to guide the reader through the sequence of events and changes in Delfina’s journey.</t>
  </si>
  <si>
    <t>Complementary Writing Prompt – Argumentative How do Lis’s actions change Delfina’s perspective on
the roles she plays within her family?</t>
  </si>
  <si>
    <t>How Do Our Choices Define Us?3</t>
  </si>
  <si>
    <t>Module 4:
Show and Tell: POV and Perspective</t>
  </si>
  <si>
    <t>Complementary Writing Prompt – Narrative: Imagine yourself grappling with a decision inspired by Thoreau’s essay “Where I Lived, and What I Lived For.” Write an abbreviated narrative that follows a clear narrative arc inspired by Thoreau’s pursuit of simplicity. Start with your protagonist’s decision to retreat to nature, exploring how this choice evolves over time. Develop the plot to depict challenges faced, inner growth experienced, and reflections on the contrast between modern and natural living. Begin your abbreviated narrative with the following opening: “Standing at the edge of the woods, I felt drawn to the tranquility of solitude and simplicity, prompting my decision to escape the complexities of modern life and embark on a new journey.”</t>
  </si>
  <si>
    <t>Complementary Writing Prompt – Informative: Using specific evidence from the text, what can readers infer about Thoreau’s views on society and human independence from this essay? Consider what views Thoreau explicitly states versus those that he implies in your response.</t>
  </si>
  <si>
    <t>CCSS.W.11-12.1; CCSS.W.11-12.4; CCSS.W.11-12.10; CCSS.W.11-12.5; CCSS.W.11-12.9.a; CCSS.W.11-12.9</t>
  </si>
  <si>
    <t>How Do Our Choices Define Us?4</t>
  </si>
  <si>
    <t>Grade 11, Unit 3, Module 5</t>
  </si>
  <si>
    <t>Module 5:
Show and Tell: Researching Conflict within Cultures</t>
  </si>
  <si>
    <t>CCSS.W.11-12.4; CCSS.W.11-12.6; CCSS.W.11-12.8; CCSS.W.11-12.10; CCSS.W.11-12.7</t>
  </si>
  <si>
    <t>How Do Our Choices Define Us?5</t>
  </si>
  <si>
    <t>Grade 11, Unit 3, Module 6</t>
  </si>
  <si>
    <t>Module 6:
Show and Tell: Research</t>
  </si>
  <si>
    <t>CCSS.W.11-12.1; CCSS.W.11-12.3; CCSS.W.11-12.3(d); CCSS.W.11-12.7; CCSS.W.11-12.9</t>
  </si>
  <si>
    <t>How Do Our Choices Define Us?6</t>
  </si>
  <si>
    <t>Grade 11, Unit 3, Module 7</t>
  </si>
  <si>
    <t>Writing Process: Connect, Develop, Draft, Review, Reflect
Score the Example: “Conflicts vs. Debate” by Abigail Rosas
Practice Feedback: “Conflicts vs. Debate” by Abigail Rosas
Choose Your Idea
Map Your Short Story
Plot Your Story: Plotting Your Narrative Arc
Show, Don't Tell: Descriptive Language
Share Your Short Story: Peer Editing
Edit the Draft Together: Give and Get Feedback
Reflect on Your Writing</t>
  </si>
  <si>
    <t>Essential Writing Prompt – Narrative: Think about the factors that shape conflict. Write a short story that explores the prevention or resolution of a conflict.</t>
  </si>
  <si>
    <t>CCSS.W.11-12.3.d; CCSS.W.11-12.3; CCSS.W.11-12.4; CCSS.W.11-12.5; CCSS.W.11-12.9; CCSS.W.11-12.10; CCSS.W.11-12.3.B; CCSS.W.11-12.3.C; CCSS.W.11-12.3.E</t>
  </si>
  <si>
    <t>How Do Our Choices Define Us?7</t>
  </si>
  <si>
    <t>Grade 11, Unit 4, Module 0</t>
  </si>
  <si>
    <t>Module 0: Show and Tell: Personal Goal Setting</t>
  </si>
  <si>
    <t>CCSS.W.11-12.7; CCSS.W.11-12.10; CCSS.W.11-12.4; CCSS.W.11-12.5; CCSS.W.11-12.6; CCSS.W.11-12.9</t>
  </si>
  <si>
    <t>Where Is the Water?0</t>
  </si>
  <si>
    <t>Module 1: Show and Tell: Cognates</t>
  </si>
  <si>
    <t>Essential Writing Prompt – Informative: How do the authors explain water shortages as a global challenge?</t>
  </si>
  <si>
    <t>CCSS.W.11-12.2; CCSS.W.11-12.4; CCSS.W.11-12.10; CCSS.W.11-12.5; CCSS.W.11-12.9</t>
  </si>
  <si>
    <t>Where Is the Water?1</t>
  </si>
  <si>
    <t>Module 2: Show and Tell: Researching Similarities</t>
  </si>
  <si>
    <t xml:space="preserve">Writing Process: Quick Journal, Connect, Analyze, Develop, Draft, Review
Sharpen Your Sentences: Integrate Quotations Efectively
</t>
  </si>
  <si>
    <t>Complementary Writing Prompt – Informative: How does the author use data, maps and text to explain the challenge of water shortages around the world?</t>
  </si>
  <si>
    <t>Where Is the Water?2</t>
  </si>
  <si>
    <t>Module 3: Show and Tell: Research to Introduce Opposing Ideas</t>
  </si>
  <si>
    <t>Complementary Writing Prompt – Informative: For what purpose does the author juxtapose the ways in which floods and droughts have been documented throughout history?</t>
  </si>
  <si>
    <t>Where Is the Water?3</t>
  </si>
  <si>
    <t>Module 4: Show and Tell: Research the Issue</t>
  </si>
  <si>
    <t>Complementary Writing Prompt – Informative: How does the author summarize the challenge of the Colorado Basin compact through key ideas in the article?</t>
  </si>
  <si>
    <t>CCSS.W.11-12.2; CCSS.W.11-12.4; CCSS.W.11-12.10; CCSS.W.11-12.5; CCSS.W.11-12.9.b; CCSS.W.11-12.9</t>
  </si>
  <si>
    <t>Where Is the Water?4</t>
  </si>
  <si>
    <t>Grade 11, Unit 4, Module 5</t>
  </si>
  <si>
    <t>Module 5: Show and Tell: Researching for Credibility</t>
  </si>
  <si>
    <t xml:space="preserve">Quick Journal
Evaluate Informational Texts: “Sustainable Earth: Water” and 
“Mexico City: Thirsty and Sinking”
</t>
  </si>
  <si>
    <t>CCSS.W.11-12.4; CCSS.W.11-12.6; CCSS.W.11-12.8; CCSS.W.11-12.10; CCSS.W.11-12.9.b; CCSS.W.11-12.7; CCSS.W.11-12.9</t>
  </si>
  <si>
    <t>Where Is the Water?5</t>
  </si>
  <si>
    <t>Grade 11, Unit 4, Module 6</t>
  </si>
  <si>
    <t>Module 6: Show and Tell: Researching and Paraphrasing</t>
  </si>
  <si>
    <t>CCSS.W.11-12.7; CCSS.W.11-12.8; CCSS.W.11-12.9.b</t>
  </si>
  <si>
    <t>Where Is the Water?6</t>
  </si>
  <si>
    <t>Grade 11, Unit 4, Module 7</t>
  </si>
  <si>
    <t>Module 7: Show and Tell: Researching to Collaborate</t>
  </si>
  <si>
    <t>CCSS.W.11-12.1; CCSS.W.11-12.2; CCSS.W.11-12.3; CCSS.W.11-12.2(d); CCSS.W.11-12.7; CCSS.W.11-12.9</t>
  </si>
  <si>
    <t>Where Is the Water?7</t>
  </si>
  <si>
    <t>Grade 11, Unit 4, Module 8</t>
  </si>
  <si>
    <t>Module 8: Show and Tell: Student Scoring; Researching for Supporting Evidence</t>
  </si>
  <si>
    <t xml:space="preserve">Writing Process: Connect, Develop, Draft, Review, Reflect
Score the Example: “Water’s Crucial Role in Humanity” by Paige Cornell
Practice Feedback: “Water’s Crucial Role in Humanity” by Paige Cornell
Collect Your Research
Map Your Research Paper
Write It and Cite It
Share Your Research Paper: Peer Editing
Edit the Draft Together: Give and Get Feedback
Reflect on Your Writing
</t>
  </si>
  <si>
    <t>Essential Writing Promp – Informative: Based on the readings and other research, what role does water play in creating a sustainable planet?</t>
  </si>
  <si>
    <t>CCSS.W.11-12.7; CCSS.W.11-12.4; CCSS.W.11-12.5; CCSS.W.11-12.6; CCSS.W.11-12.9; CCSS.W.11-12.10; CCSS.W.11-12.2; CCSS.W.11-12.8; CCSS.W.11-12.9.A; CCSS.W.11-12.9.B; CCSS.W.11-12.2.B; CCSS.W.11-12.2.C; CCSS.W.11-12.2.D; CCSS.W.11-12.2.E; CCSS.W.11-12.2.F</t>
  </si>
  <si>
    <t>Where Is the Water?8</t>
  </si>
  <si>
    <t>Grade 11 Unit 5</t>
  </si>
  <si>
    <t>Grade 11, Unit 5, Module 0</t>
  </si>
  <si>
    <t>Module 0: 
N/A</t>
  </si>
  <si>
    <t>CCSS.W.11-12.2; CCSS.W.11-12.10; CCSS.W.11-12.4; CCSS.W.11-12.5; CCSS.W.11-12.9</t>
  </si>
  <si>
    <t>How Does Power Corrupt?0</t>
  </si>
  <si>
    <t>Module 1: 
Show and Tell: Cause and Effect Chain; Words that Develop Conflict</t>
  </si>
  <si>
    <t>Complementary Writing Prompt – Informative: Incorporate your understanding of syntax to analyze Macbeth’s character in Act I of William Shakespeare’s play, “Macbeth.” Begin by writing a paragraph that describes Macbeth’s perceived values at the outset of the play. Utilize specific lines of dialogue to support your description. Pay particular attention to how Shakespeare’s syntax—sentence structure and word choice—conveys Macbeth’s thoughts and feelings.</t>
  </si>
  <si>
    <t>Complementary Writing Prompt – Argumentative: Compare and contrast your impressions of Macbeth’s values and morals at the beginning of the Act versus the end. How do Macbeth’s choices and actions throughout the act demonstrate the conflicted nature of his motivations?</t>
  </si>
  <si>
    <t>CCSS.W.11-12.1; CCSS.W.11-12.4; CCSS.W.11-12.10; CCSS.W.11-12.5; CCSS.W.11-12.2; CCSS.W.11-12.9</t>
  </si>
  <si>
    <t>How Does Power Corrupt?1</t>
  </si>
  <si>
    <t>Module 2: 
Show and Tell: Choice of Details</t>
  </si>
  <si>
    <t>Complementary Writing Prompt – Informative: Write an introductory paragraph for an informative essay summarizing the major plot points of “Macbeth” up to Act II by William Shakespeare. Begin by outlining the key events and developments in the play, emphasizing the motivations and actions of Macbeth and Lady Macbeth. Your introduction should effectively set the stage, highlighting the pivotal decisions made by these characters and the consequences that unfold as a result.</t>
  </si>
  <si>
    <t>Complementary Writing Prompt – Argumentative: How does Shakespeare use images, words, and symbolism in the aftermath of the murder to build suspense? What impact do these choices have on Macbeth’s tone in Act II?</t>
  </si>
  <si>
    <t>CCSS.W.11-12.1; CCSS.W.11-12.4; CCSS.W.11-12.10; CCSS.W.11-12.5; CCSS.W.11-12.9; CCSS.W.11-12.2</t>
  </si>
  <si>
    <t>How Does Power Corrupt?2</t>
  </si>
  <si>
    <t>Module 3:
Show and Tell: Direct and Indirect Characterization</t>
  </si>
  <si>
    <t>Complementary Writing Prompt – Informative: Write a paragraph explaining the sequence of events that have led Macbeth to make the choices he has so far in the play, incorporating details from Act III by William Shakespeare. Use appropriate writing transitions to enhance the logical sequence of events, illustrating how each decision shapes Macbeth’s character and influences the unfolding storyline.</t>
  </si>
  <si>
    <t>Complementary Writing Prompt – Argumentative: Trace the ways in which Macbeth’s leadership style develops and shifts throughout Act III. What causes Macbeth to react and make the decisions that he does throughout the Act? What are the real and predicted consequences of these choices?</t>
  </si>
  <si>
    <t>How Does Power Corrupt?3</t>
  </si>
  <si>
    <t>Module 4:
Show and Tell: Moving from Linear Plotlines to Flash-forwards</t>
  </si>
  <si>
    <t>Essential Writing Prompt – Informative: How does Shakespeare use dramatic action to raise the stakes of the conflict between Macbeth and Macduff in Act IV?</t>
  </si>
  <si>
    <t>Complementary Writing Prompt – Informative: Write a paragraph describing specific moments and lines of dialogue from Act IV of William Shakespeare’s “Macbeth” that demonstrate how the conflict between Macbeth and Macduff is intensifying. Expand your analysis by exploring how Shakespeare uses dramatic action and dialogue to deepen this pivotal conflict, highlighting the implications for the characters and the overall plot development.</t>
  </si>
  <si>
    <t>How Does Power Corrupt?4</t>
  </si>
  <si>
    <t>Module 5:
Show and Tell: Symbols and Images</t>
  </si>
  <si>
    <t>Complementary Writing Prompt – Informative: Write a paragraph explaining how Shakespeare chose to conclude the play by incorporating details from Act V by William Shakespeare.</t>
  </si>
  <si>
    <t>Complementary Writing Prompt – Argumentative: Analyze the journey of either Macbeth or Lady Macbeth throughout the play. What themes and lessons can be gleaned from their final fates, and how does Shakespeare develop these themes throughout the play?</t>
  </si>
  <si>
    <t>CCSS.W.11-12.1; CCSS.W.11-12.4; CCSS.W.11-12.10; CCSS.W.11-12.5; CCSS.W.11-12.9.a; CCSS.W.11-12.9; CCSS.W.11-12.2</t>
  </si>
  <si>
    <t>How Does Power Corrupt?5</t>
  </si>
  <si>
    <t>Grade 11, Unit 5, Module 6</t>
  </si>
  <si>
    <t>Module 6:
Show and Tell: Research to Extend Learning</t>
  </si>
  <si>
    <t>CCSS.W.11-12.4; CCSS.W.11-12.6; CCSS.W.11-12.8; CCSS.W.11-12.10; CCSS.W.11-12.9.a; CCSS.W.11-12.7; CCSS.W.11-12.9; CCSS.W.11-12.9.b</t>
  </si>
  <si>
    <t>How Does Power Corrupt?6</t>
  </si>
  <si>
    <t>Grade 11, Unit 5, Module 7</t>
  </si>
  <si>
    <t>Module 7:
Show and Tell: Research</t>
  </si>
  <si>
    <t>How Does Power Corrupt?7</t>
  </si>
  <si>
    <t>Grade 11, Unit 5, Module 8</t>
  </si>
  <si>
    <t>Module 8:
Show and Tell: Conclusions; Student Exemplar Scoring</t>
  </si>
  <si>
    <t>Writing Process: Connect, Develop, Draft, Review, Reflect
Score the Example: "Lethal Ambition: How the Pressure for Success Induced Lord Macbeth’s Downfall” by Olivia Nach
Practice Feedback: "Lethal Ambition: How the Pressure for Success Induced Lord Macbeth’s Downfall” by Olivia Nach
Choose Your Focus
Map Your Cause-and-Effect Essay
Make It Flow: Transition Words
Share Your Essay: Peer Editing
Edit the Draft Together: Give and Get Feedback
Reflect on Your Writing</t>
  </si>
  <si>
    <t>Essential Writing Prompt – Informative: Choose either Macbeth or Lady Macbeth. Trace the sequence of events that ultimately lead to the character’s downfalls. How did these events shape their tragic ends to come?</t>
  </si>
  <si>
    <t>CCSS.W.11-12.2; CCSS.W.11-12.4; CCSS.W.11-12.5; CCSS.W.11-12.9; CCSS.W.11-12.10; CCSS.W.11-12.3.a; CCSS.W.11-12.3.d; CCSS.W.11-12.9.A; CCSS.W.11-12.9.B; CCSS.W.11-12.2.B; CCSS.W.11-12.2.C; CCSS.W.11-12.2.D; CCSS.W.11-12.2.E; CCSS.W.11-12.2.F</t>
  </si>
  <si>
    <t>How Does Power Corrupt?8</t>
  </si>
  <si>
    <t>Grade 11 Unit 6</t>
  </si>
  <si>
    <t>Grade 11, Unit 6, Module 0</t>
  </si>
  <si>
    <t>The Purpose of Personal Statement Writing
Using Time as a Storytelling Tool</t>
  </si>
  <si>
    <t>CCSS.W.11-12.4; CCSS.W.11-12.10; CCSS.W.11-12.3; CCSS.W.11-12.5; CCSS.W.11-12.7; CCSS.W.11-12.9</t>
  </si>
  <si>
    <t>What Is Your Path?0</t>
  </si>
  <si>
    <t xml:space="preserve">Writing Process: Quick Journal, Connect, Read, Check, Analyze, Summarize, Develop, Draft, Review
</t>
  </si>
  <si>
    <t>Essential Writing Prompt – Argumentative:  What are the most powerful examples and anecdotes that Lin-Manuel Miranda uses throughout his speech to develop his message about the power of stories?</t>
  </si>
  <si>
    <t>CCSS.W.11-12.1; CCSS.W.11-12.2; CCSS.W.11-12.4; CCSS.W.11-12.10; CCSS.W.11-12.5; CCSS.W.11-12.9</t>
  </si>
  <si>
    <t>What Is Your Path?1</t>
  </si>
  <si>
    <t>Module 2: 
Show and Tell: Using Time as a Storytelling Technique</t>
  </si>
  <si>
    <t>Essential Writing Prompt – Informative: How does the author arrange information in the text to explain the essentials of choosing a major?</t>
  </si>
  <si>
    <t>What Is Your Path?2</t>
  </si>
  <si>
    <t>Complementary Writing Prompt – Argumentative: According to the author, what are the most impactful ways in which students should use words and imagery in their college essays?</t>
  </si>
  <si>
    <t>Complementary Writing Prompt – Informative Based on insights from Pamela Reynolds’ article “Twelve Strategies for Writing the Perfect College Essay,” students will conduct advanced research into a topic related to their higher
education choices. Using the research toolkit, explore aspects such as college admissions, application strategies, or tips for crafting compelling personal statements. Summarize your findings in a brief piece, citing credible sources to support your learnings. Focus on how this information can inform your own college application process and enhance your understanding of effective strategies for presenting yourself in written form.</t>
  </si>
  <si>
    <t>What Is Your Path?3</t>
  </si>
  <si>
    <t>Complementary Writing Prompt – Informative: What is the purpose of this article and how do the authors develop that purpose throughout the text?</t>
  </si>
  <si>
    <t>What Is Your Path?4</t>
  </si>
  <si>
    <t>Grade 11, Unit 6, Module 5</t>
  </si>
  <si>
    <t>Module 5: Show and Tell: Quick Research</t>
  </si>
  <si>
    <t>CCSS.W.11-12.4; CCSS.W.11-12.6; CCSS.W.11-12.8; CCSS.W.11-12.10; CCSS.W.11-12.9; CCSS.W.11-12.7</t>
  </si>
  <si>
    <t>What Is Your Path?5</t>
  </si>
  <si>
    <t>Grade 11, Unit 6, Module 6</t>
  </si>
  <si>
    <t>What Is Your Path?6</t>
  </si>
  <si>
    <t>Grade 11, Unit 6, Module 7</t>
  </si>
  <si>
    <t>Module 7:
Show and Tell: Personal Statement; Student Exemplar Scoring</t>
  </si>
  <si>
    <t xml:space="preserve">Writing the Personal Statement
</t>
  </si>
  <si>
    <t>Writing Process: Connect, Develop, Draft, Review, Reflect
Score the Example: "Change Isn’t Risky, Being Stagnant Is"
by Chloe Karr
Practice Feedback:  "Change Isn’t Risky, Being Stagnant Is"
by Chloe Karr
Plan Your Future
Map Your Plan
Use Examples and Anecdotes
Share Your Personal Statement: Peer Editing
Edit the Draft Together: Give and Get Feedback
Reflect on Your Writing</t>
  </si>
  <si>
    <t>Essential Writing Prompt – Narrative: Discuss an accomplishment, event, or realization that sparked a period of growth and a new understanding of yourself or others</t>
  </si>
  <si>
    <t>CCSS.W.11-12.5; CCSS.W.11-12.3; CCSS.W.11-12.2; CCSS.W.11-12.4; CCSS.W.11-12.7; CCSS.W.11-12.9; CCSS.W.11-12.10; CCSS.W.11-12.3.B; CCSS.W.11-12.3.C; CCSS.W.11-12.3.E</t>
  </si>
  <si>
    <t>What Is Your Path?7</t>
  </si>
  <si>
    <t>Grade 11 Unit 7</t>
  </si>
  <si>
    <t>Grade 11, Unit 7, Module 0</t>
  </si>
  <si>
    <t xml:space="preserve">Module 0: 
Show and Tell: Layered Symbolism </t>
  </si>
  <si>
    <t>The Purpose of Literary Analysis Writing
Types of Narrative Writing</t>
  </si>
  <si>
    <t>CCSS.W.11-12.4; CCSS.W.11-12.10; CCSS.W.11-12.1; CCSS.W.11-12.5; CCSS.W.11-12.7; CCSS.W.11-12.9; CCSS.W.11-12.9.a</t>
  </si>
  <si>
    <t>What Is the Spirit of the People of the United States of America?0</t>
  </si>
  <si>
    <t>Module 1: 
Show and Tell: Rhetorical Situation</t>
  </si>
  <si>
    <t>Essential Writing Prompt – Argumentative: Trace and evaluate the components of the rhetorical situations presented in the Declaration of Independence. In what ways do the authors’ words and phrases reveal and reflect these components that shaped their rhetorical situations in this seminal document?</t>
  </si>
  <si>
    <t>What Is the Spirit of the People of the United States of America?1</t>
  </si>
  <si>
    <t>Module 2: 
Show and Tell: Analyze Introductions</t>
  </si>
  <si>
    <t>Writing an Analysis of a Rhetorical Situation</t>
  </si>
  <si>
    <t>Writing Process: Quick Journal, Connect, Analyze, Develop, Draft, Review
Apply Your Learning: Writing an Analysis of a Rhetorical Situation</t>
  </si>
  <si>
    <t>Complementary Writing Prompt – Argumentative: What are the key components of the rhetorical situations within the first few paragraphs of the Constitution and the letters from Moses Seixas and Abigail Adams? What reasons and evidence support the authors’ arguments?</t>
  </si>
  <si>
    <t>What Is the Spirit of the People of the United States of America?2</t>
  </si>
  <si>
    <t>Module 3:
Show and Tell: Writing Style</t>
  </si>
  <si>
    <t>Writing Process: Quick Journal, Connect, Analyze, Develop, Draft, Review
Sharpen Your Sentences: Connotation and Denotation</t>
  </si>
  <si>
    <t>Complementary Writing Prompt – Argumentative: In the passages, which component of the rhetorical situation informs the strategic stylistic choices that the writers make in their arguments?</t>
  </si>
  <si>
    <t>What Is the Spirit of the People of the United States of America?3</t>
  </si>
  <si>
    <t>Module 4:
Show and Tell: Repetition for Effect</t>
  </si>
  <si>
    <t>Complementary Writing Prompt – Argumentative: Consider how different components of a rhetorical situation can influence or shape other components. In the three speeches, How does Lincoln’s understanding of his audience’s beliefs, needs, and values impact another component of a rhetorical situation, and what language choices did he use to illustrate that impact?</t>
  </si>
  <si>
    <t>What Is the Spirit of the People of the United States of America?4</t>
  </si>
  <si>
    <t>Grade 11, Unit 7, Module 5</t>
  </si>
  <si>
    <t>Module 5:
Show and Tell: Researching Additional Sources</t>
  </si>
  <si>
    <t>What Is the Spirit of the People of the United States of America?5</t>
  </si>
  <si>
    <t>Grade 11, Unit 7, Module 6</t>
  </si>
  <si>
    <t>What Is the Spirit of the People of the United States of America?6</t>
  </si>
  <si>
    <t>Grade 11, Unit 7, Module 7</t>
  </si>
  <si>
    <t>Module 7:
Show and Tell: Student Scoring; Logical Fallicies</t>
  </si>
  <si>
    <t xml:space="preserve">Writing the Literary Analysis
</t>
  </si>
  <si>
    <t xml:space="preserve">Writing Process: Connect, Analyze, Develop, Draft, Review
Score the Example: "A Spirit Emboldened" by Olivia Nach
Practice Feedback: "A Spirit Emboldened" by Olivia Nach
Choose Your Texts for Comparision
Compare Similarities
Analyze Differences
Finalize Your Analysis
Develop and Share Your Claim
Organize Your Essay
Use Transition Sentences
Share Your Analysis: Peer Editing
Edit the Draft Together: Give and Get Feedback
Reflect on Your Writing </t>
  </si>
  <si>
    <t>Essential Writing Prompt – Argumentative: How do two former presidents, Barack Obama (2008 Election Night) and George Bush (Flight 93 Memorial Ceremony in 2021) both evoke and re-envision the spirit of the people as characterized in previous speeches in American History?</t>
  </si>
  <si>
    <t>CCSS.W.11-12.9; CCSS.W.11-12.4; CCSS.W.11-12.5; CCSS.W.11-12.7; CCSS.W.11-12.9.a; CCSS.W.11-12.10; CCSS.W.11-12.1; CCSS.W.11-12.3; CCSS.W.11-12.1.C; CCSS.W.11-12.9.A; CCSS.W.11-12.9.B; CCSS.W.11-12.1.D; CCSS.W.11-12.1.E</t>
  </si>
  <si>
    <t>What Is the Spirit of the People of the United States of America?7</t>
  </si>
  <si>
    <t>Grade 12 Unit 1</t>
  </si>
  <si>
    <t>Grade 12, Unit 1, Module 0</t>
  </si>
  <si>
    <t>Module 0: 
Show and Tell: Personal Narrative</t>
  </si>
  <si>
    <t xml:space="preserve">An Introduction: What Is CERCA?
Claims
Supporting Claims with Evidence 
The Purpose of Personal Narrative Writing 
</t>
  </si>
  <si>
    <t>CCSS.W.11-12.10; CCSS.W.11-12.5; CCSS.W.11-12.1; CCSS.W.11-12.3</t>
  </si>
  <si>
    <t>Where Are You Going Next?0</t>
  </si>
  <si>
    <t>Complementary Writing Prompt – Argumentative: Using evidence from the text, which do you see having a greater influence on the narrator’s identity: his sense of self, societal expectations, duty, or an understanding stranger?</t>
  </si>
  <si>
    <t>CCSS.W.11-12.1; CCSS.W.11-12.10; CCSS.W.11-12.4; CCSS.W.11-12.5; CCSS.W.11-12.9</t>
  </si>
  <si>
    <t>Where Are You Going Next?1</t>
  </si>
  <si>
    <t>Module 2: 
Show and Tell: Crafting Author's Messages</t>
  </si>
  <si>
    <t>Complementary Writing Prompt – Argumentative: Using specific evidence from the text, what are the most important themes and messages conveyed through the narrator’s experiences surrounding the party?</t>
  </si>
  <si>
    <t>CCSS.W.11-12.1; CCSS.W.11-12.10; CCSS.W.11-12.4; CCSS.W.11-12.5; CCSS.W.11-12.9; CCSS.W.11-12.3</t>
  </si>
  <si>
    <t>Where Are You Going Next?2</t>
  </si>
  <si>
    <t xml:space="preserve">Module 3:
Show and Tell: Writing Arguments </t>
  </si>
  <si>
    <t>Complementary Writing Prompt – Narrative: Read Hasan Minhaj’s narrative “Prom” where he describes his feelings and experiences around his high school prom. Reflect on the imagery and mood created through his descriptions of places and emotions. Now, write a descriptive paragraph that vividly describes the atmosphere of the school gymnasium on prom night. Capture the sights, sounds, and sensations that Minhaj might have felt as he entered this space, use your own sensory details with those noted in the text. Use descriptive languag</t>
  </si>
  <si>
    <t>Complementary Writing Prompt – Informative: How does Hasan Minhaj use imagery to emphasize the lessons he learned about bias, fear, and acceptance through his experiences before and after the prom?</t>
  </si>
  <si>
    <t>CCSS.W.11-12.2; CCSS.W.11-12.10; CCSS.W.11-12.4; CCSS.W.11-12.5; CCSS.W.11-12.3; CCSS.W.11-12.9</t>
  </si>
  <si>
    <t>Where Are You Going Next?3</t>
  </si>
  <si>
    <t>Module 4: 
Show and Tell: Author's Inference</t>
  </si>
  <si>
    <t>Complementary Prompt – Narrative: Imagine yourself grappling with a decision inspired by Thoreau’s essay “Where I Lived, and What I Lived For.” Write an abbreviated narrative that follows a clear narrative arc inspired by Thoreau’s pursuit of simplicity. Start with your protagonist’s decision to retreat to nature, exploring how this choice evolves over time. Develop the plot to depict challenges faced, inner growth experienced, and reflections on the contrast between modern and natural living Begin your abbreviated narrative with the following opening: “Standing at the edge of the woods, I felt drawn to the tranquility of solitude and simplicity, prompting my decision to escape the complexities of modern life and embark on a new journey.”</t>
  </si>
  <si>
    <t xml:space="preserve">Complementary Prompt – Informative: Using specific evidence from the text, what can readers infer about Thoreau’s views on society and human independence from this essay? Consider what views Thoreau explicitly states versus those that he implies in your response.
</t>
  </si>
  <si>
    <t>CCSS.W.11-12.2; CCSS.W.11-12.10; CCSS.W.11-12.4; CCSS.W.11-12.5; CCSS.W.11-12.9.a; CCSS.W.11-12.9; CCSS.W.11-12.3</t>
  </si>
  <si>
    <t>Where Are You Going Next?4</t>
  </si>
  <si>
    <t>Grade 12, Unit 1, Module 5</t>
  </si>
  <si>
    <t>Module 5: 
Show and Tell: Evaluate Research; Research Project</t>
  </si>
  <si>
    <t>CCSS.W.11-12.10; CCSS.W.11-12.4; CCSS.W.11-12.6; CCSS.W.11-12.8; CCSS.W.11-12.7; CCSS.W.11-12.9; CCSS.W.11-12.9.a; CCSS.W.11-12.9.b</t>
  </si>
  <si>
    <t>Where Are You Going Next?5</t>
  </si>
  <si>
    <t>Grade 12, Unit 1, Module 6</t>
  </si>
  <si>
    <t>Where Are You Going Next?6</t>
  </si>
  <si>
    <t>Grade 12, Unit 1, Module 7</t>
  </si>
  <si>
    <t xml:space="preserve">Writing Process: Connect, Analyze, Develop, Draft, Review
Score the Example: “That Feeling” by Joseph Cote
Practice Feedback: “That Feeling” by Joseph Cote
Choose Your Moment
Map Your Personal Narrative
Make It Vivid: Descriptive Language
Share Your Personal Narrative: Peer Editing
Edit the Draft Together: Give and Get Feedback
Reflect on Your Writing
</t>
  </si>
  <si>
    <t>Essential Prompt – Narrative: Write about a moment in your life when you madea. decision to change something about yourself, for better or worse.</t>
  </si>
  <si>
    <t>CCSS.W.11-12.3; CCSS.W.11-12.5; CCSS.W.11-12.10; CCSS.W.11-12.4; CCSS.W.11-12.9; CCSS.W.11-12.3.d; CCSS.W.11-12.3.B; CCSS.W.11-12.3.C; CCSS.W.11-12.3.E</t>
  </si>
  <si>
    <t>Where Are You Going Next?7</t>
  </si>
  <si>
    <t>Grade 12 Unit 2</t>
  </si>
  <si>
    <t>Grade 12, Unit 2, Module 0</t>
  </si>
  <si>
    <t>CCSS.W.11-12.10; CCSS.W.11-12.1; CCSS.W.11-12.5; CCSS.W.11-12.9.b; CCSS.W.11-12.4</t>
  </si>
  <si>
    <t>How Do Robots Help Us?0</t>
  </si>
  <si>
    <t>Complementary Writing Prompt – Argumentative: Why does the author use evidence, such as details about AI and popular culture, to raise issues about the future of AI?</t>
  </si>
  <si>
    <t>How Do Robots Help Us?1</t>
  </si>
  <si>
    <t xml:space="preserve">Writing Process: Quick Journal, Connect, Analyze, Develop, Draft, Review
Appreciate the Author's Craft
Sharpen Your Sentences: Sentence Expansion in Counterclaims
</t>
  </si>
  <si>
    <t>Essential Writing Prompt – Argumentative: As the author selects and arranges evidence, how does he build a case for or against using AI in crime prevention? Does he provide sufficient evidence for his position?</t>
  </si>
  <si>
    <t>CCSS.W.11-12.10; CCSS.W.11-12.4; CCSS.W.11-12.5; CCSS.W.11-12.1; CCSS.W.11-12.9; CCSS.W.11-12.9.b</t>
  </si>
  <si>
    <t>How Do Robots Help Us?2</t>
  </si>
  <si>
    <t>Transitions and Linking Words</t>
  </si>
  <si>
    <t>Complementary Writing Prompt – Argumentative: How does the author use text features, such as the timeline, as evidence to support the arguments surrounding robotics in healthcare? What new information is highlighted that is not in the text?</t>
  </si>
  <si>
    <t>CCSS.W.11-12.10; CCSS.W.11-12.4; CCSS.W.11-12.1; CCSS.W.11-12.5; CCSS.W.11-12.9; CCSS.W.11-12.9.b</t>
  </si>
  <si>
    <t>How Do Robots Help Us?3</t>
  </si>
  <si>
    <t>Complementary Writing Prompt – Argumentative: Trace the issues that seem to be at stake for readers on both sides of the debate around AI in higher education. According to the evidence provided, how does the author appeal to the audience’s values in presenting the argument?</t>
  </si>
  <si>
    <t>CCSS.W.11-12.10; CCSS.W.11-12.4; CCSS.W.11-12.5; CCSS.W.11-12.9.b; CCSS.W.11-12.1; CCSS.W.11-12.9</t>
  </si>
  <si>
    <t>How Do Robots Help Us?4</t>
  </si>
  <si>
    <t>Grade 12, Unit 2, Module 5</t>
  </si>
  <si>
    <t>How Do Robots Help Us?5</t>
  </si>
  <si>
    <t>Grade 12, Unit 2, Module 6</t>
  </si>
  <si>
    <t>CCSS.W.11-12.1; CCSS.W.11-12..3; CCSS.W.11-12..7; CCSS.W.11-12..9</t>
  </si>
  <si>
    <t>How Do Robots Help Us?6</t>
  </si>
  <si>
    <t>Grade 12, Unit 2, Module 7</t>
  </si>
  <si>
    <t>Writing Process: Connect, Analyze, Develop, Draft, Review
Score the Example: “Designing AI for the Greater Good” by Abigail Rosas
Practice Feedback: “Designing AI for the Greater Good” by Abigail Rosas
Choose Your Argument
Map Your Argument
Make It Powerful: Words to Appeal
Share Your Argument: Peer Editing
Edit the Draft Together: Give and Get Feedback
Reflect on Your Writing</t>
  </si>
  <si>
    <t>Essential Writing Prompt – Argumentative: Based on your readings, what is the best way to design and utilize AI to help, not harm, communities?</t>
  </si>
  <si>
    <t>CCSS.W.11-12.1; CCSS.W.11-12.4; CCSS.W.11-12.5; CCSS.W.11-12.9; CCSS.W.11-12.9.b; CCSS.W.11-12.10; CCSS.W.11-12.1.a; CCSS.W.11-12.3; CCSS.W.11-12.1.b; CCSS.W.11-12.1.C; CCSS.W.11-12.9.A; CCSS.W.11-12.9.B; CCSS.W.11-12.1.D; CCSS.W.11-12.1.E</t>
  </si>
  <si>
    <t>How Do Robots Help Us?7</t>
  </si>
  <si>
    <t>Grade 12 Unit 3</t>
  </si>
  <si>
    <t>Grade 12, Unit 3, Module 0</t>
  </si>
  <si>
    <t>Module 0: 
Show and Tell: Purpose of Narrative Writing</t>
  </si>
  <si>
    <t>What Can We Do to Become Better Global Citizens?0</t>
  </si>
  <si>
    <t>Module 1: Show and Tell: Irony</t>
  </si>
  <si>
    <t>Complementary Writing Prompt – Argumentative: What is the author’s commentary about the role of silence in driving the events recounted by the narrator? What observations about human behavior does he pose to readers in this story?</t>
  </si>
  <si>
    <t>What Can We Do to Become Better Global Citizens?1</t>
  </si>
  <si>
    <t>Module 2: Show and Tell: Setting</t>
  </si>
  <si>
    <t xml:space="preserve">Setting in Narrative Writing 
Characters in Narrative Writing </t>
  </si>
  <si>
    <t xml:space="preserve">Writing Process: Quick Journal, Connect, Analyze, Develop, Draft, Review
Appreciate the Author's Craft
Sharpen Your Sentences: Use an Appositive in a Sentence
</t>
  </si>
  <si>
    <t>Complementary Writing Prompt – Argumentative: Analyze how Jasmine’s curiosity interrupts the efficiency systems put into place in her society. How does her use of the Easter egg reveal the flaws in her society’s technological solutions to its problems?</t>
  </si>
  <si>
    <t>What Can We Do to Become Better Global Citizens?2</t>
  </si>
  <si>
    <t>Module 3: Show and Tell: Dialogue to Advance the Plot</t>
  </si>
  <si>
    <t xml:space="preserve">Dialogue in Narrative Writing </t>
  </si>
  <si>
    <t>Complementary Writing Prompt – Narrative: Imagine you are a ten year old child in Ursula K. Le Guin’s “The Ones Who Walk Away from Omelas.” Think about the pivotal moment when you discovered the truth about the city’s happiness and the suffering of the child that sustains it. Write a paragraph describing how you and other young people in Omelas respond to this revelation. Write a paragraph that explores the moments before, during, and after this character-changing event. Consider how the event shapes the character’s beliefs, values, or actions. Use vivid details and emotional depth to bring this transformation to life.</t>
  </si>
  <si>
    <t>Imagine you are a young person growing up in the world of E.M. Forster’s "The Machine Stops." Think about the moment when you first realize that the Machine, which you’ve relied on for everything, might fail. Write a paragraph describing how you and others in your generation react to this revelation. Explore the moments leading up to, during, and after this discovery, focusing on how this truth shakes your beliefs and understanding of the world. Consider how the realization shapes your character’s values, fears, or decisions. Use vivid details and emotional depth to illustrate this transformative experience.</t>
  </si>
  <si>
    <t>CCSS.W.11-12.10; CCSS.W.11-12.1; CCSS.W.11-12.4; CCSS.W.11-12.5; CCSS.W.11-12.9; CCSS.W.11-12.3</t>
  </si>
  <si>
    <t>What Can We Do to Become Better Global Citizens?3</t>
  </si>
  <si>
    <t>Module 4: Show and Tell: Multiple POV</t>
  </si>
  <si>
    <t>Complementary Writing Prompt – Narrative: Using “A Brief and Fearful Star” by Carmen Maria Machado as inspiration, write a short story from the narrator’s point of view that begins with an everyday scene. As your story unfolds, introduce unexpected twists to change the reader’s perception of the characters or situation. Add subtle hints throughout to build suspense, and use irony to create a contrast between what is expected and what actually happens. Focus on the narrator’s fears and perceptions to shape the narrative and create a suspenseful tale.</t>
  </si>
  <si>
    <t>Complementary Writing Prompt – Argumentative: Analyze how the post apocalypse has impacted the narrator and their family. How does the history of the monsters contribute to their point of view? How does their mother’s death force the narrator to face their fears of leaving home and going out into the world?</t>
  </si>
  <si>
    <t>CCSS.W.11-12.1; CCSS.W.11-12.10; CCSS.W.11-12.4; CCSS.W.11-12.5; CCSS.W.11-12.9.a; CCSS.W.11-12.9; CCSS.W.11-12.3</t>
  </si>
  <si>
    <t>What Can We Do to Become Better Global Citizens?4</t>
  </si>
  <si>
    <t>Grade 12, Unit 3, Module 5</t>
  </si>
  <si>
    <t>Module 5: Show and Tell: Researching Global Connections</t>
  </si>
  <si>
    <t>CCSS.W.11-12.10; CCSS.W.11-12.4; CCSS.W.11-12.6; CCSS.W.11-12.8; CCSS.W.11-12.7; CCSS.W.11-12.9; CCSS.W.11-12.9.b</t>
  </si>
  <si>
    <t>What Can We Do to Become Better Global Citizens?5</t>
  </si>
  <si>
    <t>Grade 12, Unit 3, Module 6</t>
  </si>
  <si>
    <t>Module 6: Show and Tell: Socratic Discussions; Research Project</t>
  </si>
  <si>
    <t>What Can We Do to Become Better Global Citizens?6</t>
  </si>
  <si>
    <t>Grade 12, Unit 3, Module 7</t>
  </si>
  <si>
    <t>Module 7: Show and Tell: Endings in Narrative; Student Exemplar Scoring</t>
  </si>
  <si>
    <t>Writing Process: Quick Journal, Connect, Analyze, Develop, Draft, Review
Score the Example: “Some Shampoo Required” by Saul Bazer
Practice Feedback: “Some Shampoo Required” by Saul Bazer
Choose Your Idea
Map Your Short Story
Plot Your Story: Plotting Your Narrative Arc
Show, Don't Tell: Descriptive Language
Share Your Short Story: Peer Editing
Edit the Draft Together: Give and Get Feedback
Reflect on Your Writing</t>
  </si>
  <si>
    <t>Essential Writing Prompt – Narrative: Think about the ways in which people are affected by their relationships. Write a short story in which characters have a profound effect on the people that they know, care about, or interact with.</t>
  </si>
  <si>
    <t>CCSS.W.11-12.3; CCSS.W.11-12.4; CCSS.W.11-12.5; CCSS.W.11-12.9; CCSS.W.11-12.10; CCSS.W.11-12.3.a; CCSS.W.11-12.3.d; CCSS.W.11-12.3.B; CCSS.W.11-12.3.C; CCSS.W.11-12.3.E</t>
  </si>
  <si>
    <t>What Can We Do to Become Better Global Citizens?7</t>
  </si>
  <si>
    <t>Grade 12 Unit 4</t>
  </si>
  <si>
    <t>Grade 12, Unit 4, Module 0</t>
  </si>
  <si>
    <t>Module 0: 
Show and Tell: Researching Sustainability</t>
  </si>
  <si>
    <t>CCSS.W.11-12.10; CCSS.W.11-12.7; CCSS.W.11-12.4; CCSS.W.11-12.5; CCSS.W.11-12.6; CCSS.W.11-12.9</t>
  </si>
  <si>
    <t>How Do We Live Sustainably?0</t>
  </si>
  <si>
    <t xml:space="preserve">
Module 1: Show and Tell: Paraphrase, Summarize, and Quote</t>
  </si>
  <si>
    <t>Essential Writing Prompt – Informative: How does the author help readers understand and use the idea of a carbon footprint?</t>
  </si>
  <si>
    <t>How Do We Live Sustainably?1</t>
  </si>
  <si>
    <t>Module 2: 
Show and Tell: Researching Similarities</t>
  </si>
  <si>
    <t>Complementary Writing Prompt – Informative: How does the author use sections, bullet points, photos, and videos to help readers understand the main idea in the article?</t>
  </si>
  <si>
    <t>How Do We Live Sustainably?2</t>
  </si>
  <si>
    <t>Module 3:
Show and Tell: Researching for Counterarguments</t>
  </si>
  <si>
    <t>Writing Process: Quick Journal, Connect, Analyze,  Develop, Draft, Review</t>
  </si>
  <si>
    <t>Complementary Writing Prompt – Informative: How does the example of a sustainable community in Uruguay give purpose to this article?</t>
  </si>
  <si>
    <t>How Do We Live Sustainably?3</t>
  </si>
  <si>
    <t>Complementary Writing Prompt – Informative: How is the partnership between the University of Arizona students and the Navajo Nation creating a sustainability effort for a stronger future?</t>
  </si>
  <si>
    <t>CCSS.W.11-12.2; CCSS.W.11-12.10; CCSS.W.11-12.4; CCSS.W.11-12.5; CCSS.W.11-12.9.b; CCSS.W.11-12.9</t>
  </si>
  <si>
    <t>How Do We Live Sustainably?4</t>
  </si>
  <si>
    <t>Grade 12, Unit 4, Module 5</t>
  </si>
  <si>
    <t>Module 5:
Show and Tell: Evaluating Evidence</t>
  </si>
  <si>
    <t>Quick Journal
Evaluate Informational Texts</t>
  </si>
  <si>
    <t>CCSS.W.11-12.10; CCSS.W.11-12.4; CCSS.W.11-12.6; CCSS.W.11-12.8; CCSS.W.11-12.9.b; CCSS.W.11-12.7; CCSS.W.11-12.9</t>
  </si>
  <si>
    <t>How Do We Live Sustainably?5</t>
  </si>
  <si>
    <t>Grade 12, Unit 4, Module 6</t>
  </si>
  <si>
    <t>Module 6:
Show and Tell: Synthesizing Research</t>
  </si>
  <si>
    <t>Plan Your Research Step 1: Explore the Topic
Plan Your Research: Step 2: Find Reliable Sources
Plan Your Research: Step 3: Collect Relevant and Reliable Evidence
Plan Your Research: Step 4: Create a Thesis Statement</t>
  </si>
  <si>
    <t>How Do We Live Sustainably?6</t>
  </si>
  <si>
    <t>Grade 12, Unit 4, Module 7</t>
  </si>
  <si>
    <t>Module 7:
Show and Tell: Researching to Collaborate</t>
  </si>
  <si>
    <t>How Do We Live Sustainably?7</t>
  </si>
  <si>
    <t>Grade 12, Unit 4, Module 8</t>
  </si>
  <si>
    <t>Module 8: Show and Tell: Student Exemplar Scoring</t>
  </si>
  <si>
    <t xml:space="preserve">Writing Process: Connect, Analyze, Develop, Draft, Review
Score the Example: “Greening the Future” by Abigail Rosas
Practice Feedback: “Greening the Future” by Abigail Rosas
Collect Your Research
Map Your Research Paper
Write It and Cite It
Share Your Research Paper: Peer Editing
Edit the Draft Together: Give and Get Feedback
Reflect on Your Writing
</t>
  </si>
  <si>
    <t>Essential Writing Prompt – Informative: Based on the readings and other research, what are the issues and solutions around how a community lives sustainably?</t>
  </si>
  <si>
    <t>How Do We Live Sustainably?8</t>
  </si>
  <si>
    <t>Grade 12 Unit 5</t>
  </si>
  <si>
    <t>Grade 12, Unit 5, Module 0</t>
  </si>
  <si>
    <t>Module 0: 
Show and Tell: Endings in Narrative Writing</t>
  </si>
  <si>
    <t>CCSS.W.11-12.10; CCSS.W.11-12.2; CCSS.W.11-12.4; CCSS.W.11-12.5; CCSS.W.11-12.9</t>
  </si>
  <si>
    <t>What Happens When Civic Duty and Values Collide?0</t>
  </si>
  <si>
    <t>Module 1: 
Show and Tell: Dramatic Action</t>
  </si>
  <si>
    <t>Complementary Writing Prompt – Informative: Using “Antigone: Part I” by Sophocles, write an informative paragraph describing either Creon or Antigone as characters. Use specific lines of dialogue from the text to support your description. Focus on applying your syntax skills by varying sentence structure and length to create a clear and engaging analysis. Your paragraph should effectively convey the character’s traits and motivations, demonstrating a thorough understanding of their role in the play.</t>
  </si>
  <si>
    <t>Complementary Writing Prompt – Argumentative: In the opening scenes of the play, what specific techniques does Sophocles use to introduce the major conflict between Antigone and Creon? Describe the beliefs and values of each character and how Sophocles conveys these qualities to the audience in your response.</t>
  </si>
  <si>
    <t>CCSS.W.11-12.1; CCSS.W.11-12.10; CCSS.W.11-12.4; CCSS.W.11-12.5; CCSS.W.11-12.2; CCSS.W.11-12.9</t>
  </si>
  <si>
    <t>What Happens When Civic Duty and Values Collide?1</t>
  </si>
  <si>
    <t>Module 2: 
Show and Tell: Direct and Indirect Characterization</t>
  </si>
  <si>
    <t>Essential Writing Prompt – Informative: Using “Antigone: Part II” by Sophocles, write a paragraph explaining the sequence of events that lead up to the main plot points within this part of the play. Focus on logically sequencing your ideas to clearly outline the progression of the story. Use specific examples from the text to support your explanation, ensuring that your paragraph is well-organized and demonstrates a clear understanding of the play’s development.</t>
  </si>
  <si>
    <t>Complementary Writing Prompt – Argumentative: Examine the characters of Creon and Antigone. Describe a character flaw that each has, and explain how Sophocles reveals each character’s flaws through their interactions with others.</t>
  </si>
  <si>
    <t>CCSS.W.11-12.1; CCSS.W.11-12.10; CCSS.W.11-12.4; CCSS.W.11-12.5; CCSS.W.11-12.9; CCSS.W.11-12.2</t>
  </si>
  <si>
    <t>What Happens When Civic Duty and Values Collide?2</t>
  </si>
  <si>
    <t>Module 3:
Show and Tell:  Determining Themes in Drama</t>
  </si>
  <si>
    <t>Complementary Writing Prompt – Informative: Using “Antigone: Part III” by Sophocles, write an informative paragraph summarizing the final fates of the main characters in the play. Focus on drawing conclusions about how these fates tie together the overarching themes of the play. Use specific examples from the text to support your summary and demonstrate a clear understanding of the characters’ journeys and the play’s resolution.</t>
  </si>
  <si>
    <t>Complementary Prompt – Argumentative: What is one key theme about human behavior that is conveyed throughout the play? Choose at least three details from a particular aspect of the play (character, plot, language and imagery, etc.) that support your claim</t>
  </si>
  <si>
    <t>CCSS.W.11-12.1; CCSS.W.11-12.10; CCSS.W.11-12.4; CCSS.W.11-12.5; CCSS.W.11-12.2; CCSS.W.11-12.9.a; CCSS.W.11-12.9</t>
  </si>
  <si>
    <t>What Happens When Civic Duty and Values Collide?3</t>
  </si>
  <si>
    <t>Grade 12, Unit 5, Module 4</t>
  </si>
  <si>
    <t>Module 4:
Show and Tell:  Researching Historical Examples</t>
  </si>
  <si>
    <t>CCSS.W.11-12.10; CCSS.W.11-12.4; CCSS.W.11-12.6; CCSS.W.11-12.8; CCSS.W.11-12.9.a; CCSS.W.11-12.7; CCSS.W.11-12.9; CCSS.W.11-12.9.b</t>
  </si>
  <si>
    <t>What Happens When Civic Duty and Values Collide?4</t>
  </si>
  <si>
    <t>Grade 12, Unit 5, Module 5</t>
  </si>
  <si>
    <t>Module 5:
Show and Tell: Performance</t>
  </si>
  <si>
    <t>What Happens When Civic Duty and Values Collide?5</t>
  </si>
  <si>
    <t>Grade 12, Unit 5, Module 6</t>
  </si>
  <si>
    <t>Module 6: Show and Tell: Cause and Effect Relationships; Student Exemplar Scoring</t>
  </si>
  <si>
    <t>Writing Process: Connect, Analyze, Develop, Draft, Review
Score the Example: “Caught in a Web of Responsibility” by J Licklider
Practice Feedback: “Caught in a Web of Responsibility” by J Licklider
Choose Your Focus
Map Your Cause-and-Effect Essay
Make It Flow: Transition Words
Share Your Essay: Peer Editing
Edit the Draft Together: Give and Get Feedback
Reflect on Your Writing</t>
  </si>
  <si>
    <t>Essential Writing Prompt – Informative: What are the primary causes for Creon’s decisions in Antigone, and how do these decisions ultimately lead to the final outcome?</t>
  </si>
  <si>
    <t>What Happens When Civic Duty and Values Collide?6</t>
  </si>
  <si>
    <t>Direct Instruction (Online</t>
  </si>
  <si>
    <t>Grade 12 Unit 6</t>
  </si>
  <si>
    <t>Grade 12, Unit 6, Module 0</t>
  </si>
  <si>
    <t>Module 0: 
Show and Tell: Personal Statement:</t>
  </si>
  <si>
    <t>The Purpose of the Personal Statement
Using Time as a Storytelling Tool</t>
  </si>
  <si>
    <t>CCSS.W.11-12.10; CCSS.W.11-12.3; CCSS.W.11-12.5; CCSS.W.11-12.4; CCSS.W.11-12.7; CCSS.W.11-12.9</t>
  </si>
  <si>
    <t>How Can You Afford the Life You Want to Live?0</t>
  </si>
  <si>
    <t>Complementary Writing Prompt – Informative: How does Conan O’Brien use humor, anecdotes, and quotes to convey the message that failure happens on the path to success?</t>
  </si>
  <si>
    <t>How Can You Afford the Life You Want to Live?1</t>
  </si>
  <si>
    <t>Module 2: 
Show and Tell:  Author's Selection of Details</t>
  </si>
  <si>
    <t>Essential Writing Prompt – Informative: How does the author select and arrange evidence in order to develop and support their claim that college is now more affordable for more students than before?</t>
  </si>
  <si>
    <t>How Can You Afford the Life You Want to Live?2</t>
  </si>
  <si>
    <t>Module 3:
Show and Tell:  Author's Word Choices</t>
  </si>
  <si>
    <t>Complementary Writing Prompt – Informative: How do the authors use specific techniques (language, structural, etc.) to emphasize what they see as the most overlooked strategies for financing college?</t>
  </si>
  <si>
    <t>How Can You Afford the Life You Want to Live?3</t>
  </si>
  <si>
    <t>Module 4:
Show and Tell:  Analyzing Connections in Informational Texts</t>
  </si>
  <si>
    <t>Complementary Writing Prompt – Informative: Explain the purpose of this article and how the author builds support for the different ideas and paths to adulthood.</t>
  </si>
  <si>
    <t>CCSS.W.11-12.2; CCSS.W.11-12.10; CCSS.W.11-12.4; CCSS.W.11-12.5; CCSS.W.11-12.9; CCSS.W.11-12.9.b</t>
  </si>
  <si>
    <t>How Can You Afford the Life You Want to Live?4</t>
  </si>
  <si>
    <t>Grade 12, Unit 6, Module 5</t>
  </si>
  <si>
    <t>Module 5:
Show and Tell: Quick Research</t>
  </si>
  <si>
    <t>CCSS.W.11-12.10; CCSS.W.11-12.4; CCSS.W.11-12.6; CCSS.W.11-12.8; CCSS.W.11-12.9; CCSS.W.11-12.7</t>
  </si>
  <si>
    <t>How Can You Afford the Life You Want to Live?5</t>
  </si>
  <si>
    <t>Grade 12, Unit 6, Module 6</t>
  </si>
  <si>
    <t>Module 6: 
Show and Tell: Researching Your Pitch</t>
  </si>
  <si>
    <t>How Can You Afford the Life You Want to Live?6</t>
  </si>
  <si>
    <t>Grade 12, Unit 6, Module 7</t>
  </si>
  <si>
    <t>Writing Process: Develop, Draft, Review, Reflect
Score the Example: “Spartan Spirit" by Joseph Cote
Practice Feedback: “Spartan Spirit" by Joseph Cote
Plan Your Future
Map Your Plan
Use Examples and Anecdotes
Share Your Personal Statement: Peer Editing
Edit the Draft Together: Give and Get Feedback
Reflect on Your Writing</t>
  </si>
  <si>
    <t>Portfolio: Writing Your Definition Essay: Draft, Review</t>
  </si>
  <si>
    <t>Essential Writing Prompt – Narrative: Where do you see yourself ten years from now? How will you get there? What will you need to achieve your goals?</t>
  </si>
  <si>
    <t>CCSS.W.11-12.3; CCSS.W.11-12.2; CCSS.W.11-12.4; CCSS.W.11-12.5; CCSS.W.11-12.7; CCSS.W.11-12.9; CCSS.W.11-12.10; CCSS.W.11-12.3.B; CCSS.W.11-12.3.C; CCSS.W.11-12.3.E</t>
  </si>
  <si>
    <t>How Can You Afford the Life You Want to Live?7</t>
  </si>
  <si>
    <t>Grade 12 Unit 7</t>
  </si>
  <si>
    <t>Grade 12, Unit 7, Module 0</t>
  </si>
  <si>
    <t>Module 0: 
Show and Tell: Narratives and Literary Analysis</t>
  </si>
  <si>
    <t>CCSS.W.11-12.10; CCSS.W.11-12.3; CCSS.W.11-12.4; CCSS.W.11-12.1; CCSS.W.11-12.5; CCSS.W.11-12.7; CCSS.W.11-12.9; CCSS.W.11-12.9.a</t>
  </si>
  <si>
    <t>How Are Values Shaped by Our Community?0</t>
  </si>
  <si>
    <t>Module 1: 
Show and Tell:  Formal Style in Writing</t>
  </si>
  <si>
    <t>The characteristics of formal style</t>
  </si>
  <si>
    <t>Essential Writing Prompt – Argumentative: Compare and contrast themes in “Rip Van Winkle” and “Young Goodman Brown.” Identify a main cultural or historical theme within each short story, and explain how each story’s real-life setting contributes to the identified theme(s).</t>
  </si>
  <si>
    <t>How Are Values Shaped by Our Community?1</t>
  </si>
  <si>
    <t>Module 2: 
Show and Tell: Layered Symbolism and Motifs</t>
  </si>
  <si>
    <t>Essential Writing Prompt – Argumentative: How are symbols and/or motifs used in “The Minister’s Black Veil” and “What Redburn Saw at Launcelott’s-Hey” to comment on the duties and responsibilities that individual citizens have when living collectively in a society?</t>
  </si>
  <si>
    <t>How Are Values Shaped by Our Community?2</t>
  </si>
  <si>
    <t>Module 3:
Show and Tell:  Themes Across Poetic Texts</t>
  </si>
  <si>
    <t>Complementary Writing Prompt – Argumentative: How does each Dickinson poem reflect an opposing viewpoint related to the theme of revealing the truth of your thoughts and dreams to others?</t>
  </si>
  <si>
    <t>How Are Values Shaped by Our Community?3</t>
  </si>
  <si>
    <t>Module 4:
Show and Tell:  Common Characters Within and Across Texts</t>
  </si>
  <si>
    <t>Complementary Writing Prompt – Argumentative: Compare and contrast the women who are wives and the stories’ narrators in “The Yellow Wallpaper” and “The Hacienda.” How do the texts establish their narrators as protagonists?</t>
  </si>
  <si>
    <t>CCSS.W.11-12.1; CCSS.W.11-12.10; CCSS.W.11-12.4; CCSS.W.11-12.5; CCSS.W.11-12.9.a; CCSS.W.11-12.9</t>
  </si>
  <si>
    <t>How Are Values Shaped by Our Community?4</t>
  </si>
  <si>
    <t>Grade 12, Unit 7, Module 5</t>
  </si>
  <si>
    <t>How Are Values Shaped by Our Community?5</t>
  </si>
  <si>
    <t>Grade 12, Unit 7, Module 6</t>
  </si>
  <si>
    <t>How Are Values Shaped by Our Community?6</t>
  </si>
  <si>
    <t>Grade 12, Unit 7, Module 7</t>
  </si>
  <si>
    <t xml:space="preserve">Writing Process: Connect, Analyze, Develop, Draft, Review
Score the Example: "Community, Culture, and Complexity" by Saul Bazer
Practice Feedback: "Community, Culture, and Complexity" by Saul Bazer
Choose Your Texts for Comparison
Compare Similarities
Analyze Differences
Develop and Share Your Claim
Organize Your Essay
Use Transition Sentences
Share Your Analysis: Peer Editing
Edit the Draft Together: Give and Get Feedback
Reflect on Your Writing </t>
  </si>
  <si>
    <t>Essential Writing Prompt – Argumentative: How do foundational works of American literature depict the role of community in shaping culture? Using the stories, poetry, and informational texts from this unit, write a comparative analysis to compare and contrast the messages two or more works of American literature present about the ways community shapes and is shaped by the people within it. Use evidence from two texts and others in the unit to support your answer.</t>
  </si>
  <si>
    <t>CCSS.W.11-12.9; CCSS.W.11-12.4; CCSS.W.11-12.5; CCSS.W.11-12.7; CCSS.W.11-12.9.a; CCSS.W.11-12.10; CCSS.W.11-12.1; CCSS.W.11-12.1.b; CCSS.W.11-12.2.a; CCSS.W.11-12.3; CCSS.W.11-12.1.C; CCSS.W.11-12.9.A; CCSS.W.11-12.9.B; CCSS.W.11-12.1.D; CCSS.W.11-12.1.E</t>
  </si>
  <si>
    <t>How Are Values Shaped by Our Community?7</t>
  </si>
  <si>
    <t>Research Toolkit</t>
  </si>
  <si>
    <t xml:space="preserve">Research Strategies </t>
  </si>
  <si>
    <t>Teacher-Led, Collaborative and Independent Student Practice Tasks
(Show and Tell title)</t>
  </si>
  <si>
    <t>Practice in Research Skills and Research Writing 
(Toolkit page title)</t>
  </si>
  <si>
    <t>Common Core Writing Standards (Research)</t>
  </si>
  <si>
    <t>Module 1: Summarizing, Paraphrasing, Direct Quotation</t>
  </si>
  <si>
    <t>Paraphrase, Summary, Quote</t>
  </si>
  <si>
    <t>Guidelines: Summarizing, Paraphrasing, and/or Quoting</t>
  </si>
  <si>
    <t>CCSS.W.6.7; CCSS.W.6.8; CCSS.W.6.9; CCSS.W.6.9.b</t>
  </si>
  <si>
    <t>Module 5: Introduce the Research Toolkit</t>
  </si>
  <si>
    <t xml:space="preserve">Research Project
Student Guide: Conduct Outside Research </t>
  </si>
  <si>
    <t>Conduct Outside Research</t>
  </si>
  <si>
    <t>CCSS.W.6.7; CCSS.W.6.8; CCSS.W.6.9; CCSS.W.6.9.a</t>
  </si>
  <si>
    <t>Module 6: Sharing Research Orally</t>
  </si>
  <si>
    <t xml:space="preserve">Research Project
Share Your Research
</t>
  </si>
  <si>
    <t>Inquiry-Driven Research</t>
  </si>
  <si>
    <t xml:space="preserve">Practice in Research Skills and Research Writing 
</t>
  </si>
  <si>
    <t>Module 2: Integrating Evidence Into Writing</t>
  </si>
  <si>
    <t>Integrating Evidence Effectively
Citing Evidence to Support Analysis in Informational Texts</t>
  </si>
  <si>
    <t>CCSS.W.6.7; CCSS.W.6.8; CCSS.W.6.9; CCSS.W.6.9.a; CCSS.W.6.9.b</t>
  </si>
  <si>
    <t>Module 5: Using Research to Bolster an Argument</t>
  </si>
  <si>
    <t>Sources in Argument Writing
Understanding Visual Sources</t>
  </si>
  <si>
    <t>Module 6: Citing Research to Bolster an Argument</t>
  </si>
  <si>
    <t>Cite Research to Bolster Your Argument
Summarizing, Paraphrasing, and/or Quoting</t>
  </si>
  <si>
    <t xml:space="preserve">Guidelines: Summarizing, Paraphrasing, and/or Quoting
Documenting Sources </t>
  </si>
  <si>
    <t>Teacher-Led, Collaborative and Independent Student Practice Tasks</t>
  </si>
  <si>
    <t>Practice in Research Skills and Research Writing 
(with guidance from the Research Toolkit)</t>
  </si>
  <si>
    <t>Module 5: Summarizing, Paraphrasing, and Quoting Directly</t>
  </si>
  <si>
    <t xml:space="preserve">Summarizing, Paraphrasing, and Direct Quotation Using Research Toolkit
</t>
  </si>
  <si>
    <t>Share Your Research
Summarizing, Paraphrasing, and Direct Quotation</t>
  </si>
  <si>
    <t xml:space="preserve">Guidelines: Summarizing, Paraphrasing, and/or Quoting
</t>
  </si>
  <si>
    <t>CCSS.W.6.7; CCSS.W.6.8; CCSS.W.6.9;  CCSS.W.6.9.b</t>
  </si>
  <si>
    <t>Module 0: Inquiry into Research</t>
  </si>
  <si>
    <t>Inquiry to Research
Refining Research Thesis Statements</t>
  </si>
  <si>
    <t>Module 0: Refining Research Thesis Statements</t>
  </si>
  <si>
    <t>Revising Research Thesis Statements</t>
  </si>
  <si>
    <t>CCSS.W.6.7</t>
  </si>
  <si>
    <t>Module 4: Summarizing, Paraphrasing, and Quoting Directly</t>
  </si>
  <si>
    <t>Summarizing Informational Texts</t>
  </si>
  <si>
    <t>Paraphrase, Summary, and Quote</t>
  </si>
  <si>
    <t xml:space="preserve">Module 5: Evaluating Evidence in Research and Synthesizing from Multiple Texts
</t>
  </si>
  <si>
    <t>Evaluating Evidence
Understanding a Topic Through Multiple Texts</t>
  </si>
  <si>
    <t>Reviewing the Research Process and Synthesizing Research</t>
  </si>
  <si>
    <t>Differentiating Fact-Based Evidence from Opinion Statements</t>
  </si>
  <si>
    <t>CCSS.W.6.8</t>
  </si>
  <si>
    <t>Module 6: The Research Process</t>
  </si>
  <si>
    <t>Synthesizing Information from Sources
Understanding the Research Process</t>
  </si>
  <si>
    <t xml:space="preserve">Gathering Research
Student Guide: Plan Your Research: Steps 1-5 </t>
  </si>
  <si>
    <t>CCSS.W.6.7; CCSS.W.6.8; CCSS.W.6.9;  CCSS.W.6.9.a; CCSS.W.6.9.b</t>
  </si>
  <si>
    <t>Module 7: Sharing Research Orally</t>
  </si>
  <si>
    <t>Talk About Your Research</t>
  </si>
  <si>
    <t>When to Summarize, Paraphrase, and/or Directly Quote Sources</t>
  </si>
  <si>
    <t>CCSS.SL.6.4; CCSS.W.6.8; CCSS.W.6.9;  CCSS.W.6.9.a; CCSS.W.6.9.b</t>
  </si>
  <si>
    <t>Module 8: Writing the Research Paper; Citing Sources</t>
  </si>
  <si>
    <t>Writing Process: Connect, Analyze, Develop, Draft Review
Portfolio: Writing Your Research Paper
Student Guide: Write It and Cite It</t>
  </si>
  <si>
    <t xml:space="preserve">Grade 6, Unit 5
</t>
  </si>
  <si>
    <t>Module 5: Researching Multimedia Performances</t>
  </si>
  <si>
    <t>Elements of Performance</t>
  </si>
  <si>
    <t>CCSS.SL.6.2; CCSS.W.6.7; CCSS.W.6.8; CCSS.W.6.9</t>
  </si>
  <si>
    <t>Module 6: Generating Additional Research Questions</t>
  </si>
  <si>
    <t>Developing Research Questions; Inquiry-Driven Research; Evaluating Sources for Credibility</t>
  </si>
  <si>
    <t>Inquiry-Driven Research,  Evaluating Sources for Credibility</t>
  </si>
  <si>
    <t>Module 1: Generating Research Questions and Reflecting on Research</t>
  </si>
  <si>
    <t>Research Skills to Deepen Understanding</t>
  </si>
  <si>
    <t>Module 2: Generating Research Questions and Reflecting on Research</t>
  </si>
  <si>
    <t>Module 3: Generating Research Questions and Reflecting on Research</t>
  </si>
  <si>
    <t>Research Skills to Deepen Understanding
Generating Questions for Research Using the Research Toolkit</t>
  </si>
  <si>
    <t>Module 4: Generating Research Questions and Reflecting on Research</t>
  </si>
  <si>
    <t>Module 5: Summarize and Reflecting on Research</t>
  </si>
  <si>
    <t>Researching Postsecondary Options</t>
  </si>
  <si>
    <t xml:space="preserve">Guidelines: Informal Research and Formal Research
</t>
  </si>
  <si>
    <t>CCSS.W.6.7; CCSS.W.6.8; CCSS.W.6.9;  CCSS.W.6.9.a</t>
  </si>
  <si>
    <t>Module 6: Research to Strengthen a Presentation</t>
  </si>
  <si>
    <t>Anticipate Audience Questions
Research to Strengthen a Presentation</t>
  </si>
  <si>
    <t>CCSS.SL.6.2; CCSS.W.6.7; CCSS.W.6.8; CCSS.W.6.9;  CCSS.W.6.9.b</t>
  </si>
  <si>
    <t>Grade 6, Unit 7</t>
  </si>
  <si>
    <t>Module 1: Summarizing, Paraphrasing, and Direct Quotation</t>
  </si>
  <si>
    <t>Summarizing Literary Texts</t>
  </si>
  <si>
    <t>Summarizing Literary Texts as Evidence</t>
  </si>
  <si>
    <t>Guidelines: 
Summarizing, Paraphrasing, and/or Quoting</t>
  </si>
  <si>
    <t>Module 5: Informational Research: Poetic Styles</t>
  </si>
  <si>
    <t>Using Research in Poetry</t>
  </si>
  <si>
    <t>CCSS.W.6.7; CCSS.W.6.8</t>
  </si>
  <si>
    <t>Module 6: Researching to Increase Agency</t>
  </si>
  <si>
    <t>Researching to Increase Agency</t>
  </si>
  <si>
    <t xml:space="preserve"> CCSS.SL.6.2; CCSS.W.6.7</t>
  </si>
  <si>
    <t>Research Project</t>
  </si>
  <si>
    <t>Inquiry-Driven Research
Guidelines: Evaluating Sources for Credibility</t>
  </si>
  <si>
    <t>CCSS.W.7.7; CCSS.W.7.8; CCSS.W.7.9;  CCSS.W.7.9.a; CCSS.W.7.9.b</t>
  </si>
  <si>
    <t>Module 6: Share Your Research</t>
  </si>
  <si>
    <t>Share Your Research</t>
  </si>
  <si>
    <t>CCSS.SL.7.1; CCSS.W.7.7; CCSS.W.7.8; CCSS.W.7.9;  CCSS.W.7.9.a; CCSS.W.7.9.b</t>
  </si>
  <si>
    <t>Module 5: Use Research to Bolster Your Argument</t>
  </si>
  <si>
    <t>Use Research to Bolster Your Argument</t>
  </si>
  <si>
    <t>Inquiry-Driven Research
Guidelines: Evaluating Resources for Credibility</t>
  </si>
  <si>
    <t>Module 6: Cite Research to Bolster Your Argument</t>
  </si>
  <si>
    <t>Cite Research to Bolster Your Argument</t>
  </si>
  <si>
    <t>Documenting Sources</t>
  </si>
  <si>
    <t>CCSS.SL.7.1; CCSS.W.7.8; CCSS.W.7.9;  CCSS.W.7.9.a; CCSS.W.7.9.b</t>
  </si>
  <si>
    <t>Module 5: Summrizing, Paraphrasing, and Direct Quotation</t>
  </si>
  <si>
    <t>Summarizing, Paraphrasing, and Direct Quotation Using the Research Toolkit</t>
  </si>
  <si>
    <t xml:space="preserve">Conduct Outside Research
Guidelines: Summarizing, Paraphrasing, and/or Quote
When to Summarize, Paraphrase, and/or Quoting
</t>
  </si>
  <si>
    <t>Module 0: Introducing Research Papers</t>
  </si>
  <si>
    <t>Introducing Research Papers</t>
  </si>
  <si>
    <t>Module 1: Researching Questions</t>
  </si>
  <si>
    <t>Research a Genuine Question</t>
  </si>
  <si>
    <t>Module 1: Summarizing Research</t>
  </si>
  <si>
    <t>Summarizing Research</t>
  </si>
  <si>
    <t>Module 2: Paraphrasing and Summarizing Research</t>
  </si>
  <si>
    <t>Paraphrase, Summarize, Quote</t>
  </si>
  <si>
    <t>Module 3: Paraphrasing and Summarizing Research</t>
  </si>
  <si>
    <t>Module 4: Paraphrasing and Summarizing Research; Generating Research Questions</t>
  </si>
  <si>
    <t>Module 5: Facts versus Opinions</t>
  </si>
  <si>
    <t>Understanding a Topic Through Multiple Texts
Evaluating Evidence</t>
  </si>
  <si>
    <t xml:space="preserve">Fact and Opinion
</t>
  </si>
  <si>
    <t xml:space="preserve">Differentiating Fact-Based Evidence from Opinion Statements 
</t>
  </si>
  <si>
    <t>Synthesizing Information from Sources
Undertanding the Research Process</t>
  </si>
  <si>
    <t xml:space="preserve">Varying Sources
Student Guide: Plan Your Research: Steps 1-5 </t>
  </si>
  <si>
    <t>CCSS.W.7.7; CCSS.W.7.8; CCSS.W.7.9</t>
  </si>
  <si>
    <t>Module 7: Citing Research Orally</t>
  </si>
  <si>
    <t>Module 8: Writing the Research Paper</t>
  </si>
  <si>
    <t>Planning, Drafting, Writing, Reviewing, Editing, Proofreading Research
Write It and Cite It</t>
  </si>
  <si>
    <t>Module 6: Informal Research: Researching a Variety of Mediums</t>
  </si>
  <si>
    <t>Researching Mediums</t>
  </si>
  <si>
    <t>Module 7: Researching Character Intent</t>
  </si>
  <si>
    <t>Researching the Part</t>
  </si>
  <si>
    <t>CCSS.SL.7.2; CCSS.W.7.7; CCSS.W.7.9;  CCSS.W.7.9.a</t>
  </si>
  <si>
    <t>Grade 7, Unit 6</t>
  </si>
  <si>
    <t>Research Skills as Tools to Deepen Understanding</t>
  </si>
  <si>
    <t>Researching for a Well-Rounded Understanding</t>
  </si>
  <si>
    <t>Guidelines: Informal Research and Formal Research</t>
  </si>
  <si>
    <t>Module 5: Researching for Well-Rounded Understanding</t>
  </si>
  <si>
    <t>Researching to Strengthen Your Presentation</t>
  </si>
  <si>
    <t>CCSS.W.7.7; CCSS.W.7.8; CCSS.W.7.9;  CCSS.W.7.9.b</t>
  </si>
  <si>
    <t>Module 4: Researching for Perspectives</t>
  </si>
  <si>
    <t>Researching for Perspectives</t>
  </si>
  <si>
    <t>Module 5: Researching to Prepare for a Discussion</t>
  </si>
  <si>
    <t>Preparing for Socratic Discussion</t>
  </si>
  <si>
    <t>Module 5: Using Research to Support SOAPSTone; Refining Research Questions</t>
  </si>
  <si>
    <t>Inquiry-Driven Research
Documenting Sources</t>
  </si>
  <si>
    <t>CCSS.W.8.7; CCSS.W.8.8; CCSS.W.8.9;  CCSS.W.8.9.a; CCSS.W.8.9.b</t>
  </si>
  <si>
    <t>Module 6: Socratic Preparation</t>
  </si>
  <si>
    <t>Share Research</t>
  </si>
  <si>
    <t xml:space="preserve">When to Summarize, Paraphrase, and/or Directly Quote Sources
</t>
  </si>
  <si>
    <t>CCSS.SL.8.1; CCSS.W.8.7; CCSS.W.8.8; CCSS.W.8.9;  CCSS.W.8.9.a; CCSS.W.8.9.b</t>
  </si>
  <si>
    <t>Module 5: Use Research to Bolster Argument</t>
  </si>
  <si>
    <t>Research to Bolster Your Argument</t>
  </si>
  <si>
    <t>CCSS.W.8.7; CCSS.W.8.8; CCSS.W.8.9;  CCSS.W.8.9.b</t>
  </si>
  <si>
    <t>Module 6: Citing Sources</t>
  </si>
  <si>
    <t xml:space="preserve">Documenting Sources
</t>
  </si>
  <si>
    <t>Module 5: Research Traditional Stories</t>
  </si>
  <si>
    <t>Research Traditional Stories</t>
  </si>
  <si>
    <t>CCSS.W.8.7; CCSS.W.8.8; CCSS.W.8.9;  CCSS.W.8.9.a</t>
  </si>
  <si>
    <t>Module 6: Sharing Research About Stories with Common Themes</t>
  </si>
  <si>
    <t>CCSS.SL.8.1; CCSS.W.8.8; CCSS.W.8.9;  CCSS.W.8.9.a; CCSS.W.8.9.b</t>
  </si>
  <si>
    <t>Module 0: Research Writing</t>
  </si>
  <si>
    <t>Module 1: Using AI to Research and Document Sources</t>
  </si>
  <si>
    <t>Research Isn't Boring: Using Digital Sources</t>
  </si>
  <si>
    <t>Module 5: Fact versus Opinion</t>
  </si>
  <si>
    <t>Fact and Opinion</t>
  </si>
  <si>
    <t>Differentiating Fact-Based Evidence from Opinion Statements
Differentiating Evidence</t>
  </si>
  <si>
    <t>Understanding the Research Process
Synthesizing Information from Sources</t>
  </si>
  <si>
    <t>Student Guide: Plan Your Research: Steps 1-5 
Researching for Fact-Based Information</t>
  </si>
  <si>
    <t>Module 7: Cite Research to Bolster An Argument</t>
  </si>
  <si>
    <t>CCSS.SL.8.4; CCSS.W.8.7; CCSS.W.8.8; CCSS.W.8.9;  CCSS.W.8.9.a; CCSS.W.8.9.b</t>
  </si>
  <si>
    <t xml:space="preserve">Writing the Research Paper
Citing and Documenting Sources
</t>
  </si>
  <si>
    <t>CCSS.W.8.7; CCSS.W.8.8; CCSS.W8.9;  CCSS.W.8.9.a; CCSS.W.8.9.b</t>
  </si>
  <si>
    <t>Module 6: Researching Multimedia Performances</t>
  </si>
  <si>
    <t>Researching Themes</t>
  </si>
  <si>
    <t>Module 7: Researching the Character's Intent</t>
  </si>
  <si>
    <t>CCSS.SL.8.2; CCSS.W.8.7; CCSS.W.8.9;  CCSS.W.8.9.a</t>
  </si>
  <si>
    <t>Module 5: Research to Broaden Perspective</t>
  </si>
  <si>
    <t>Research to Strengthen a Presentation</t>
  </si>
  <si>
    <t xml:space="preserve">When to Summarize, Paraphrase and/or Directly Quote Sources
</t>
  </si>
  <si>
    <t>Module 6: Research to Extend Learning</t>
  </si>
  <si>
    <t>Conducting Additional Research to Extend Learning</t>
  </si>
  <si>
    <t>Grade 8, Unit 7</t>
  </si>
  <si>
    <t>Module 5: Informal Research: Researching Images to Illustrate Themes</t>
  </si>
  <si>
    <t>Researching to Understand Perspective</t>
  </si>
  <si>
    <t xml:space="preserve">Guidelines: Informal Research and Formal Research
</t>
  </si>
  <si>
    <t>Module 6: Informal Research: Researching Additional Evidence</t>
  </si>
  <si>
    <t>Module 5: Research Project</t>
  </si>
  <si>
    <t>Research Poets; Research Project</t>
  </si>
  <si>
    <t xml:space="preserve">Inquiry-Driven Research
Documenting Sources
</t>
  </si>
  <si>
    <t>CCSS.W.9-10.7; CCSS.W.9-10.8; CCSS.W.9-10.9;  CCSS.W.9-10.9.a; CCSS.W.9-10.9.b</t>
  </si>
  <si>
    <t xml:space="preserve">When to Summarize, Paraphrase, or Directly Quote Sources
</t>
  </si>
  <si>
    <t>CCSS.SL.9-10.1; CCSS.W.9-10.7; CCSS.W.9-10.8; CCSS.W.9-10.9;  CCSS.W.9-10.9.a; CCSS.W.9-10.9.b</t>
  </si>
  <si>
    <t>Grade 9, Unit 2</t>
  </si>
  <si>
    <t>Inquiry-Driven Research
Guidelines: Evaluating Resources for Credibility</t>
  </si>
  <si>
    <t>CCSS.W.9-10.7; CCSS.W.9-10.8; CCSS.W.9-10.9;  CCSS.W.9-10.9.b</t>
  </si>
  <si>
    <t xml:space="preserve">Documenting Sources
</t>
  </si>
  <si>
    <t>Grade 9, Unit 3</t>
  </si>
  <si>
    <t>Module 5: Researching for Clarification</t>
  </si>
  <si>
    <t>Researching for Clarification</t>
  </si>
  <si>
    <t xml:space="preserve">Guidelines: Informal Research and Formal Research
</t>
  </si>
  <si>
    <t>Module 6: Socratic Discussion</t>
  </si>
  <si>
    <t>Socratic Discussion</t>
  </si>
  <si>
    <t xml:space="preserve">When to Summarize, Paraphrase, and/or Directly Quote Sources; Guidelines: Summarizing, Paraphrasing, and/or Quoting
</t>
  </si>
  <si>
    <t>Grade 9, Unit 4</t>
  </si>
  <si>
    <t>Module 1: Paraphrase, Summarize, and Quote</t>
  </si>
  <si>
    <t>Paraphrase, Summarize, and Quote</t>
  </si>
  <si>
    <t>Module 2: Researching Cause and Effect Structures</t>
  </si>
  <si>
    <t>Researching Cause and Effect Structures</t>
  </si>
  <si>
    <t>Module 3: Researching Opposing Arguments</t>
  </si>
  <si>
    <t>Researching Opposing Arguments</t>
  </si>
  <si>
    <t>Module 4: Summarizing Research</t>
  </si>
  <si>
    <t>CCSS.W.9-10.7; CCSS.W.9-10.9.b</t>
  </si>
  <si>
    <t>Module 6: The Research Process; Researching for Fact-Based Sources</t>
  </si>
  <si>
    <t xml:space="preserve">Researching for Fact-Based Sources
Student Guide: Plan Your Research: Steps 1-5 </t>
  </si>
  <si>
    <t xml:space="preserve">Differentiating Fact-Based Evidence from Opinion Statements </t>
  </si>
  <si>
    <t>Module 7: Including Outside Sources</t>
  </si>
  <si>
    <t>Including Outside Sources</t>
  </si>
  <si>
    <t>Module 8: Researching to Compile Resources</t>
  </si>
  <si>
    <t>Researching to Compile Resources
Write it and Cite It</t>
  </si>
  <si>
    <t>Grade 9, Unit 5</t>
  </si>
  <si>
    <t>Module 6: Researching Mediums</t>
  </si>
  <si>
    <t>Module 1: Informal Research: Authors' Perspectives</t>
  </si>
  <si>
    <t>Module 2: Informal Research: Authors' Perspectives</t>
  </si>
  <si>
    <t>Module 3: Informal Research: Authors' Perspectives</t>
  </si>
  <si>
    <t>Module 4: Informal Research: Exploring the Definition</t>
  </si>
  <si>
    <t>Module 5: Researching for a Well-Rounded Understanding</t>
  </si>
  <si>
    <t>Using Research to Gain Understanding</t>
  </si>
  <si>
    <t>Module 6: Research Transitions</t>
  </si>
  <si>
    <t>Research Transitions</t>
  </si>
  <si>
    <t>Grade 9, Unit 7</t>
  </si>
  <si>
    <t>Module 4: Researching to Understand Perspective</t>
  </si>
  <si>
    <t>CCSS.W.9-10.7; CCSS.W.9-10.8; CCSS.W.9-10.9;  CCSS.W.9-10.9.a</t>
  </si>
  <si>
    <t>Guidelines: When to Summarize, Paraphrase, and/or Directly Quote Sources</t>
  </si>
  <si>
    <t>Module 5: Introduce or review the Research Toolkit</t>
  </si>
  <si>
    <t>Refine Research Questions</t>
  </si>
  <si>
    <t>When to Summarize, Paraphrase, and Directly Quote Sources</t>
  </si>
  <si>
    <t>Grade 10, Unit 2</t>
  </si>
  <si>
    <t xml:space="preserve">Inquiry-Driven Research
Guidelines: Evaluating Resources for Credibility 
</t>
  </si>
  <si>
    <t>CCSS.SL.9-10.1; CCSS.W.9-10.7; CCSS.W.9-10.8; CCSS.W.9-10.9;  CCSS.W.9-10.9.b</t>
  </si>
  <si>
    <t>Module 5: Research to Highlight Parallels Among Texts</t>
  </si>
  <si>
    <t>Research to Highlight Parallels Among Texts</t>
  </si>
  <si>
    <t>CCSS.SL.9-10.1; CCSS.W.9-10.7; CCSS.W.9-10.8; CCSS.W.9-10.9;  CCSS.W.9-10.9.a</t>
  </si>
  <si>
    <t>Grade 10, Unit 4</t>
  </si>
  <si>
    <t>Module 1: Researching for Clarity</t>
  </si>
  <si>
    <t>Researching for Clarity</t>
  </si>
  <si>
    <t>Module 2: Summarizing Research</t>
  </si>
  <si>
    <t>Module 3: Summarizing Research</t>
  </si>
  <si>
    <t>Module 5: Evaluating Evidence in Research</t>
  </si>
  <si>
    <t>Evaluating Evidence in Research</t>
  </si>
  <si>
    <t>Module 6: The Research Process; Finding Outside Sources</t>
  </si>
  <si>
    <t xml:space="preserve">Finding Outside Sources
Student Guide: Plan Your Research: Steps 1-5 </t>
  </si>
  <si>
    <t>Module 7: Synthesizing Outside Sources</t>
  </si>
  <si>
    <t>Synthesizing Outside Sources</t>
  </si>
  <si>
    <t>Guidelines: Evaluating Sources for Credibility and Evaluating Sources for Credibility</t>
  </si>
  <si>
    <t>Researching to Compile Reseources
Write It and Cite It</t>
  </si>
  <si>
    <t>Grade 10, Unit 5</t>
  </si>
  <si>
    <t>Module 7: Researching for Cross-Cultural Parallels</t>
  </si>
  <si>
    <t>Module 5: Researching to Make Decisions</t>
  </si>
  <si>
    <t>Research for a Well-Rounded Understanding</t>
  </si>
  <si>
    <t>Module 6: Researching Your Pitch</t>
  </si>
  <si>
    <t>CCSS.SL.9-10.2; CCSS.W.9-10.7; CCSS.W.9-10.8; CCSS.W.9-10.9;  CCSS.W.9-10.9.b</t>
  </si>
  <si>
    <t>Grade 10, Unit 7</t>
  </si>
  <si>
    <t>Module 4: Researching Examples</t>
  </si>
  <si>
    <t>Researching Examples</t>
  </si>
  <si>
    <t>Module 5: Researching Additional Sources</t>
  </si>
  <si>
    <t>Researching Additional Sources</t>
  </si>
  <si>
    <t xml:space="preserve">Evaluating Sources for Credibility
</t>
  </si>
  <si>
    <t>Inquiry-Driven Research
Documenting Sources</t>
  </si>
  <si>
    <t>CCSS.W.11-12.7; CCSS.W.11-12.8; CCSS.W.11-12.9;  CCSS.W.11-12.9.a; CCSS.W.11-12.9.b</t>
  </si>
  <si>
    <t>CCSS.SL.11-12.1; CCSS.W.11-12.7; CCSS.W.11-12.8; CCSS.W.11-12.9;  CCSS.W.11-12.9.a; CCSS.W.11-12.9.b</t>
  </si>
  <si>
    <t>Module 5: Researching Conflict within Cultures</t>
  </si>
  <si>
    <t>Researching Conflict within Cultures</t>
  </si>
  <si>
    <t>Module 6: Research</t>
  </si>
  <si>
    <t>Research</t>
  </si>
  <si>
    <t>Module 7: Narrative Endings</t>
  </si>
  <si>
    <t>Research Narrative Endings</t>
  </si>
  <si>
    <t>Grade 11, Unit 4</t>
  </si>
  <si>
    <t>Module 0: Goal Setting</t>
  </si>
  <si>
    <t>Reseach the science behind goal setting</t>
  </si>
  <si>
    <t>Module 1: Extend Vocabulary</t>
  </si>
  <si>
    <t>Extend Vocabulary</t>
  </si>
  <si>
    <t>Module 2: Researching Similarities</t>
  </si>
  <si>
    <t>Researching Similarities</t>
  </si>
  <si>
    <t>Module 3: Research to Introduce Opposing Ideas</t>
  </si>
  <si>
    <t>Research to Introduce Opposing Ideas</t>
  </si>
  <si>
    <t>Module 4: Research the Issue</t>
  </si>
  <si>
    <t>Research Background Information</t>
  </si>
  <si>
    <t>Module 5: Researching for Credibility</t>
  </si>
  <si>
    <t>Researching for Credibility</t>
  </si>
  <si>
    <t>Guidelines: Informal Research and Formal Research
Guidelines: Evaluating Sources for Credibility
Evaluating Sources for Credibility</t>
  </si>
  <si>
    <t>Module 6: The Research Process; Researching and Paraphrasing</t>
  </si>
  <si>
    <t xml:space="preserve">Researching and Paraphrasing
Student Guide: Plan Your Research: Steps 1-5 </t>
  </si>
  <si>
    <t>Guidelines: Summarizing, Paraphrasing, and/or Quoting
When to Summarize, Paraphrase and/or Directly Quote Sources</t>
  </si>
  <si>
    <t>CCSS.W.11-12.7; CCSS.W.11-12.8; CCSS.W.11-12.9;  CCSS.W.11-12.9.b</t>
  </si>
  <si>
    <t>Module 7: Researching to Collaborate</t>
  </si>
  <si>
    <t>Researching to Collaborate</t>
  </si>
  <si>
    <t>Module 8: Research for Supporting Evidence</t>
  </si>
  <si>
    <t>Researching for Supporting Evidence
Write It and Cite It</t>
  </si>
  <si>
    <t>Grade 11, Unit 5</t>
  </si>
  <si>
    <t>Research to Extend Learning
Documenting Sources</t>
  </si>
  <si>
    <t>Module 7: Research</t>
  </si>
  <si>
    <t>Module 5: Informal Research and Summarizing</t>
  </si>
  <si>
    <t xml:space="preserve">Guidelines: Informal Research and Formal Research
Documenting Sources
</t>
  </si>
  <si>
    <t>Grade 11, Unit 7</t>
  </si>
  <si>
    <t xml:space="preserve">Module 5: Research </t>
  </si>
  <si>
    <t xml:space="preserve">Guidelines: Evaluating Sources for Credibility
Evaluating Sources for Credibility
</t>
  </si>
  <si>
    <t>Guidelines: Conduct Informal Research and Formal Research</t>
  </si>
  <si>
    <t>Introduce the Research Toolkit</t>
  </si>
  <si>
    <t>Module 5: Using Research to Bolster Your Argument</t>
  </si>
  <si>
    <t>Using Research to Bolster Your Argument</t>
  </si>
  <si>
    <t xml:space="preserve">Inquiry-Driven Research
Guidelines: Evaluating Resources for Credibility
</t>
  </si>
  <si>
    <t>Module 5: Researching Global Connections</t>
  </si>
  <si>
    <t>Researching Global Connections</t>
  </si>
  <si>
    <t>Module 6: Research Project</t>
  </si>
  <si>
    <t>Grade 12, Unit 4</t>
  </si>
  <si>
    <t>Module 0: Research Sustainability</t>
  </si>
  <si>
    <t>Research Sustainability</t>
  </si>
  <si>
    <t>Module 2: Researcing Similarities</t>
  </si>
  <si>
    <t>Researching Similiarities</t>
  </si>
  <si>
    <t>Module 3: Generating to Introduce Opposing Ideas</t>
  </si>
  <si>
    <t>Generating to Introduce Opposing Ideas</t>
  </si>
  <si>
    <t>Module 5: Evaluating Evidence</t>
  </si>
  <si>
    <t>Guidelines: Informal Research and Formal Research
Evaluating Sources for Credibility</t>
  </si>
  <si>
    <t>Module 6: The Research Process; Synthesizing Research</t>
  </si>
  <si>
    <t xml:space="preserve">Synthesizing Research
Student Guide: Plan Your Research: Steps 1-5 </t>
  </si>
  <si>
    <t>Write It and Cite It</t>
  </si>
  <si>
    <t>Grade 12, Unit 5</t>
  </si>
  <si>
    <t xml:space="preserve">Module 4: Researching Historical Examples </t>
  </si>
  <si>
    <t>Researching Historical Examples</t>
  </si>
  <si>
    <t>CCSS.SL.11-12.1; CCSS.W.11-12.7; CCSS.W.11-12.8; CCSS.W.11-12.9;  CCSS.W.11-12.9.b</t>
  </si>
  <si>
    <t>Researching Skills to Deepen Understanding</t>
  </si>
  <si>
    <t>Synthesizing Information</t>
  </si>
  <si>
    <t>Module 5: Quick Research</t>
  </si>
  <si>
    <t>Grade 12, Unit 7</t>
  </si>
  <si>
    <t>Guidelines: Evaluating Sources for Credibility
Toolkit: Evaluating Sources for Credibility</t>
  </si>
  <si>
    <t>Applied Reading, Writing, Speaking and Listening</t>
  </si>
  <si>
    <t>Common Core State Standards</t>
  </si>
  <si>
    <t>Direct Instruction and Online Instruction</t>
  </si>
  <si>
    <t>Selection (CRW and ARP)</t>
  </si>
  <si>
    <t>Topic Overview; Read; Check; Analyze; Citing Evidence to Write About Literary Texts</t>
  </si>
  <si>
    <t>Share Your Reflections; Raise Your Score: Test Strategy: Error Analysis; Apply Your Learning: Citing Evidence to Write About Literary Texts;</t>
  </si>
  <si>
    <t>Module 1: Eleven</t>
  </si>
  <si>
    <t>CCSS.RL.6.1; CCSS.RL.6.2; CCSS.RL.6.3; CCSS.RL.6.4; CCSS.RL.6.10; CCSS.RI.6.4; CCSS.RI.6.10; CCSS.CCRA.R.1; CCSS.CCRA.R.1</t>
  </si>
  <si>
    <t>Topic Overview; Read; Check; Analyze; Analyzing Imagery in a Personal Narrative</t>
  </si>
  <si>
    <t>Share Your Reflections; Apply Your Learning; Raise Your Score</t>
  </si>
  <si>
    <t>Module 2: Fish Cheeks</t>
  </si>
  <si>
    <t>CCSS.RL.6.4; CCSS.RL.6.1; CCSS.RL.6.2; CCSS.RL.6.10; CCSS.RI.6.4; CCSS.RI.6.10; CCSS.CCRA.R.1; CCSS.CCRA.R.4; CCSS.CCRA.R.1; CCSS.RW.6.1; CCSS.RL.6.4,</t>
  </si>
  <si>
    <t>Topic Overview; Read; Check; Analyze; Making Inferences in Literary Texts</t>
  </si>
  <si>
    <t>Share Your Reflections; Apply Your Learning: Making Inferences in Literary Texts</t>
  </si>
  <si>
    <t>Module 3: The Boy in the Back of the Class</t>
  </si>
  <si>
    <t>CCSS.RL.6.1; CCSS.RL.6.2; CCSS.RL.6.3; CCSS.RL.6.4; CCSS.RL.6.10; CCSS.RI.6.4; CCSS.RI.6.10; CCSS.CCRA.R.2; CCSS.CCRA.R.1; CCSS.CCRA.R.2; CCSS.RW.6.1; CCSS.RL.6.1; CCSS.RW.6.1</t>
  </si>
  <si>
    <t>Topic Overview; Read; Check; Analyze; Determining Theme and Author's Message in a Personal Narrative</t>
  </si>
  <si>
    <t>Share Your Reflections; Apply Your Learning</t>
  </si>
  <si>
    <t>Module 4: Ice</t>
  </si>
  <si>
    <t>CCSS.RL.6.2; CCSS.RL.6.1; CCSS.RL.6.4; CCSS.RL.6.3; CCSS.RL.6.10; CCSS.RI.6.4; CCSS.RI.6.10; CCSS.CCRA.R.3; CCSS.CCRA.R.2; CCSS.CCRA.R.3; CCSS.RW.6.1; CCSS.RL.6.2,</t>
  </si>
  <si>
    <t>Analyzing Poetry Through SOAPSTone; Read and Check; Using Informational Texts to Ask Questions About Other Genres</t>
  </si>
  <si>
    <t>Analyze Poetry: SOAPSTone; Compare Details and Imagery: Poetry; Ask Questions: Informational Text</t>
  </si>
  <si>
    <t>Module 5: Read Across Genres; I Know My Soul; Day of the Refugios; What Can A Personality Test Tell Us About Who We Are?; Be True to Yourself, Even in the Face of Opposition</t>
  </si>
  <si>
    <t>CCSS.RL.6.6; CCSS.RI.6.10; CCSS.RI.6.9; CCSS.RI.6.2; CCSS.RI.6.4; CCSS.RI.6.5; CCSS.RL.6.10; CCSS.RL.6.4; CCSS.RL.6.9; CCSS.RL.6.4; CCSS.RL.6.2; CCSS.RI.6.10</t>
  </si>
  <si>
    <t>Texts to Analyze and Discuss</t>
  </si>
  <si>
    <t>N/A</t>
  </si>
  <si>
    <t>Topic Overview; Read; Check; Analyze;  Student Exemplar: Flying Solo</t>
  </si>
  <si>
    <t>Read the Narrative Writing Rubric; Score the Example</t>
  </si>
  <si>
    <t>Module 7: Portfolio: Writing Your Personal Narrative</t>
  </si>
  <si>
    <t>CCSS.RI.6.4; CCSS.RI.6.10; CCSS.RL.6.2; CCSS.RI.6.6; CCSS.RI.6.2; CCSS.RI.6.1; CCSS.RI.6.1</t>
  </si>
  <si>
    <t>Grade 6, Unit 1, Module 8</t>
  </si>
  <si>
    <t>Reading Independently; Unit 1 Core Assessment: “Swim Buddies” and “Eyes Looking to the Sky”</t>
  </si>
  <si>
    <t>Module 8: Unit Reading Assessment and Reflection</t>
  </si>
  <si>
    <t>CCSS.RI.6.10; CCSS.RL.6.2; CCSS.RL.6.1; CCSS.RL.6.4</t>
  </si>
  <si>
    <t>Topic Overview; Read; Check; Analyze; Determining and Tracing a Central Idea Through Details</t>
  </si>
  <si>
    <t>Share Your Reflections; Apply Your Learning: Determining and Tracing a Central Idea Through Details</t>
  </si>
  <si>
    <t>Module 1: Starting Schools Later Leads to Less Tardiness, Fewer 'Zombies'</t>
  </si>
  <si>
    <t>CCSS.RI.6.2; CCSS.RI.6.1; CCSS.RI.6.4; CCSS.RI.6.10; CCSS.CCRA.R.1; CCSS.RI.6.2; CCSS.CCRA.R.1</t>
  </si>
  <si>
    <t>Topic Overview; Read; Check; Analyze; Citing Evidence to Support Analysis in Informational Texts</t>
  </si>
  <si>
    <t>Share Your Reflections; Raise Your Score: Test Strategy: Understanding Question Stems; Apply Your Learning: Citing Evidence to Support Analysis in Informational Texts</t>
  </si>
  <si>
    <t>Module 2: Should Kids Get Homework?</t>
  </si>
  <si>
    <t>CCSS.RI.6.1; CCSS.RI.6.4; CCSS.RI.6.3; CCSS.RI.6.2; CCSS.RI.6.10; CCSS.CCRA.R.1; CCSS.RI.6.1; CCSS.CCRA.R.1</t>
  </si>
  <si>
    <t>Topic Overview; Read; Check; Analyze; Analyzing Text Features; Reasoning</t>
  </si>
  <si>
    <t>Share Your Reflections; Apply Your Learning: Analyzing Text Features</t>
  </si>
  <si>
    <t>Module 3: Straight from School Gardens to Lunchrooms: Delicious or Dangerous?</t>
  </si>
  <si>
    <t>CCSS.RI.6.7; CCSS.RI.6.1; CCSS.RI.6.5; CCSS.RI.6.2; CCSS.RI.6.4; CCSS.RI.6.10; CCSS.CCRA.R.1; CCSS.CCRA.R.1</t>
  </si>
  <si>
    <t>Topic Overview; Read; Check; Analyze; Issues, Appeals, and Rhetorical Devices</t>
  </si>
  <si>
    <t>Share Your Reflections; Raise Your Score: Test Strategy: Verify Your Answer; Apply Your Learning:  Issues, Appeals; and Rhetorical Devices</t>
  </si>
  <si>
    <t>Module 4: Down with Class Participation Grades</t>
  </si>
  <si>
    <t>CCSS.RI.6.6; CCSS.RI.6.1; CCSS.RI.6.2; CCSS.RI.6.5; CCSS.RI.6.10; CCSS.RI.6.4; CCSS.CCRA.R.1; CCSS.CCRA.R.1</t>
  </si>
  <si>
    <t>Analyzing an Author's Choices in Written Arguments; Read and Check; Understanding Visual Sources</t>
  </si>
  <si>
    <t>Analyze Arguments; Compare Arguments: Authors’ Issues and Appeals, and Rhetorical Devices; Visualize Information: Visual Texts</t>
  </si>
  <si>
    <t>Module 5: Read Across Genres; The Case for Making Classrooms Phone Free; For Schools, Accepting Student Mobile Phone Use May be a Better Approach than Banning Them; Check 'em Out! A Collection of Extraordinary Libraries; Designing the Future</t>
  </si>
  <si>
    <t>CCSS.RI.6.8; CCSS.RI.6.7; CCSS.RI.6.10</t>
  </si>
  <si>
    <t>Module 6: Debate</t>
  </si>
  <si>
    <t>Topic Overview; Read; Check; Analyze; Student Exemplar: Why Getting Rid of Participation Grades Will Improve Learning Environments</t>
  </si>
  <si>
    <t>Read the Argumentative Writing Rubric; Score the Example</t>
  </si>
  <si>
    <t>Module 7: Portfolio: Writing Your Argumentative Essay</t>
  </si>
  <si>
    <t>CCSS.RI.6.4; CCSS.RI.6.10; CCSS.RI.6.5; CCSS.RI.6.1</t>
  </si>
  <si>
    <t>Grade 6, Unit 2, Module 8</t>
  </si>
  <si>
    <t>Unit 2 Core Assessment: “Where in the World? A Source of Controversy” and “Take a Whiff on the Wild Side”</t>
  </si>
  <si>
    <t>CCSS.RI.6.10; CCSS.RI.6.8; CCSS.RI.6.2; CCSS.RI.6.1</t>
  </si>
  <si>
    <t>Topic Overview; Read; Check; Analyze; Determining Themes in Literature</t>
  </si>
  <si>
    <t>Share Your Reflections; Apply Your Learning: Determining Themes in Literature</t>
  </si>
  <si>
    <t>Module 1: Name/Nombres</t>
  </si>
  <si>
    <t>CCSS.RL.6.2; CCSS.RL.6.1; CCSS.RL.6.4; CCSS.RI.6.4; CCSS.RI.6.10; CCSS.CCRA.R.1; CCSS.RL.6.4; CCSS.RL.6.2; CCSS.CCRA.R.1</t>
  </si>
  <si>
    <t>Topic Overview; Read; Check; Analyze; Developing Characters in Fiction; Dialogue in Narrative Writing</t>
  </si>
  <si>
    <t>Share Your Reflections; Raise Your Score: Test Strategy: Summarizing the Text; Apply Your Learning: Developing Characters in Fiction</t>
  </si>
  <si>
    <t>Module 2: Sometimes a Dream Needs a Push</t>
  </si>
  <si>
    <t>CCSS.RL.6.3; CCSS.RL.6.2; CCSS.RL.6.1; CCSS.RL.6.4; CCSS.RL.6.6; CCSS.RI.6.4; CCSS.RI.6.10; CCSS.CCRA.R.1; CCSS.RL.6.6; CCSS.RL.6.3; CCSS.CCRA.R.1</t>
  </si>
  <si>
    <t>Topic Overview; Read; Check; Analyze; Analyzing Story Elements in Literature</t>
  </si>
  <si>
    <t>Apply Your Learning: Analyzing Story Elements in Literature; Share Your Plan</t>
  </si>
  <si>
    <t>Module 3: The Medicine Bag</t>
  </si>
  <si>
    <t>CCSS.RL.6.3; CCSS.RL.6.2,; CCSS.RI.6.4; CCSS.RI.6.10; CCSS.CCRA.R.1; CCSS.RL.6.2; CCSS.RL.6.3; CCSS.CCRA.R.1</t>
  </si>
  <si>
    <t>Topic Overview; Read; Check; Analyze; Developing Point of View and Perspective in Literature</t>
  </si>
  <si>
    <t>Share Your Reflections; Raise Your Score: Test Strategy: Keep Calm and Answer On; Apply Your Learning: Developing Point of View and Perspective in Literature</t>
  </si>
  <si>
    <t>Module 4: The Difficult Path</t>
  </si>
  <si>
    <t>CCSS.RL.6.6; CCSS.RL.6.4; CCSS.RL.6.3; CCSS.RL.6.2; CCSS.RL.6.5; CCSS.RL.6.1; CCSS.RI.6.4; CCSS.RI.6.10; CCSS.RL.6.10; CCSS.CCRA.R.1; CCSS.RL.6.1; CCSS.CCRA.R.1; CCSS.RL.6.6,</t>
  </si>
  <si>
    <t>Analyzing and Comparing Elements of Poetry; Read and Check; Using Informational Texts to Understand Ideas in Fiction</t>
  </si>
  <si>
    <t>Analyze and Compare Poetry: Comparing Elements of Poetry for Deep Understanding; Analyze and Compare Poetry; Enhance Understanding: Informational Text</t>
  </si>
  <si>
    <t>Module 5: Read Across Genres; Names; In Praise of Craziness, of a Certain Kind; Grand-mates: Generations Sharing a Special Bond; Para Sport Explained: Wheelchairs in Wheelchair Sports</t>
  </si>
  <si>
    <t>CCSS.RL.6.4; CCSS.RL.6.2; CCSS.RL.6.5; CCSS.RL.6.6; CCSS.RI.6.10; CCSS.RL.6.10; CCSS.RL.6.4; CCSS.RI.6.3; CCSS.RI.6.3</t>
  </si>
  <si>
    <t>Socratic Discussion; Texts to Analyze and Discuss</t>
  </si>
  <si>
    <t>Topic Overview; Read; Check; Analyze; Student Exemplar: Nico’s Win</t>
  </si>
  <si>
    <t>Module 7: Portfolio: Writing Your Short Story</t>
  </si>
  <si>
    <t>CCSS.RI.6.4; CCSS.RI.6.10; CCSS.RL.6.1; CCSS.RI.6.1; CCSS.RI.6.6; CCSS.RL.6.3</t>
  </si>
  <si>
    <t>Grade 6, Unit 3, Module 8</t>
  </si>
  <si>
    <t>Unit 3 Core Assessment: “A Wish for Kali” and “The Wonderful Weaver”</t>
  </si>
  <si>
    <t>CCSS.RL.6.3</t>
  </si>
  <si>
    <t>Topic Overview; Read; Check; Analyze</t>
  </si>
  <si>
    <t>Share Your Reflections; Apply Your Learning: Determining the Meanings of Words and Phrases</t>
  </si>
  <si>
    <t>Module 1: It's What's Outside That Counts</t>
  </si>
  <si>
    <t>CCSS.RI.6.4; CCSS.RI.6.2; CCSS.RI.6.6; CCSS.RI.6.5; CCSS.RI.6.10; CCSS.CCRA.R.1; CCSS.RI.6.5; CCSS.RI.6.4; CCSS.CCRA.R.1</t>
  </si>
  <si>
    <t>Topic Overview; Read; Check; Analyze; Structure in Informational Texts</t>
  </si>
  <si>
    <t>Share Your Reflections; Raise Your Score: Test Strategy: Predictions ; Apply Your Learning: Structure in Informational Texts</t>
  </si>
  <si>
    <t>Module 2: How the Teens of St. Pete Youth Farm Fight Food Insecurity, One Harvest at a Time</t>
  </si>
  <si>
    <t>CCSS.RI.6.5; CCSS.RI.6.2; CCSS.RI.6.3; CCSS.RI.6.4; CCSS.RI.6.10; CCSS.CCRA.R.1; CCSS.RI.6.3; CCSS.RI.6.5; CCSS.CCRA.R.1</t>
  </si>
  <si>
    <t>Topic Overview; Read; Check; Analyze; Point of View and Purpose in Informational Texts</t>
  </si>
  <si>
    <t>Share Your Reflections; Apply Your Learning: Point of View, Perspective, and Purpose in Informational Texts</t>
  </si>
  <si>
    <t>Module 3: Students Keep Hundreds of Pounds of Food Waste From Entering Landfills</t>
  </si>
  <si>
    <t>CCSS.RI.6.6; CCSS.RI.6.10; CCSS.RI.6.1; CCSS.RI.6.4; CCSS.RI.6.5; CCSS.RI.6.10; CCSS.CCRA.R.1; CCSS.RI.6.5; CCSS.RI.6.6; CCSS.CCRA.R.1</t>
  </si>
  <si>
    <t>Share Your Reflections; Raise Your Score: Test Strategy: Eliminating Distractors ; Apply Your Learning: Summarizing and Paraphrasing Informational Texts</t>
  </si>
  <si>
    <t>Module 4: Food Factories of the Future?</t>
  </si>
  <si>
    <t>CCSS.RI.6.4; CCSS.RI.6.10; CCSS.RI.6.6; CCSS.RI.6.2; CCSS.CCRA.R.1; CCSS.RI.6.7; CCSS.RI.6.3; CCSS.RI.6.1; CCSS.CCRA.R.1</t>
  </si>
  <si>
    <t>Evaluating Evidence; Read and Check; Understanding a Topic Through Multiple Texts</t>
  </si>
  <si>
    <t>Evaluate Informational Texts; Understand Topics: Additional Texts</t>
  </si>
  <si>
    <t>Module 5: Read Across Genres; Farms Sprout in Cities; Rooftop Farming Is Getting off the Ground; Recycling Center; Food Waste</t>
  </si>
  <si>
    <t>CCSS.RI.6.1; CCSS.RI.6.9; CCSS.RI.6.9</t>
  </si>
  <si>
    <t>Synthesizing Information from Sources</t>
  </si>
  <si>
    <t>Plan Your Research: Step 1: Explore the Topic; Plan Your Research: Step 2: Find Reliable Sources; Plan Your Research: Step 3: Collect Relevant and Reliable Evidence</t>
  </si>
  <si>
    <t>Module 6: Research Skills</t>
  </si>
  <si>
    <t>CCSS.RI.6.7; CCSS.RI.6.9; CCSS.RI.6.8</t>
  </si>
  <si>
    <t>Panel Discussion; Texts to Analyze and Discuss</t>
  </si>
  <si>
    <t>Module 7: Panel Discussion</t>
  </si>
  <si>
    <t>Topic Overview; Read; Check; Analyze; Student Exemplar: How to Secure the Future of Food</t>
  </si>
  <si>
    <t>Read the Informative Writing Rubric; Score the Example</t>
  </si>
  <si>
    <t>Module 8: Portfolio: Writing Your Research Paper</t>
  </si>
  <si>
    <t>CCSS.RI.6.4; CCSS.RI.6.10; CCSS.RI.6.1; CCSS.RI.6.5</t>
  </si>
  <si>
    <t>Grade 6, Unit 4, Module 9</t>
  </si>
  <si>
    <t>Unit 4 Core Assessment: “Where in the World? A Source of Controversy?” and “Peace Corps: The Toughest Job You'll Ever Love”</t>
  </si>
  <si>
    <t>Module 9: Unit Reading Assessment and Reflection</t>
  </si>
  <si>
    <t>CCSS.RI.6.5</t>
  </si>
  <si>
    <t>Topic Overview; Read; Check; Analyze; Understanding the Importance of Setting in Drama</t>
  </si>
  <si>
    <t>Map the Play: Part I: Potential Conflicts; Share Your Reflections; Apply Your Learning: Understanding the Importance of Setting in Drama; Sharpen Your Sentences</t>
  </si>
  <si>
    <r>
      <rPr>
        <rFont val="Montserrat"/>
        <color rgb="FF434343"/>
        <sz val="8.0"/>
      </rPr>
      <t xml:space="preserve">Module 1: </t>
    </r>
    <r>
      <rPr>
        <rFont val="Montserrat"/>
        <i/>
        <color rgb="FF434343"/>
        <sz val="8.0"/>
      </rPr>
      <t>Sorry, Wrong Number</t>
    </r>
    <r>
      <rPr>
        <rFont val="Montserrat"/>
        <color rgb="FF434343"/>
        <sz val="8.0"/>
      </rPr>
      <t>: Part I</t>
    </r>
  </si>
  <si>
    <t>CCSS.RL.6.5; CCSS.RL.6.1; CCSS.RL.6.2; CCSS.RL.6.3; CCSS.RL.6.6; CCSS.RI.6.4; CCSS.RI.6.10; CCSS.RL.6.5; CCSS.CCRA.R.1; CCSS.RL.6.6; CCSS.RL.6.3; CCSS.CCRA.R.1</t>
  </si>
  <si>
    <t>Topic Overview; Read; Check; Analyze; Impact of Point of View on Audience (Suspense and Humor Techniques)</t>
  </si>
  <si>
    <t>Map the Play: Part II: Map the Plot; Share Your Reflections; Raise Your Score: Test Strategy: Context Clues; Apply Your Learning: Suspense and Humor Techniques</t>
  </si>
  <si>
    <r>
      <rPr>
        <rFont val="Montserrat"/>
        <color rgb="FF434343"/>
        <sz val="8.0"/>
      </rPr>
      <t xml:space="preserve">Module 2: </t>
    </r>
    <r>
      <rPr>
        <rFont val="Montserrat"/>
        <i/>
        <color rgb="FF434343"/>
        <sz val="8.0"/>
      </rPr>
      <t>Sorry, Wrong Number</t>
    </r>
    <r>
      <rPr>
        <rFont val="Montserrat"/>
        <color rgb="FF434343"/>
        <sz val="8.0"/>
      </rPr>
      <t>: Part II</t>
    </r>
  </si>
  <si>
    <t>CCSS.RL.6.6; CCSS.RL.6.1; CCSS.RL.6.2; CCSS.RL.6.3; CCSS.RL.6.4; CCSS.RI.6.4; CCSS.RI.6.10; CCSS.RL.6.5; CCSS.RL.6.5; CCSS.RL.6.4; CCSS.CCRA.R.1; CCSS.RL.6.6; CCSS.CCRA.R.1</t>
  </si>
  <si>
    <t>Topic Overview; Read; Check; Analyze; Understanding Types of Conflict in Literature</t>
  </si>
  <si>
    <t>Map the Play: Part III: Conflict Between Characters;  Share Your Reflections; Apply Your Learning: Understanding Types of Conflict in Literature</t>
  </si>
  <si>
    <r>
      <rPr>
        <rFont val="Montserrat"/>
        <color rgb="FF434343"/>
        <sz val="8.0"/>
      </rPr>
      <t xml:space="preserve">Module 3: </t>
    </r>
    <r>
      <rPr>
        <rFont val="Montserrat"/>
        <i/>
        <color rgb="FF434343"/>
        <sz val="8.0"/>
      </rPr>
      <t>Sorry, Wrong Number</t>
    </r>
    <r>
      <rPr>
        <rFont val="Montserrat"/>
        <color rgb="FF434343"/>
        <sz val="8.0"/>
      </rPr>
      <t>: Part III</t>
    </r>
  </si>
  <si>
    <t>CCSS.RL.6.3; CCSS.RL.6.2; CCSS.RL.6.4; CCSS.RL.6.5,; CCSS.RI.6.4; CCSS.RI.6.10; CCSS.RL.6.5; CCSS.CCRA.R.1; CCSS.CCRA.R.1; CCSS.RL.6.3,</t>
  </si>
  <si>
    <t>Compare and Contrast Literature in Different Mediums; Read and Check; Using Historical Background to Build Context for Drama</t>
  </si>
  <si>
    <t>Compare Text to Multimedia; Build Context: Informational Text</t>
  </si>
  <si>
    <r>
      <rPr>
        <rFont val="Montserrat"/>
        <color rgb="FF434343"/>
        <sz val="8.0"/>
      </rPr>
      <t xml:space="preserve">Module 4: Read Across Genres; “Excerpt from </t>
    </r>
    <r>
      <rPr>
        <rFont val="Montserrat"/>
        <i/>
        <color rgb="FF434343"/>
        <sz val="8.0"/>
      </rPr>
      <t>Sorry, Wrong Number</t>
    </r>
    <r>
      <rPr>
        <rFont val="Montserrat"/>
        <color rgb="FF434343"/>
        <sz val="8.0"/>
      </rPr>
      <t xml:space="preserve">” by Lucille Fletcher and “Original Broadcast of </t>
    </r>
    <r>
      <rPr>
        <rFont val="Montserrat"/>
        <i/>
        <color rgb="FF434343"/>
        <sz val="8.0"/>
      </rPr>
      <t>Sorry, Wrong Number</t>
    </r>
    <r>
      <rPr>
        <rFont val="Montserrat"/>
        <color rgb="FF434343"/>
        <sz val="8.0"/>
      </rPr>
      <t xml:space="preserve"> on the Suspense Show” by Suspense; 100 Years of Radio Drama; </t>
    </r>
    <r>
      <rPr>
        <rFont val="Montserrat"/>
        <i/>
        <color rgb="FF434343"/>
        <sz val="8.0"/>
      </rPr>
      <t>Sorry, Wrong Number</t>
    </r>
    <r>
      <rPr>
        <rFont val="Montserrat"/>
        <color rgb="FF434343"/>
        <sz val="8.0"/>
      </rPr>
      <t xml:space="preserve"> Created the Telephone Horror Movie</t>
    </r>
  </si>
  <si>
    <t>CCSS.RL.6.7; CCSS.RI.6.10; CCSS.RI.6.2; CCSS.RI.6.9</t>
  </si>
  <si>
    <t>Performance; Texts to Prepare for Your Performance</t>
  </si>
  <si>
    <t>Module 5: Performance</t>
  </si>
  <si>
    <t>Topic Overview; Read; Check; Analyze; Student Exemplar: Mrs. Stevenson</t>
  </si>
  <si>
    <t>Read the Informative Writing Rubric; Score the Example; Choose Your Focus; Share Your Essay</t>
  </si>
  <si>
    <t>Module 6: Portfolio: Writing Your Cause-and-Effect Essay</t>
  </si>
  <si>
    <t>CCSS.RI.6.4; CCSS.RI.6.10; CCSS.RI.6.1; CCSS.RL.6.5</t>
  </si>
  <si>
    <t>Grade 6, Unit 5, Module 7</t>
  </si>
  <si>
    <r>
      <rPr>
        <rFont val="Montserrat"/>
        <color rgb="FFFFFFFF"/>
        <sz val="8.0"/>
      </rPr>
      <t xml:space="preserve">Unit 5 Core Assessment: from </t>
    </r>
    <r>
      <rPr>
        <rFont val="Montserrat"/>
        <i/>
        <color rgb="FFFFFFFF"/>
        <sz val="8.0"/>
      </rPr>
      <t>Sorry, Wrong Number</t>
    </r>
    <r>
      <rPr>
        <rFont val="Montserrat"/>
        <color rgb="FFFFFFFF"/>
        <sz val="8.0"/>
      </rPr>
      <t xml:space="preserve"> and film clip of </t>
    </r>
    <r>
      <rPr>
        <rFont val="Montserrat"/>
        <i/>
        <color rgb="FFFFFFFF"/>
        <sz val="8.0"/>
      </rPr>
      <t>Sorry, Wrong Number</t>
    </r>
  </si>
  <si>
    <t>Module 7: Unit Reading Assessment and Reflection</t>
  </si>
  <si>
    <t>CCSS.RL.6.7; CCSS.RL.6.5</t>
  </si>
  <si>
    <t>Topic Overview; Read; Check; Analyze; Using Examples and Anecdotes to Explain Ideas; Context Clues</t>
  </si>
  <si>
    <t>Share Your Reflections; Apply Your Learning: Analyzing Connections in Informational Text</t>
  </si>
  <si>
    <t>Module 1: Build Your Brain!</t>
  </si>
  <si>
    <t xml:space="preserve">CCSS.RI.6.3; CCSS.RI.6.1; CCSS.RI.6.6; CCSS.RI.6.2; CCSS.RI.6.8; CCSS.RI.6.4; CCSS.RI.6.10; CCSS.CCRA.R.1; CCSS.RI.6.8; CCSS.CCRA.R.1
</t>
  </si>
  <si>
    <t>Topic Overview; Read; Check; Analyze; The Impact of an Author's Choices: Selecting and Arranging Details</t>
  </si>
  <si>
    <t>Share Your Reflections; Raise Your Score: Test Strategy: Eliminate Answers That Don't Make Sense; Apply Your Learning: Using Examples and Anecdotes to Explain Ideas</t>
  </si>
  <si>
    <t>Module 2: Learning Rewires the Brain</t>
  </si>
  <si>
    <t>CCSS.RI.6.3; CCSS.RI.6.2; CCSS.RI.6.4; CCSS.RI.6.8; CCSS.RI.6.10; CCSS.CCRA.R.1; CCSS.RI.6.8; CCSS.RI.6.9; CCSS.CCRA.R.1</t>
  </si>
  <si>
    <t>Topic Overview; Read; Check; Analyze; The Impact of an Author's Choices: Words and Images</t>
  </si>
  <si>
    <t>Share Your Reflections; Apply Your Learning: The Impact of an Author’s Choices: Selecting and Arranging Details</t>
  </si>
  <si>
    <t>Module 3: Inside the Reading Mind</t>
  </si>
  <si>
    <t>CCSS.RI.6.6; CCSS.RI.6.2; CCSS.RI.6.7; CCSS.RI.6.1; CCSS.RI.6.3; CCSS.RI.6.4; CCSS.RI.6.10; CCSS.CCRA.R.1; CCSS.RI.6.3; CCSS.CCRA.R.1</t>
  </si>
  <si>
    <t>Topic Overview; Read; Check; Analyze; Analyzing Connections within Informational Texts</t>
  </si>
  <si>
    <t>Share Your Reflections; Raise Your Score: Test Strategy: Look for Keywords and Phrases; Apply Your Learning:  The Impact of an Author’s Choices: Words and Images</t>
  </si>
  <si>
    <t>Module 4: Mindset Matters</t>
  </si>
  <si>
    <t>CCSS.RI.6.3; CCSS.RI.6.2; CCSS.RI.6.6; CCSS.RI.6.5; CCSS.RI.6.7; CCSS.RI.6.4; CCSS.RI.6.10; CCSS.CCRA.R.1; CCSS.RI.6.7; CCSS.CCRA.R.1; CCSS.RI.6.3,</t>
  </si>
  <si>
    <t>Read and Check; Using Informational Texts to Make Personal Connections</t>
  </si>
  <si>
    <t>Compare Pathways; Take Notes: Informational Texts; Inquiry-Driven Research</t>
  </si>
  <si>
    <t>Module 5: Read Across Genres; By the Numbers; The Search for a Career; Memory Lane; Breaking the Brain Code</t>
  </si>
  <si>
    <t>CCSS.RI.6.7; CCSS.RI.6.7</t>
  </si>
  <si>
    <t>Pitch Deck; Texts to Analyze and Discuss</t>
  </si>
  <si>
    <t>Module 6: Pitch Deck</t>
  </si>
  <si>
    <t>Topic Overview; Read; Check; Analyze; Student Exemplar: Recess Leaders</t>
  </si>
  <si>
    <t>Read the Informative Writing Rubric; Score the Example; Practice Feedback; Plan Your Future; Map Your Plan, Use Examples and Anecdotes, Share Your Plan</t>
  </si>
  <si>
    <t>Module 7: Portfolio: Writing Your Definition Essay</t>
  </si>
  <si>
    <t>CCSS.RI.6.4; CCSS.RI.6.10; CCSS.RI.6.1</t>
  </si>
  <si>
    <t>Grade 6, Unit 6, Module 8</t>
  </si>
  <si>
    <t>Unit 6 Core Assessment: “A Guide to Believing Brain” and “Unforgettable”</t>
  </si>
  <si>
    <t>CCSS.RI.6.6</t>
  </si>
  <si>
    <t>Topic Overview; Read; Check; Analyze; Summarizing Literary Texts</t>
  </si>
  <si>
    <t xml:space="preserve">Share Your Reflections; Apply Your Learning: Summarizing Literary Texts; </t>
  </si>
  <si>
    <t>Module 1: The Twin Heroes</t>
  </si>
  <si>
    <t>CCSS.RL.6.2; CCSS.RL.6.1; CCSS.RL.6.4; CCSS.RL.6.6;CCSS.RI.6.4; CCSS.RI.6.10; CCSS.CCRA.R.1; CCSS.RL.6.6; CCSS.CCRA.R.1</t>
  </si>
  <si>
    <t>Topic Overview; Read; Check; Analyze; Analyzing Traditional Tales: Mythology</t>
  </si>
  <si>
    <t>Share Your Reflections; Raise Your Score: Test Strategy: Analyzing Verbs Found in Prompts; Apply Your Learning: Analyzing Traditional Tales: Mythology</t>
  </si>
  <si>
    <t>Module 2: Echo and Narcissus</t>
  </si>
  <si>
    <t>CCSS.RL.6.3; CCSS.RL.6.1; CCSS.RL.6.2; CCSS.RL.6.4; CCSS.RL.6.5; CCSS.RI.6.4; CCSS.RI.6.10; CCSS.CCRA.R.1; CCSS.RL.6.5; CCSS.CCRA.R.3; CCSS.RL.6.3; CCSS.CCRA.R.1</t>
  </si>
  <si>
    <t>Topic Overview; Read; Check; Analyze; Analyzing Traditional Tales: Fairy Tales</t>
  </si>
  <si>
    <t>Share Your Reflections; Apply Your Learning: Analyzing Traditional Tales: Fairy Tales</t>
  </si>
  <si>
    <t>Module 3: The Fisherman and His Wife</t>
  </si>
  <si>
    <t>CCSS.RL.6.3; CCSS.RL.6.4; CCSS.RL.6.6; CCSS.RL.6.1; CCSS.RI.6.4; CCSS.RI.6.10; CCSS.RL.6.2; CCSS.CCRA.R.1; CCSS.RL.6.1; CCSS.RL.6.2; CCSS.CCRA.R.1</t>
  </si>
  <si>
    <t>Topic Overview; Read; Check; Analyze; Common Themes Within and Across Texts; Plot and Its Impact on Theme and Setting</t>
  </si>
  <si>
    <t>Share Your Reflections; Raise Your Score: Test Strategy: Paraphrasing Prompts; Apply Your Learning: Common Themes Within and Across Texts</t>
  </si>
  <si>
    <r>
      <rPr>
        <rFont val="Montserrat"/>
        <color rgb="FF434343"/>
        <sz val="8.0"/>
      </rPr>
      <t xml:space="preserve">Module 4: “Excerpt from </t>
    </r>
    <r>
      <rPr>
        <rFont val="Montserrat"/>
        <i/>
        <color rgb="FF434343"/>
        <sz val="8.0"/>
      </rPr>
      <t>Black Ships Before Troy</t>
    </r>
    <r>
      <rPr>
        <rFont val="Montserrat"/>
        <color rgb="FF434343"/>
        <sz val="8.0"/>
      </rPr>
      <t>: The Golden Apple”</t>
    </r>
  </si>
  <si>
    <t>CCSS.RL.6.2; CCSS.RL.6.4; CCSS.RL.6.5; CCSS.RL.6.3; CCSS.RI.6.4; CCSS.RI.6.10; CCSS.RL.6.9; CCSS.CCRA.R.1; CCSS.RL.6.3; CCSS.CCRA.R.9; CCSS.CCRA.R.1; CCSS.RL.6.9; CCSS.RL.6.5</t>
  </si>
  <si>
    <t>Analyzing Poetic Structure; Read and Check; Using Texts to Understand Multiple Perspectives</t>
  </si>
  <si>
    <t>Read and Analyze Poetry: Analyze Poetic Structure; The Poetic Form and Structure of the Sonnet and Villanelle; Understand Multiple Perspectives: Using Texts to Understand Multiple Perspectives</t>
  </si>
  <si>
    <t>Module 5: Read Across Genres; Contentment; Legacies; How Fairy Tales Have Stood the Test of Time; A Fairy Tale Is More Than Just a Fairy Tale</t>
  </si>
  <si>
    <t>CCSS.RL.6.5; CCSS.CCRA.R.5; CCSS.RI.6.10; CCSS.RL.6.10; CCSS.RL.6.9; CCSS.RI.6.2</t>
  </si>
  <si>
    <t>Topic Overview; Read; Check; Analyze; Student Exemplar: Always Wanting More</t>
  </si>
  <si>
    <t>Module 7: Portfolio: Writing Your Literary Analysis</t>
  </si>
  <si>
    <t>CCSS.RI.6.4; CCSS.RI.6.10; CCSS.RI.6.1; CCSS.RL.6.5; CCSS.RL.6.9</t>
  </si>
  <si>
    <t>Grade 6, Unit 7, Module 8</t>
  </si>
  <si>
    <t>Unit 7 Core Assessment: “Excerpt from The Shepherdess and the Sweep” and “The Road Not Taken”</t>
  </si>
  <si>
    <t>CCSS.RL.6.9; CCSS.RL.6.3; CCSS.RL.6.5</t>
  </si>
  <si>
    <t>Share Your Reflections; Apply Your Learning: Citing Evidence to Write About Literary Texts</t>
  </si>
  <si>
    <t>Module 1: Seventh Grade</t>
  </si>
  <si>
    <t>CCSS.RL.7.1; CCSS.RL.7.4; CCSS.RL.7.3; CCSS.RL.7.2; CCSS.RI.7.4; CCSS.RI.7.10; CCSS.CCRA.R.1; CCSS.RL.7.2</t>
  </si>
  <si>
    <t xml:space="preserve">Share Your Reflections; Raise Your Score; Apply Your Learning: Determining Theme and Author’s Message in a Personal Narrative </t>
  </si>
  <si>
    <t>Module 2: The Coolness Equation</t>
  </si>
  <si>
    <t>CCSS.RL.7.2; CCSS.RL.7.1; CCSS.RL.7.4; CCSS.RI.7.4; CCSS.RI.7.10; CCSS.CCRA.R.1; CCSS.RL.7.4; CCSS.CCRA.R.2; CCSS.RL.7.2; CCSS.CCRA.R.1</t>
  </si>
  <si>
    <t>Topic Overview; Read; Check; Analyze; Tone</t>
  </si>
  <si>
    <t>Share Your Reflections;  Apply Your Learning: Determining the Meaning of Words and Phrases in Literary Texts;  Raise Your Score: Test Strategy: Error Analysis</t>
  </si>
  <si>
    <t>Module 3: Seventy-Six Dollars and Forty-Nine Cents:  A Story in Verse</t>
  </si>
  <si>
    <t>CCSS.RL.7.4; CCSS.RL.7.6; CCSS.RL.7.2,; CCSS.RI.7.4; CCSS.RI.7.10; CCSS.CCRA.R.1; CCSS.RL.7.2; CCSS.RL.7.4; CCSS.CCRA.R.1</t>
  </si>
  <si>
    <t>Share Your Reflections; Apply Your Learning: Analyzing Imagery in a Personal Narrative</t>
  </si>
  <si>
    <t>Module 4: Fourth Grade Ukus</t>
  </si>
  <si>
    <t>CCSS.RL.7.4; CCSS.RL.7.3; CCSS.RI.7.4; CCSS.RI.7.10; CCSS.CCRA.R.1; CCSS.RL.7.3; CCSS.CCRA.R.4; CCSS.CCRA.R.1; CCSS.RL.7.4</t>
  </si>
  <si>
    <t>Module 5: Read Across Genres; Stomp; This Morning I Pray for My Enemies; “‘Popular’ Kids Aren’t That Special”; Searching for Better, Cooler Friends Might Backfire</t>
  </si>
  <si>
    <t>CCSS.RL.7.6; CCSS.RI.7.9; CCSS.RI.7.10; CCSS.RI.7.2; CCSS.RI.7.4; CCSS.RI.7.5; CCSS.RL.7.4; CCSS.RI.7.10; CCSS.RI.7.9</t>
  </si>
  <si>
    <t>Topic Overview; Read; Check; Analyze; Student Exemplar: I Might Be Free Thursday</t>
  </si>
  <si>
    <t>CCSS.RI.7.4; CCSS.RI.7.10; CCSS.RL.7.2; CCSS.RI.7.6; CCSS.RI.7.2; CCSS.RI.7.1,</t>
  </si>
  <si>
    <t>Grade 7, Unit 1, Module 8</t>
  </si>
  <si>
    <t>Reading Independently; Unit 1 Core Assessment: “The Right Place” and “The Jazz Age”</t>
  </si>
  <si>
    <t>Analyze the Images; Analyze the Quote; Preview the Essential Question; Read the Argumentative Writing Rubric</t>
  </si>
  <si>
    <t>CCSS.RI.7.10; CCSS.RL.7.2; CCSS.RL.7.1; CCSS.RL.7.4</t>
  </si>
  <si>
    <t>Module 1: Building Better Drivers</t>
  </si>
  <si>
    <t>CCSS.RI.7.2; CCSS.RI.7.5; CCSS.RI.7.1; CCSS.RI.7.6; CCSS.RI.7.4; CCSS.RI.7.10; CCSS.CCRA.R.1; CCSS.RI.7.6; CCSS.RI.7.2; CCSS.CCRA.R.1</t>
  </si>
  <si>
    <t>Module 2: A Surprising Reason Preventing Some Students From Finishing College: Lack of Transportation</t>
  </si>
  <si>
    <t>CCSS.RI.7.1; CCSS.RI.7.2; CCSS.RI.7.6; CCSS.RI.7.4; CCSS.RI.7.4; CCSS.RI.7.10; CCSS.CCRA.R.1; CCSS.RI.7.1; CCSS.CCRA.R.1</t>
  </si>
  <si>
    <t>Topic Overview; Read; Check; Analyze; Analyzing Text Features; Types of Reasoning</t>
  </si>
  <si>
    <t>Module 3: A System in Sync: Smart Cars Need Smart Roads</t>
  </si>
  <si>
    <t>CCSS.RI.7.5; CCSS.RI.7.7; CCSS.RI.7.6; CCSS.RI.7.1; CCSS.RI.7.2; CCSS.RI.7.4; CCSS.RI.7.4; CCSS.RI.7.10; CCSS.CCRA.R.1; CCSS.CCRA.R.1</t>
  </si>
  <si>
    <t>Topic Overview; Read; Check; Analyze; Analyzing Issues and Appeals</t>
  </si>
  <si>
    <t>Share Your Reflections; Raise Your Score: Test Strategy: Verify Your Answer; Apply Your Learning: Issues, Appeals, and Rhetorical Devices</t>
  </si>
  <si>
    <t>Module 4: The Case for Making Public Transit Free Everywhere</t>
  </si>
  <si>
    <t>CCSS.RI.7.6; CCSS.RI.7.4; CCSS.RI.7.2; CCSS.RI.7.10; CCSS.CCRA.R.1; CCSS.RI.7.2; CCSS.CCRA.R.1</t>
  </si>
  <si>
    <t>Analyzing an Author's Choices in Written Arguments; Read and Check; Understanding Visual Sources; Avoiding Logical Fallacies</t>
  </si>
  <si>
    <t>Analyze Arguments; Compare Arguments: Issues, Appeals, and Rhetorical Devices;  Visualize Information: Visual Texts</t>
  </si>
  <si>
    <t>Module 5: Read Across Genres; Unpopular Opinion: The Legal Driving Age Should Be Increased; Driving Ages Should Not Be Raised; Photo Essay: “Unusual Transit Systems Around the World”; Infographic: “The Role of Transportation in Promoting Physical Activity”</t>
  </si>
  <si>
    <t>CCSS.RI.7.8; CCSS.RI.7.5; CCSS.RI.7.7; CCSS.RI.7.7</t>
  </si>
  <si>
    <t>Topic Overview; Read; Check; Analyze; Student Exemplar: Getting Around</t>
  </si>
  <si>
    <t>CCSS.RI.7.4; CCSS.RI.7.10; CCSS.RI.7.5; CCSS.RI.7.1</t>
  </si>
  <si>
    <t>Grade 7, Unit 2, Module 8</t>
  </si>
  <si>
    <t>Unit 2 Core Assessment: “To GMO or NOT to GMO” and “Open to Debate”</t>
  </si>
  <si>
    <t>CCSS.RI.7.8; CCSS.RI.7.2; CCSS.RI.7.1</t>
  </si>
  <si>
    <t>Module 1: All Summer in a Day</t>
  </si>
  <si>
    <t>CCSS.RL.7.2; CCSS.RL.7.4; CCSS.RL.7.6; CCSS.RL.7.3; CCSS.RI.7.4; CCSS.RI.7.10; CCSS.CCRA.R.1; CCSS.RL.7.3; CCSS.RL.7.2; CCSS.CCRA.R.1</t>
  </si>
  <si>
    <t>Topic Overview; Read; Check; Analyze; Analyzing Direct and Indirect Characterization</t>
  </si>
  <si>
    <t>Share Your Reflections; Raise Your Score: Test Strategy: Summarizing the Text; Apply Your Learning: Analyzing Direct and Indirect Characterization</t>
  </si>
  <si>
    <t>Module 2: Harrison Bergeron</t>
  </si>
  <si>
    <t>CCSS.RL.7.3; CCSS.RL.7.1; CCSS.RL.7.2; CCSS.RL.7.4; CCSS.RI.7.4; CCSS.RI.7.10; CCSS.CCRA.R.1; CCSS.RL.7.4; CCSS.CCRA.R.3; CCSS.RL.7.3; CCSS.CCRA.R.1</t>
  </si>
  <si>
    <t>Share Your Reflections; Apply Your Learning: Analyzing Story Elements in Literature; Write to Impress: Interpret Figurative Language; Share Your Plan</t>
  </si>
  <si>
    <t>Module 3: Rainmaker</t>
  </si>
  <si>
    <t>CCSS.RL.7.3; CCSS.RL.7.1; CCSS.RI.7.4; CCSS.RI.7.10; CCSS.RL.7.4; CCSS.CCRA.R.1; CCSS.RL.7.1; CCSS.RL.7.3; CCSS.CCRA.R.1; CCSS.L.7.5.a</t>
  </si>
  <si>
    <t>Topic Overview; Read; Check; Analyze; Developing Point of View in Literature</t>
  </si>
  <si>
    <t>Share Your Reflections; Raise Your Score: Test Strategy: Keep Calm and Answer On; Apply Your Learning: Developing Point of View in Literature</t>
  </si>
  <si>
    <t>Module 4: No Me Dejas</t>
  </si>
  <si>
    <t>CCSS.RL.7.6; CCSS.RL.7.2; CCSS.RL.7.3; CCSS.RL.7.4; CCSS.RI.7.4; CCSS.RI.7.10; CCSS.RL.7.10; CCSS.CCRA.R.1; CCSS.RL.7.4; CCSS.CCRA.R.1; CCSS.RL.7.10; CCSS.RL.7.6,</t>
  </si>
  <si>
    <t>Analyze and Compare Poetry; Enhance Understanding: Informational Text</t>
  </si>
  <si>
    <t>Module 5: Read Across Genres; “the poem is a dream telling you its time”; [The cry of the cicada] and [An ancient pond!]; 3D Glasses on Reality; Making Strange Worlds</t>
  </si>
  <si>
    <t>CCSS.RL.7.4; CCSS.RL.7.2; CCSS.RL.7.5; CCSS.RL.7.6; CCSS.RI.7.10; CCSS.RL.7.10; CCSS.RL.7.4; CCSS.RL.7.5; CCSS.RI.7.6</t>
  </si>
  <si>
    <t>Topic Overview; Read; Check; Analyze; Student Exemplar: The Final Trip</t>
  </si>
  <si>
    <t>CCSS.RI.7.4; CCSS.RI.7.10; CCSS.RL.7.1; CCSS.RI.7.1; CCSS.RI.7.6; CCSS.RL.7.3</t>
  </si>
  <si>
    <t>Grade 7, Unit 3, Module 8</t>
  </si>
  <si>
    <t>Unit 3 Core Assessment: “Heart Quest” and “The Buckwheat”</t>
  </si>
  <si>
    <t>CCSS.RL.7.3; CCSS.RL.7.2; CCSS.RL.7.6</t>
  </si>
  <si>
    <t>Topic Overview; Read; Check; Analyze; Determining the Meaning of Words and Phrases</t>
  </si>
  <si>
    <t>Module 1: She Tried to Avoid Plastic While Grocery Shopping for a Week. Here's How It Went.</t>
  </si>
  <si>
    <t>CCSS.RI.7.4; CCSS.RI.7.2; CCSS.RI.7.1; CCSS.RI.7.5; CCSS.RI.7.6; CCSS.RI.7.10; CCSS.RL.7.4; CCSS.CCRA.R.1; CCSS.RI.7.6; CCSS.RI.7.4; CCSS.CCRA.R.1</t>
  </si>
  <si>
    <t>Module 2: How the Plastic Bottle Went from Miracle Container to Hated Garbage</t>
  </si>
  <si>
    <t>CCSS.RI.7.5; CCSS.RI.7.4; CCSS.RI.7.4; CCSS.RI.7.10; CCSS.CCRA.R.1; CCSS.RI.7.5; CCSS.CCRA.R.1</t>
  </si>
  <si>
    <t>Module 3: In the Ocean, It’s Snowing Microplastics</t>
  </si>
  <si>
    <t>CCSS.RI.7.6; CCSS.RI.7.2; CCSS.RI.7.5; CCSS.RI.7.4; CCSS.RI.7.4; CCSS.RI.7.10; CCSS.CCRA.R.1; CCSS.RI.7.6; CCSS.CCRA.R.1</t>
  </si>
  <si>
    <t>Topic Overview; Read; Check; Analyze; Summarizing Informational Texts</t>
  </si>
  <si>
    <t>Module 4: Help for a World Drowning in Microplastics</t>
  </si>
  <si>
    <t>CCSS.RI.7.2; CCSS.RI.7.5; CCSS.RI.7.6; CCSS.RI.7.4; CCSS.RI.7.1; CCSS.RI.7.10; CCSS.CCRA.R.1; CCSS.RI.7.1; CCSS.CCRA.R.1</t>
  </si>
  <si>
    <t>Evaluating Evidence; Read and Check; Understanding a Topic through Multiple Texts</t>
  </si>
  <si>
    <t>Module 5: Read Across Genres; There Are Some Single-Use Plastics We Truly Need. The Rest We Can Live Without; Researchers Say Environmentally Conscious Shoppers Don't Bring Reusable Bags to the Store; This 12-Year-Old Girl Built a Robot that Can Find Microplastics in the Ocean; A Young Entrepreneur Turns Plastic Waste into Water Bottles</t>
  </si>
  <si>
    <t>CCSS.RI.7.1; CCSS.RI.7.9; CCSS.RI.7.9</t>
  </si>
  <si>
    <t xml:space="preserve">Plan Your Research: Step 1: Explore the Topic; Plan Your Research: Step 2: Find Reliable Sources; Plan Your Research: Step 3: Collect Relevant and Reliable Evidence
</t>
  </si>
  <si>
    <t>CCSS.RI.7.9; CCSS.RI.7.7; CCSS.RI.7.8</t>
  </si>
  <si>
    <t xml:space="preserve"> Topic Overview; Read; Check; Analyze; Student Exemplar: Plastic for Dinner?</t>
  </si>
  <si>
    <t>CCSS.RI.7.4; CCSS.RI.7.10; CCSS.RI.7.1; CCSS.RI.7.5,</t>
  </si>
  <si>
    <t>Grade 7, Unit 4, Module 9</t>
  </si>
  <si>
    <t>Unit 4 Core Assessment: “From Seed to Feed” and “Natural Gas Basics”</t>
  </si>
  <si>
    <t>CCSS.RI.7.5; CCSS.RI.7.6; CCSS.RI.7.4</t>
  </si>
  <si>
    <t>Topic Overview; Read; Check; Analyze; Understanding Types of Conflict in Literature; Context Clues</t>
  </si>
  <si>
    <t>Map the Play: Act I: Potential Conflicts; Share Your Reflections; Apply Your Learning: Understanding Types of Conflict in Literature</t>
  </si>
  <si>
    <r>
      <rPr>
        <rFont val="Montserrat"/>
        <color rgb="FF434343"/>
        <sz val="8.0"/>
      </rPr>
      <t xml:space="preserve">Module 1: </t>
    </r>
    <r>
      <rPr>
        <rFont val="Montserrat"/>
        <i/>
        <color rgb="FF434343"/>
        <sz val="8.0"/>
      </rPr>
      <t>A Midsummer Night's Dream</t>
    </r>
    <r>
      <rPr>
        <rFont val="Montserrat"/>
        <color rgb="FF434343"/>
        <sz val="8.0"/>
      </rPr>
      <t>:  Act I</t>
    </r>
  </si>
  <si>
    <t>CCSS.RL.7.3; CCSS.RL.7.2; CCSS.RL.7.4; CCSS.RL.7.1; CCSS.RI.7.4; CCSS.RI.7.10; CCSS.RL.7.5; CCSS.RL.7.5; CCSS.CCRA.R.1; CCSS.RL.7.1; CCSS.RL.7.3; CCSS.CCRA.R.1</t>
  </si>
  <si>
    <t>Topic Overview; Read; Check; Analyze; How Playwrights Introduce Dramatic Action Through Scenes</t>
  </si>
  <si>
    <t>Map the Play: Act II: Map the Plot; Share Your Reflections; Raise Your Score: Test Strategy: Context Clues; Apply Your Learning: How Playwrights Introduce Dramatic Action Through Scenes</t>
  </si>
  <si>
    <r>
      <rPr>
        <rFont val="Montserrat"/>
        <color rgb="FF434343"/>
        <sz val="8.0"/>
      </rPr>
      <t xml:space="preserve">Module 2: </t>
    </r>
    <r>
      <rPr>
        <rFont val="Montserrat"/>
        <i/>
        <color rgb="FF434343"/>
        <sz val="8.0"/>
      </rPr>
      <t>A Midsummer Night's Dream</t>
    </r>
    <r>
      <rPr>
        <rFont val="Montserrat"/>
        <color rgb="FF434343"/>
        <sz val="8.0"/>
      </rPr>
      <t>:  Act II</t>
    </r>
  </si>
  <si>
    <t>CCSS.RL.7.5; CCSS.RL.7.2; CCSS.RL.7.1; CCSS.RL.7.4; CCSS.RL.7.6; CCSS.RI.7.4; CCSS.RI.7.10; CCSS.RL.7.5; CCSS.CCRA.R.1; CCSS.RL.7.6; CCSS.CCRA.R.1</t>
  </si>
  <si>
    <t>Topic Overview; Read; Check; Analyze; Understanding Shakespearean Language</t>
  </si>
  <si>
    <t>Map the Play: Act III: Conflict Between Characters; Share Your Reflections; Apply Your Learning: Understanding Shakespearean Language</t>
  </si>
  <si>
    <r>
      <rPr>
        <rFont val="Montserrat"/>
        <color rgb="FF434343"/>
        <sz val="8.0"/>
      </rPr>
      <t xml:space="preserve">Module 3: </t>
    </r>
    <r>
      <rPr>
        <rFont val="Montserrat"/>
        <i/>
        <color rgb="FF434343"/>
        <sz val="8.0"/>
      </rPr>
      <t>A Midsummer Night's Dream</t>
    </r>
    <r>
      <rPr>
        <rFont val="Montserrat"/>
        <color rgb="FF434343"/>
        <sz val="8.0"/>
      </rPr>
      <t>:  Act III</t>
    </r>
  </si>
  <si>
    <t>CCSS.RL.7.4; CCSS.RL.7.1; CCSS.RL.7.2,; CCSS.RI.7.4; CCSS.RI.7.10; CCSS.RL.7.5; CCSS.RL.7.5; CCSS.CCRA.R.1; CCSS.RL.7.2; CCSS.CCRA.R.1</t>
  </si>
  <si>
    <t>Topic Overview; Read; Check; Analyze;  
Impact of Point of View on Audience (Suspense and Humor Techniques)</t>
  </si>
  <si>
    <t>Quick Journal; Map the Play: Act IV: Conflict Resolution; Share Your Reflections; Raise Your Score: Test Strategy: Analyzing Word Choices; Share Your Plan</t>
  </si>
  <si>
    <r>
      <rPr>
        <rFont val="Montserrat"/>
        <color rgb="FF434343"/>
        <sz val="8.0"/>
      </rPr>
      <t xml:space="preserve">Module 4: </t>
    </r>
    <r>
      <rPr>
        <rFont val="Montserrat"/>
        <i/>
        <color rgb="FF434343"/>
        <sz val="8.0"/>
      </rPr>
      <t>A Midsummer Night's Dream</t>
    </r>
    <r>
      <rPr>
        <rFont val="Montserrat"/>
        <color rgb="FF434343"/>
        <sz val="8.0"/>
      </rPr>
      <t>:  Act IV</t>
    </r>
  </si>
  <si>
    <t>CCSS.RI.7.4; CCSS.RI.7.10; CCSS.RL.7.5; CCSS.RL.7.6; CCSS.RL.7.5; CCSS.CCRA.R.1; CCSS.RL.7.2; CCSS.RL.7.4; CCSS.CCRA.R.1</t>
  </si>
  <si>
    <t>Topic Overview; Read; Check; Analyze; How Playwrights Resolve Dramatic Action Through Scenes</t>
  </si>
  <si>
    <t>Map the Play: Act V: Theme Statements; Share Your Reflections; Share Your Plan</t>
  </si>
  <si>
    <r>
      <rPr>
        <rFont val="Montserrat"/>
        <color rgb="FF434343"/>
        <sz val="8.0"/>
      </rPr>
      <t xml:space="preserve">Module 5: </t>
    </r>
    <r>
      <rPr>
        <rFont val="Montserrat"/>
        <i/>
        <color rgb="FF434343"/>
        <sz val="8.0"/>
      </rPr>
      <t>A Midsummer Night's Dream</t>
    </r>
    <r>
      <rPr>
        <rFont val="Montserrat"/>
        <color rgb="FF434343"/>
        <sz val="8.0"/>
      </rPr>
      <t>:  Act V</t>
    </r>
  </si>
  <si>
    <t>CCSS.RL.7.5; CCSS.RL.7.1; CCSS.RL.7.6; CCSS.RL.7.4; CCSS.RI.7.4; CCSS.RI.7.10; CCSS.RL.7.5; CCSS.CCRA.R.1; CCSS.RL.7.4; CCSS.RL.7.3; CCSS.CCRA.R.1</t>
  </si>
  <si>
    <r>
      <rPr>
        <rFont val="Montserrat"/>
        <color rgb="FF434343"/>
        <sz val="8.0"/>
      </rPr>
      <t xml:space="preserve">Module 6: Read Across Genres; Live Production of </t>
    </r>
    <r>
      <rPr>
        <rFont val="Montserrat"/>
        <i/>
        <color rgb="FF434343"/>
        <sz val="8.0"/>
      </rPr>
      <t>A Midsummer Night’s Dream</t>
    </r>
    <r>
      <rPr>
        <rFont val="Montserrat"/>
        <color rgb="FF434343"/>
        <sz val="8.0"/>
      </rPr>
      <t>;“Excerpt from A Midsummer Night’s Dream: Act III, Scene I” and “Bottom Takes a Selfie”; Shakespeare’s Other World; Fun with Words</t>
    </r>
  </si>
  <si>
    <t>CCSS.RL.7.7; CCSS.RI.7.10; CCSS.RI.7.2</t>
  </si>
  <si>
    <t>Texts to Prepare for Your Performance</t>
  </si>
  <si>
    <t>Module 7: Performance</t>
  </si>
  <si>
    <t>Topic Overview; Read; Check; Analyze; Student Exemplar: Love, Manipulated</t>
  </si>
  <si>
    <t>Module 8: Portfolio: Writing Your Cause-and-Effect Essay</t>
  </si>
  <si>
    <t>CCSS.RI.7.4; CCSS.RI.7.10; CCSS.RI.7.1; CCSS.RL.7.5</t>
  </si>
  <si>
    <t>Grade 7, Unit 5, Module 9</t>
  </si>
  <si>
    <r>
      <rPr>
        <rFont val="Montserrat"/>
        <color rgb="FFFFFFFF"/>
        <sz val="8.0"/>
      </rPr>
      <t xml:space="preserve">Unit 5 Core Assessment: “Excerpt from </t>
    </r>
    <r>
      <rPr>
        <rFont val="Montserrat"/>
        <i/>
        <color rgb="FFFFFFFF"/>
        <sz val="8.0"/>
      </rPr>
      <t>The Tempest</t>
    </r>
    <r>
      <rPr>
        <rFont val="Montserrat"/>
        <color rgb="FFFFFFFF"/>
        <sz val="8.0"/>
      </rPr>
      <t>” by William Shakespeare and “</t>
    </r>
    <r>
      <rPr>
        <rFont val="Montserrat"/>
        <i/>
        <color rgb="FFFFFFFF"/>
        <sz val="8.0"/>
      </rPr>
      <t>The Tempest</t>
    </r>
    <r>
      <rPr>
        <rFont val="Montserrat"/>
        <color rgb="FFFFFFFF"/>
        <sz val="8.0"/>
      </rPr>
      <t xml:space="preserve"> Video Clip”</t>
    </r>
  </si>
  <si>
    <t>CCSS.RL.7.7; CCSS.RL.7.5</t>
  </si>
  <si>
    <t>Topic Overview; Read; Check; Analyze; Using Examples and Anecdotes to Explain Ideas; Using Time as a Storytelling Tool</t>
  </si>
  <si>
    <t>Share Your Reflections; Apply Your Learning: Using Examples and Anecdotes to Explain Ideas</t>
  </si>
  <si>
    <t>Module 1: “Go Your Own Way”</t>
  </si>
  <si>
    <t>CCSS.RI.7.3; CCSS.RI.7.4; CCSS.RI.7.6; CCSS.RI.7.1,; CCSS.RI.7.10,; CCSS.CCRA.R.1,; CCSS.RI.7.1; CCSS.CCRA.R.1</t>
  </si>
  <si>
    <t xml:space="preserve">Topic Overview; Read; Check; Analyze; Analyzing Connections Within Informational Texts; </t>
  </si>
  <si>
    <t>Share Your Reflections; Raise Your Score: Test Strategy: Eliminate Answers That Don't Make Sense; Apply Your Learning: Analyzing Connections within Informational Texts</t>
  </si>
  <si>
    <t>Module 2: Careers of the Future</t>
  </si>
  <si>
    <t>CCSS.RI.7.3; CCSS.RI.7.2; CCSS.RI.7.4; CCSS.RI.7.1,; CCSS.RI.7.10,; CCSS.CCRA.R.1,; CCSS.RI.7.1; CCSS.RI.7.3,; CCSS.CCRA.R.1</t>
  </si>
  <si>
    <t>Module 3: Exploring Postsecondary Options and Choosing What’s Best for You</t>
  </si>
  <si>
    <t>CCSS.RI.7.3; CCSS.RI.7.1; CCSS.RI.7.4; CCSS.RI.7.5; CCSS.RI.7.6; CCSS.RI.7.2,; CCSS.RI.7.10,; CCSS.CCRA.R.1,; CCSS.RI.7.2; CCSS.RI.7.9; CCSS.CCRA.R.1</t>
  </si>
  <si>
    <t>Share Your Reflections; Raise Your Score: Test Strategy: Look for Keywords and Phrases; Apply Your Learning: The Impact of an Author’s Choices: Words and Images</t>
  </si>
  <si>
    <t>Module 4: What Are the Big Five Personality Traits?</t>
  </si>
  <si>
    <t>CCSS.RI.7.6; CCSS.RI.7.4; CCSS.RI.7.3; CCSS.RI.7.5,; CCSS.RI.7.10,; CCSS.CCRA.R.1,; CCSS.RI.7.5; CCSS.CCRA.R.1</t>
  </si>
  <si>
    <t>Using Informational Texts to Make Personal Connections; Read and Check</t>
  </si>
  <si>
    <t>Module 5: Preview Key Concepts and Skills; Compare Pathways: Informational Text; Extend Learning</t>
  </si>
  <si>
    <t>Module 5: Read Across Genres; Plotting a Course; Staying Curious</t>
  </si>
  <si>
    <t>CCSS.RI.7.7; CCSS.RI.7.7</t>
  </si>
  <si>
    <t>Oral Presentation; Texts to Analyze and Discuss</t>
  </si>
  <si>
    <t>Topic Overview; Read; Check; Analyze; Student Exemplar: Riding My Bike to New Places and Opportunities</t>
  </si>
  <si>
    <t>Module 7: Portfolio: Writing Your Personal Statement</t>
  </si>
  <si>
    <t>CCSS.RI.7.4; CCSS.RI.7.10; CCSS.RI.7.3</t>
  </si>
  <si>
    <t>Grade 7, Unit 6, Module 8</t>
  </si>
  <si>
    <t>Unit 6 Core Assessment: “Life of Service” and “Do Happy People Live Longer?”</t>
  </si>
  <si>
    <t>Quick Journal</t>
  </si>
  <si>
    <t>CCSS.RI.7.6; CCSS.RI.7.3,</t>
  </si>
  <si>
    <t>Topic Overview; Read; Check; Analyze; Summarizing Literary Texts; How Authors Use Real Places to Create Settings in Fiction; Plot and Its Impact on Theme and Setting</t>
  </si>
  <si>
    <t>Share Your Reflections; Apply Your Learning: Analyzing Descriptions of Settings; Compare Settings:
Compare Real Places to Settings in Historical Fiction</t>
  </si>
  <si>
    <r>
      <rPr>
        <rFont val="Montserrat"/>
        <color rgb="FF434343"/>
        <sz val="8.0"/>
      </rPr>
      <t xml:space="preserve">Module 1: “Gold Fever! Deadly Cold! And the Amazing Adventures of Jack London in the Wild” and “Excerpt from </t>
    </r>
    <r>
      <rPr>
        <rFont val="Montserrat"/>
        <i/>
        <color rgb="FF434343"/>
        <sz val="8.0"/>
      </rPr>
      <t>The Call of the Wild</t>
    </r>
    <r>
      <rPr>
        <rFont val="Montserrat"/>
        <color rgb="FF434343"/>
        <sz val="8.0"/>
      </rPr>
      <t xml:space="preserve">”
</t>
    </r>
  </si>
  <si>
    <t>CCSS.RL.7.9; CCSS.RI.7.9; CCSS.RI.7.1; CCSS.RL.7.1; CCSS.RL.7.3; CCSS.RI.7.4; CCSS.RL.7.4; CCSS.RI.7.4; CCSS.RI.7.10; CCSS.RL.7.2; CCSS.RL.7.5; CCSS.CCRA.R.1; CCSS.RL.7.9; CCSS.CCRA.R.1</t>
  </si>
  <si>
    <t>Topic Overview; Read; Check; Analyze; Compare and Contrast Texts Across Genres</t>
  </si>
  <si>
    <t>Share Your Reflections; Raise Your Score: Test Strategy: Analyzing Verbs Found in Questions; Apply Your Learning: Analyze Bessie Coleman’s Character; Compare Characters Across Genres: Compare Character Traits and Differences</t>
  </si>
  <si>
    <r>
      <rPr>
        <rFont val="Montserrat"/>
        <color rgb="FF434343"/>
        <sz val="8.0"/>
      </rPr>
      <t xml:space="preserve">Module 2: “For Pilot Bessie Coleman, Every ‘No’ Got Her Closer to ‘Yes’” and “Excerpt from </t>
    </r>
    <r>
      <rPr>
        <rFont val="Montserrat"/>
        <i/>
        <color rgb="FF434343"/>
        <sz val="8.0"/>
      </rPr>
      <t>A Pair of Wings</t>
    </r>
    <r>
      <rPr>
        <rFont val="Montserrat"/>
        <color rgb="FF434343"/>
        <sz val="8.0"/>
      </rPr>
      <t xml:space="preserve">”
</t>
    </r>
  </si>
  <si>
    <t>CCSS.RI.7.4; CCSS.RI.7.10; CCSS.RI.7.9; CCSS.RL.7.9; CCSS.RL.7.3; CCSS.CCRA.R.1; CCSS.RL.7.4; CCSS.RI.7.9; CCSS.RL.7.9; CCSS.CCRA.R.1</t>
  </si>
  <si>
    <t>Topic Overview; Read; Check; Analyze; How Authors Use Real Events to Create Conflict in Fiction</t>
  </si>
  <si>
    <t>Share Your Reflections; Apply Your Learning: Analyze Character Journeys; Compare Events: Compare Characters’ Journeys</t>
  </si>
  <si>
    <r>
      <rPr>
        <rFont val="Montserrat"/>
        <color rgb="FF434343"/>
        <sz val="8.0"/>
      </rPr>
      <t xml:space="preserve">Module 3: “Excerpt from </t>
    </r>
    <r>
      <rPr>
        <rFont val="Montserrat"/>
        <i/>
        <color rgb="FF434343"/>
        <sz val="8.0"/>
      </rPr>
      <t>A Long Walk to Water</t>
    </r>
    <r>
      <rPr>
        <rFont val="Montserrat"/>
        <color rgb="FF434343"/>
        <sz val="8.0"/>
      </rPr>
      <t xml:space="preserve">” and “Excerpt from </t>
    </r>
    <r>
      <rPr>
        <rFont val="Montserrat"/>
        <i/>
        <color rgb="FF434343"/>
        <sz val="8.0"/>
      </rPr>
      <t>A Long Way Gone: Memoirs of a Boy Soldier</t>
    </r>
    <r>
      <rPr>
        <rFont val="Montserrat"/>
        <color rgb="FF434343"/>
        <sz val="8.0"/>
      </rPr>
      <t>”</t>
    </r>
  </si>
  <si>
    <t>CCSS.RI.7.9; CCSS.RL.7.9; CCSS.RL.7.1; CCSS.RI.7.1; CCSS.RI.7.2; CCSS.RL.7.2; CCSS.RL.7.5; CCSS.RI.7.5; CCSS.RI.7.3; CCSS.RL.7.3; CCSS.RI.7.4; CCSS.RI.7.10; CCSS.RL.7.3; CCSS.CCRA.R.1; CCSS.RI.7.9; CCSS.RL.7.9; CCSS.CCRA.R.1</t>
  </si>
  <si>
    <t>Analyzing Poetic Structure; Using Texts to Understand Multiple Perspectives; Read and Check;</t>
  </si>
  <si>
    <t>Read and Analyze Poetry: Analyze Poetic Structure; Analyze and Compare Texts: Informal Research: Compare Histories</t>
  </si>
  <si>
    <t>Module 4: Read Across Genres; At the Vietnam War Memorial; A Tale of Two Soldiers; The Vietnam War: An Overview; Stop the Sun</t>
  </si>
  <si>
    <t>CCSS.RL.7.5; CCSS.CCRA.R.5; CCSS.RI.7.2; CCSS.RL.7.2</t>
  </si>
  <si>
    <t>Module 5: Socratic Discussion</t>
  </si>
  <si>
    <t>Topic Overview; Read; Check; Analyze; Student Exemplar: Timeless Treasures Live On</t>
  </si>
  <si>
    <t>Module 6: Portfolio: Writing Your Literary Analysis</t>
  </si>
  <si>
    <t>CCSS.RI.7.4; CCSS.RI.7.10; CCSS.RI.7.1; CCSS.RL.7.5; CCSS.RL.7.9</t>
  </si>
  <si>
    <t>Grade 7, Unit 7, Module 7</t>
  </si>
  <si>
    <t>Unit 7 Core Assessment: “Excerpt from Food From the Skies, Part III” and “Excerpt from Leader in an Uncertain World”</t>
  </si>
  <si>
    <t>CCSS.RL.7.9; CCSS.RL.7.3; CCSS.RL.7.5; CCSS.RI.7.9</t>
  </si>
  <si>
    <t>Topic Overview; Read; Check; Analyze; Citing Evidence to Write about Literary Texts</t>
  </si>
  <si>
    <t>Module 1: Marigolds</t>
  </si>
  <si>
    <t>CCSS.RL.8.1; CCSS.RL.8.2; CCSS.RL.8.4; CCSS.RI.8.4; CCSS.RI.8.10; CCSS.CCRA.R.1; CCSS.CCRA.R.1</t>
  </si>
  <si>
    <t xml:space="preserve">Share Your Reflections; Apply Your Learning: Determining Theme and Author’s Message in a Personal Narrative; </t>
  </si>
  <si>
    <t>Module 2: I Am the Greatest</t>
  </si>
  <si>
    <t>CCSS.RL.8.2; CCSS.RL.8.1; CCSS.RL.8.3; CCSS.RL.8.4; CCSS.RL.8.4; CCSS.RI.8.4; CCSS.RI.8.10; CCSS.CCRA.R.1; CCSS.CCRA.R.2; CCSS.RL.8.2; CCSS.CCRA.R.1</t>
  </si>
  <si>
    <t>Share Your Reflections; Apply Your Learning: Summarizing Literary Texts</t>
  </si>
  <si>
    <t>Module 3: Amigo Brothers</t>
  </si>
  <si>
    <t>CCSS.RI.8.4; CCSS.RI.8.10; CCSS.RL.8.2; CCSS.CCRA.R.1; CCSS.RL.8.3; CCSS.RL.8.4; CCSS.CCRA.R.1</t>
  </si>
  <si>
    <t>Share Your Reflections; Raise Your Score: Test Strategy: Make Predictions; Apply Your Learning: Analyzing Imagery in a Personal Narrative</t>
  </si>
  <si>
    <t>Module 4: Off the Shelf</t>
  </si>
  <si>
    <t xml:space="preserve">CCSS.RL.8.4; CCSS.RL.8.1; CCSS.RL.8.3; CCSS.RI.8.4; CCSS.RI.8.10; CCSS.CCRA.R.1; CCSS.RL.8.3; CCSS.CCRA.R.4; CCSS.CCRA.R.1; CCSS.RL.8.4, </t>
  </si>
  <si>
    <t>Module 5: Read Across Genres; Experience; One Wants a Teller in a Time Like This; To Really Learn, Fail — Then Fail Again!; How Your Body Reacts to Stress</t>
  </si>
  <si>
    <t>CCSS.RL.8.6; CCSS.RI.8.10; CCSS.RI.8.9; CCSS.RI.8.2; CCSS.RI.8.4; CCSS.RI.8.5,; CCSS.RL.8.4; CCSS.RI.8.10,</t>
  </si>
  <si>
    <t>Writing the Personal Narrative; Topic Overview; Read; Check; Analyze; Student Exemplar: In the Blink of an Eye</t>
  </si>
  <si>
    <t>CCSS.RI.8.4; CCSS.RI.8.10; CCSS.RL.8.2; CCSS.RI.8.6; CCSS.RI.8.2; CCSS.RI.8.1,</t>
  </si>
  <si>
    <t>Grade 8, Unit 1, Module 8</t>
  </si>
  <si>
    <t>Reading Independently; Unit 1 Core Assessment: “Otro Dia, Otra Vez” and “Excerpt from Narrative of the Life of Frederick Douglass”</t>
  </si>
  <si>
    <t>CCSS.RI.8.10; CCSS.RL.8.2; CCSS.RL.8.1; CCSS.RL.8.4</t>
  </si>
  <si>
    <t>Module 1: California Just Ran on 100% Renewable Energy, but Fossil Fuels Aren't Fading Away Yet</t>
  </si>
  <si>
    <t>CCSS.RI.8.2; CCSS.RI.8.1; CCSS.RI.8.7; CCSS.RI.8.6; CCSS.RI.8.4; CCSS.RI.8.10; CCSS.CCRA.R.1; CCSS.RI.8.6; CCSS.RI.8.2; CCSS.CCRA.R.1</t>
  </si>
  <si>
    <t>Module 2: Fueling Up</t>
  </si>
  <si>
    <t>CCSS.RI.8.1; CCSS.RI.8.5; CCSS.RI.8.6; CCSS.RI.8.2; CCSS.RI.8.4; CCSS.RI.8.10; CCSS.CCRA.R.1; CCSS.RI.8.2; CCSS.RI.8.1; CCSS.CCRA.R.1</t>
  </si>
  <si>
    <t xml:space="preserve">Topic Overview; Read; Check; Analyze; Analyzing Text Features </t>
  </si>
  <si>
    <t>Module 3: Facing Budget Shortfalls, These Schools Are Turning to the Sun</t>
  </si>
  <si>
    <t>CCSS.RI.8.7; CCSS.RI.8.1; CCSS.RI.8.4; CCSS.RI.8.10; CCSS.RI.8.5; CCSS.CCRA.R.1; CCSS.RI.8.1; CCSS.CCRA.R.1</t>
  </si>
  <si>
    <t>Module 4: Nuclear Fusion Breakthrough a Milestone for the Future of Clean Energy, US Officials Say</t>
  </si>
  <si>
    <t>CCSS.RI.8.6; CCSS.RI.8.4; CCSS.RI.8.2; CCSS.RI.8.8; CCSS.RI.8.1; CCSS.RI.8.10; CCSS.CCRA.R.1; CCSS.RI.8.1; CCSS.CCRA.R.1</t>
  </si>
  <si>
    <t>Analyze Arguments; Compare Arguments: Author's Issues, Appeals, and Rhetorical Devices;  Visualize Information: Visual Texts</t>
  </si>
  <si>
    <t>Module 5: Read Across Genres; Why We Have a Love-Hate Relationship with Electric Scooters; E Is for Environment: Unpacking the Benefits of E-Scooters; Five Promising Types of Water Power; “Photo Essay: A Day in the Life of a Wind Farm Operator”</t>
  </si>
  <si>
    <t>CCSS.RI.8.8; CCSS.RI.8.7,</t>
  </si>
  <si>
    <t>Module 6: Debate Game</t>
  </si>
  <si>
    <t>Topic Overview; Read; Check; Analyze; Student Exemplar: Fueling Our Community</t>
  </si>
  <si>
    <t>CCSS.RI.8.4; CCSS.RI.8.10; CCSS.RI.8.5; CCSS.RI.8.1</t>
  </si>
  <si>
    <t>Grade 8, Unit 2, Module 8</t>
  </si>
  <si>
    <t>Unit 2 Core Assessment: “Recover—Recycle” and “Artificial Sweeteners: Friends or Foes?”</t>
  </si>
  <si>
    <t>CCSS.RI.8.8; CCSS.RI.8.2; CCSS.RI.8.1</t>
  </si>
  <si>
    <t>Topic Overview; Read; Check; Analyze; Analyzing Story Elements in Literature; Figurative Language</t>
  </si>
  <si>
    <t>Share Your Reflections; Apply Your Learning: Analyzing Story Elements in Literature</t>
  </si>
  <si>
    <t>Module 1: The Ingredients</t>
  </si>
  <si>
    <t>CCSS.RL.8.3; CCSS.RL.8.4; CCSS.RI.8.4; CCSS.RI.8.10; CCSS.RL.8.4; CCSS.CCRA.R.1; CCSS.RL.8.3; CCSS.CCRA.R.1</t>
  </si>
  <si>
    <t>Topic Overview; Read; Check; Analyze; Developing Characters in Fiction</t>
  </si>
  <si>
    <t>Share Your Reflections; Raise Your Score: Test Strategy: Summarizing the Text; Apply Your Learning: Developing Characters in Fiction; Sharpen Your Sentences: Use an Appositive in a Sentence</t>
  </si>
  <si>
    <t>Module 2: The Attack</t>
  </si>
  <si>
    <t>CCSS.RL.8.3; CCSS.RL.8.2; CCSS.RL.8.4; CCSS.RI.8.4; CCSS.RI.8.10; CCSS.CCRA.R.1; CCSS.RL.8.4; CCSS.RL.8.3; CCSS.CCRA.R.1</t>
  </si>
  <si>
    <t>Share Your Personal Connection: Think-Pair-Share; Share Your Reflections; Apply Your Learning: Determining Themes in Literature; Share Your Plan</t>
  </si>
  <si>
    <t>Module 3: My Country Is a Ghost</t>
  </si>
  <si>
    <t>CCSS.RL.8.2; CCSS.RL.8.3; CCSS.RL.8.1; CCSS.RL.8.4; CCSS.RI.8.4; CCSS.RI.8.10; CCSS.CCRA.R.1; CCSS.RL.8.4; CCSS.RL.8.2; CCSS.CCRA.R.1</t>
  </si>
  <si>
    <t>Raise Your Score: Test Strategy: Keep Calm and Answer On; Apply Your Learning: Developing Point of View and Perspective in Literature</t>
  </si>
  <si>
    <t>Module 4: Tiger Mending</t>
  </si>
  <si>
    <t>CCSS.RL.8.6; CCSS.RL.8.2; CCSS.RL.8.1; CCSS.RL.8.5; CCSS.RL.8.3; CCSS.RI.8.4; CCSS.RI.8.10; CCSS.RL.8.10; CCSS.CCRA.R.1; CCSS.RL.8.3; CCSS.CCRA.R.1; CCSS.RL.8.10; CCSS.RL.8.6,</t>
  </si>
  <si>
    <t>Analyze and Compare Poetry: Comparing Elements of Poetry for Deep Understanding; Analyze and Compare Poetry: Analyze Meaning, Structure and Line Breaks; Enhance Understanding: Informational Text</t>
  </si>
  <si>
    <t>Module 5: Read Across Genres; Memory; The Owl; Six Ways to Spark Your Creativity; Your Brain on Movies</t>
  </si>
  <si>
    <t>CCSS.RL.8.4; CCSS.RL.8.2; CCSS.RL.8.5; CCSS.RL.8.6; CCSS.RI.8.10; CCSS.RL.8.10; CCSS.RL.8.6; CCSS.RI.8.6; CCSS.RI.8.2</t>
  </si>
  <si>
    <t>Topic Overview; Read; Check; Analyze; Student Exemplar: Ghost Stories</t>
  </si>
  <si>
    <t>CCSS.RI.8.4; CCSS.RI.8.10; CCSS.RL.8.1; CCSS.RI.8.1; CCSS.RI.8.6,</t>
  </si>
  <si>
    <t>Grade 8, Unit 3, Module 8</t>
  </si>
  <si>
    <t>Unit 3 Core Assessment: "The Long Night” and “From Scratch”</t>
  </si>
  <si>
    <t>CCSS.RL.8.3; CCSS.RL.8.2; CCSS.RL.8.6</t>
  </si>
  <si>
    <t xml:space="preserve">Topic Overview; Read; Check; Analyze; </t>
  </si>
  <si>
    <t>Module 1: For the Climate and Fairness, Take Buses and Sidewalks Before Electric Cars</t>
  </si>
  <si>
    <t>CCSS.RI.8.4; CCSS.RI.8.2; CCSS.RI.8.10; CCSS.CCRA.R.1; CCSS.RI.8.2; CCSS.CCRA.R.1</t>
  </si>
  <si>
    <t>Share Your Reflections; Raise Your Score: Test Strategy: Predictions; Apply Your Learning: Structure in Informational Texts</t>
  </si>
  <si>
    <t>Module 2: The Holy Grail of Transportation Is Right in Front of Us</t>
  </si>
  <si>
    <t>CCSS.RI.8.5; CCSS.RI.8.2; CCSS.RI.8.6; CCSS.RI.8.4; CCSS.RI.8.1; CCSS.RI.8.10; CCSS.CCRA.R.1; CCSS.RI.8.1; CCSS.CCRA.R.1</t>
  </si>
  <si>
    <t>Module 3: Electric Scooters on Collision Course with Pedestrians and Lawmakers</t>
  </si>
  <si>
    <t>CCSS.RI.8.6; CCSS.RI.8.3; CCSS.RI.8.5; CCSS.RI.8.8; CCSS.RI.8.4; CCSS.RI.8.10; CCSS.CCRA.R.1; CCSS.RI.8.8; CCSS.RI.8.6; CCSS.CCRA.R.1</t>
  </si>
  <si>
    <t>Share Your Reflections; Raise Your Score: Test Strategy: Eliminating Distractors; Apply Your Learning: Summarizing Informational Texts</t>
  </si>
  <si>
    <t>Module 4: “What Can Convince Chicagoans to Rely Less on Cars?”</t>
  </si>
  <si>
    <t>CCSS.RI.8.2; CCSS.RI.8.5; CCSS.RI.8.8; CCSS.RI.8.1; CCSS.RI.8.4; CCSS.RI.8.4; CCSS.RI.8.10; CCSS.CCRA.R.1; CCSS.CCRA.R.1</t>
  </si>
  <si>
    <t>Module 5: Read Across Genres; Twelve Best Ways to Get Cars Out of Cities – Ranked by New Research; The Environmental Impacts of Cars, Explained; Hydrogen-Powered Passenger Trains Are Now Running in Germany; Should Cars Be Banned in Cities?</t>
  </si>
  <si>
    <t>CCSS.RI.8.1; CCSS.RI.8.9; CCSS.RI.8.9</t>
  </si>
  <si>
    <t>CCSS.RI.8.9; CCSS.RI.8.7; CCSS.RI.8.8</t>
  </si>
  <si>
    <t>Topic Overview; Read; Check; Analyze; Student Exemplar: “Transporting Us to a More Sustainable Society”</t>
  </si>
  <si>
    <t>CCSS.RI.8.4; CCSS.RI.8.10; CCSS.RI.8.1; CCSS.RI.8.5</t>
  </si>
  <si>
    <t>Grade 8, Unit 4, Module 9</t>
  </si>
  <si>
    <t>Unit 4 Core Assessment: “Can We Control the Weather?” and “Weathering the Weather”</t>
  </si>
  <si>
    <t>CCSS.RI.8.5; CCSS.RI.8.6; CCSS.RI.8.4</t>
  </si>
  <si>
    <t>Map the Play: Act I, Scenes I-II: Potential Conflicts; Share Your Reflections; Apply Your Learning: Understanding the Importance of Setting in Drama</t>
  </si>
  <si>
    <r>
      <rPr>
        <rFont val="Montserrat"/>
        <color rgb="FF434343"/>
        <sz val="8.0"/>
      </rPr>
      <t xml:space="preserve">Module 1: </t>
    </r>
    <r>
      <rPr>
        <rFont val="Montserrat"/>
        <i/>
        <color rgb="FF434343"/>
        <sz val="8.0"/>
      </rPr>
      <t>The Diary of Anne Frank</t>
    </r>
    <r>
      <rPr>
        <rFont val="Montserrat"/>
        <color rgb="FF434343"/>
        <sz val="8.0"/>
      </rPr>
      <t>: Act I, Scenes 1 and 2</t>
    </r>
  </si>
  <si>
    <t>CCSS.RL.8.3; CCSS.RL.8.6,; CCSS.RI.8.4; CCSS.RI.8.10,; CCSS.RL.8.5,; CCSS.RL.8.5; CCSS.CCRA.R.1,; CCSS.RL.8.6; CCSS.RL.8.3,; CCSS.CCRA.R.1</t>
  </si>
  <si>
    <t>Share Your Reflections; Raise Your Score: Test Strategy: Context Clues; Apply Your Learning: Understanding Types of Conflict in Literature</t>
  </si>
  <si>
    <r>
      <rPr>
        <rFont val="Montserrat"/>
        <color rgb="FF434343"/>
        <sz val="8.0"/>
      </rPr>
      <t xml:space="preserve">Module 2: </t>
    </r>
    <r>
      <rPr>
        <rFont val="Montserrat"/>
        <i/>
        <color rgb="FF434343"/>
        <sz val="8.0"/>
      </rPr>
      <t>The Diary of Anne Frank</t>
    </r>
    <r>
      <rPr>
        <rFont val="Montserrat"/>
        <color rgb="FF434343"/>
        <sz val="8.0"/>
      </rPr>
      <t>: Act I, Scene 3</t>
    </r>
  </si>
  <si>
    <t>CCSS.RL.8.3; CCSS.RL.8.1; CCSS.RL.8.2; CCSS.RL.8.4; CCSS.RL.8.6,; CCSS.RI.8.4; CCSS.RI.8.10,; CCSS.RL.8.5; CCSS.CCRA.R.1,; CCSS.RL.8.6; CCSS.RL.8.3,; CCSS.CCRA.R.1</t>
  </si>
  <si>
    <t>Topic Overview; Read; Check; Analyze; Developing Characters in Drama</t>
  </si>
  <si>
    <t>Map the Play: Act I, Scenes IV-V: Character Reactions; Share Your Reflections; Apply Your Learning: Developing Characters in Drama</t>
  </si>
  <si>
    <r>
      <rPr>
        <rFont val="Montserrat"/>
        <color rgb="FF434343"/>
        <sz val="8.0"/>
      </rPr>
      <t xml:space="preserve">Module 3: </t>
    </r>
    <r>
      <rPr>
        <rFont val="Montserrat"/>
        <i/>
        <color rgb="FF434343"/>
        <sz val="8.0"/>
      </rPr>
      <t>The Diary of Anne Frank</t>
    </r>
    <r>
      <rPr>
        <rFont val="Montserrat"/>
        <color rgb="FF434343"/>
        <sz val="8.0"/>
      </rPr>
      <t>: Act I, Scenes 4 and 5</t>
    </r>
  </si>
  <si>
    <t>CCSS.RL.8.3; CCSS.RL.8.2; CCSS.RL.8.6,; CCSS.RI.8.4; CCSS.RI.8.10,; CCSS.RL.8.5,; CCSS.RL.8.5; CCSS.CCRA.R.1,; CCSS.RL.8.6; CCSS.RL.8.3,; CCSS.CCRA.R.1</t>
  </si>
  <si>
    <t>Topic Overview; Read; Check; Analyze; How Playwrights Develop Dramatic Action Through Scenes</t>
  </si>
  <si>
    <t>Share Your Reflections; Raise Your Score: Test Strategy: Analyzing Word Choices; Apply Your Learning: How Playwrights Develop Dramatic Action Through Scenes</t>
  </si>
  <si>
    <r>
      <rPr>
        <rFont val="Montserrat"/>
        <color rgb="FF434343"/>
        <sz val="8.0"/>
      </rPr>
      <t xml:space="preserve">Module 4: </t>
    </r>
    <r>
      <rPr>
        <rFont val="Montserrat"/>
        <i/>
        <color rgb="FF434343"/>
        <sz val="8.0"/>
      </rPr>
      <t>The Diary of Anne Frank</t>
    </r>
    <r>
      <rPr>
        <rFont val="Montserrat"/>
        <color rgb="FF434343"/>
        <sz val="8.0"/>
      </rPr>
      <t>: Act II, Scenes 1 and 2</t>
    </r>
  </si>
  <si>
    <t>CCSS.RL.8.3; CCSS.RL.8.1; CCSS.RL.8.4; CCSS.RL.8.5; CCSS.RL.8.6,; CCSS.RI.8.4; CCSS.RI.8.10,; CCSS.CCRA.R.1,; CCSS.RL.8.6; CCSS.RL.8.5,; CCSS.CCRA.R.1</t>
  </si>
  <si>
    <t>Topic Overview; Read; Check; Analyze; Determining Themes in Drama</t>
  </si>
  <si>
    <t>Map the Play: Act II, Scenes III-V: Theme Statements; Share Your Reflections; Apply Your Learning: Determining Themes in Drama</t>
  </si>
  <si>
    <r>
      <rPr>
        <rFont val="Montserrat"/>
        <color rgb="FF434343"/>
        <sz val="8.0"/>
      </rPr>
      <t xml:space="preserve">Module 5: </t>
    </r>
    <r>
      <rPr>
        <rFont val="Montserrat"/>
        <i/>
        <color rgb="FF434343"/>
        <sz val="8.0"/>
      </rPr>
      <t>The Diary of Anne Frank</t>
    </r>
    <r>
      <rPr>
        <rFont val="Montserrat"/>
        <color rgb="FF434343"/>
        <sz val="8.0"/>
      </rPr>
      <t>: Act II, Scenes 3-5</t>
    </r>
  </si>
  <si>
    <t>CCSS.RL.8.2; CCSS.RL.8.1; CCSS.RL.8.3; CCSS.RL.8.5,; CCSS.RI.8.4; CCSS.RI.8.10,; CCSS.RL.8.5; CCSS.CCRA.R.1,; CCSS.CCRA.R.1; CCSS.RL.8.2,</t>
  </si>
  <si>
    <r>
      <rPr>
        <rFont val="Montserrat"/>
        <color rgb="FF434343"/>
        <sz val="8.0"/>
      </rPr>
      <t xml:space="preserve">Module 6: Read Across Genres; “Excerpt from </t>
    </r>
    <r>
      <rPr>
        <rFont val="Montserrat"/>
        <i/>
        <color rgb="FF434343"/>
        <sz val="8.0"/>
      </rPr>
      <t>The Diary of Anne Frank</t>
    </r>
    <r>
      <rPr>
        <rFont val="Montserrat"/>
        <color rgb="FF434343"/>
        <sz val="8.0"/>
      </rPr>
      <t xml:space="preserve">: Act II, Scenes 3–5” and “Live Production of </t>
    </r>
    <r>
      <rPr>
        <rFont val="Montserrat"/>
        <i/>
        <color rgb="FF434343"/>
        <sz val="8.0"/>
      </rPr>
      <t>The Diary of Anne Frank</t>
    </r>
    <r>
      <rPr>
        <rFont val="Montserrat"/>
        <color rgb="FF434343"/>
        <sz val="8.0"/>
      </rPr>
      <t>”; Resisting During World War II; Anne Frank: The Real Story of the Girl Behind The Diary</t>
    </r>
  </si>
  <si>
    <t>CCSS.RL.8.7; CCSS.RI.8.10,; CCSS.RI.8.7; CCSS.RI.8.3,; CCSS.RI.8.9</t>
  </si>
  <si>
    <t>Topic Overview; Read; Check; Analyze; Student Exemplar: The Journey of a Journal</t>
  </si>
  <si>
    <t xml:space="preserve">CCSS.RI.8.4; CCSS.RI.8.10; CCSS.RI.8.1; CCSS.RL.8.5
</t>
  </si>
  <si>
    <t>Grade 8, Unit 5, Module 9</t>
  </si>
  <si>
    <t>Unit 5 Core Assessment: Excerpt from "The Diary of Anne Frank Screenplay” and Video Clip from "The Diary of Anne Frank Film”</t>
  </si>
  <si>
    <t>CCSS.RL.8.7; CCSS.RL.8.5</t>
  </si>
  <si>
    <t>Share Your Reflections; Apply Your Learning: Analyzing Connections within Informational Texts</t>
  </si>
  <si>
    <t>Module 1: Bringing to Light Dark Matter</t>
  </si>
  <si>
    <t>CCSS.RI.8.3; CCSS.RI.8.6; CCSS.RI.8.1; CCSS.RI.8.2; CCSS.RI.8.4; CCSS.RI.8.4; CCSS.RI.8.10; CCSS.CCRA.R.1; CCSS.CCRA.R.1</t>
  </si>
  <si>
    <t>Share Your Reflections; Raise Your Score: Test Strategy: Eliminate Answers That Don't Make Sense; Apply Your Learning: The Impact of an Author’s Choices: Selecting and Arranging Details</t>
  </si>
  <si>
    <t>Module 2: Ten Steps to Choosing the Right College</t>
  </si>
  <si>
    <t>CCSS.RI.8.3; CCSS.RI.8.1; CCSS.RI.8.4; CCSS.RI.8.5; CCSS.RI.8.10; CCSS.RI.8.7; CCSS.RI.8.5; CCSS.RI.8.9; CCSS.CCRA.R.1,</t>
  </si>
  <si>
    <t>Share Your Reflections; Apply Your Learning: The Impact of an Author’s Choices: Words and Images</t>
  </si>
  <si>
    <t>Module 3: First in the Family Make Their Mark in College</t>
  </si>
  <si>
    <t>CCSS.RI.8.6; CCSS.RI.8.2; CCSS.RI.8.4; CCSS.RI.8.5; CCSS.RI.8.10; CCSS.CCRA.R.1; CCSS.RI.8.5; CCSS.CCRA.R.1</t>
  </si>
  <si>
    <t>Share Your Reflections; Raise Your Score: Test Strategy: Look for Keywords and Phrases; Apply Your Learning: Using Examples and Anecdotes to Explain Ideas</t>
  </si>
  <si>
    <t>Module 4: Seven Things to Do in High School to Make Your College Application Stand Out</t>
  </si>
  <si>
    <t>CCSS.RI.8.3; CCSS.RI.8.6; CCSS.RI.8.4; CCSS.RI.8.2; CCSS.RI.8.10; CCSS.CCRA.R.1; CCSS.RI.8.2; CCSS.CCRA.R.1; CCSS.RI.8.3,</t>
  </si>
  <si>
    <t>Module 5: Read Across Genres; Five Reasons to Consider Community College; My Path to Boston University — A Real Student’s Story; CCE4Me Stories; College Intro Search</t>
  </si>
  <si>
    <t>CCSS.RI.8.7; CCSS.RI.8.7</t>
  </si>
  <si>
    <t>Research Your Presentation; Texts to Discuss</t>
  </si>
  <si>
    <t>Read; Check; Analyze; Student Exemplar: No Debate About It</t>
  </si>
  <si>
    <t>CCSS.RI.8.4; CCSS.RI.8.10; CCSS.RI.8.3</t>
  </si>
  <si>
    <t>Grade 8, Unit 6, Module 8</t>
  </si>
  <si>
    <t>Unit 6 Core Assessment: “The Quietest Leaders” and “Looking for a Civic Career?”</t>
  </si>
  <si>
    <t>CCSS.RI.8.6; CCSS.RI.8.3</t>
  </si>
  <si>
    <t>Topic Overview; Read; Check; Analyze; Analyzing Traditional Tales: Fairy Tales; Summarizing Literary Texts</t>
  </si>
  <si>
    <t>Share Your Reflections; Raise Your Score: Test Strategy: Analyzing Verbs Found in Prompts; Apply Your Learning: Analyzing Traditional Tales: Fairy Tales; Comparing Tales: Comparing Stories in a Story within a Story</t>
  </si>
  <si>
    <t>Module 1: The Necklace</t>
  </si>
  <si>
    <t>CCSS.RL.8.9; CCSS.RL.8.1; CCSS.RL.8.3; CCSS.RI.8.4; CCSS.RI.8.10; CCSS.RL.8.2; CCSS.CCRA.R.1; CCSS.RL.8.3; CCSS.RL.8.9; CCSS.CCRA.R.1</t>
  </si>
  <si>
    <t>Topic Overview; Read; Check; Analyze; Common Literary Devices Within and Across Texts; Plot and Its Impact on Theme and Setting</t>
  </si>
  <si>
    <t>Share Your Reflections; Apply Your Learning: Common Literary Devices Within and Across Texts; Comparing Tales: Comparing Stories in a Story within a Story</t>
  </si>
  <si>
    <t>Module 2: “The Bee-Man”</t>
  </si>
  <si>
    <t>CCSS.RL.8.2; CCSS.RL.8.9; CCSS.RL.8.1; CCSS.RL.8.3; CCSS.RL.8.4; CCSS.RI.8.4; CCSS.RI.8.10; CCSS.RL.8.4; CCSS.RL.8.5; CCSS.CCRA.R.1; CCSS.RL.8.5; CCSS.CCRA.R.1</t>
  </si>
  <si>
    <t>Topic Overview; Read; Check; Analyze; Common Themes Within and Across Texts</t>
  </si>
  <si>
    <t>Share Your Reflections; Apply Your Learning: Common Themes Within and Across Texts; Comparing Tales: Analyzing Common Themes</t>
  </si>
  <si>
    <t>Module 3: The Far and the Near</t>
  </si>
  <si>
    <t>CCSS.RL.8.2; CCSS.RL.8.3; CCSS.RL.8.1; CCSS.RI.8.4; CCSS.RI.8.10; CCSS.RL.8.9; CCSS.CCRA.R.1; CCSS.RL.8.1; CCSS.CCRA.R.9; CCSS.RL.8.9; CCSS.RL.8.5; CCSS.CCRA.R.1</t>
  </si>
  <si>
    <t>Topic Overview; Read; Check; Analyze; Analyzing and Comparing Literary Devices</t>
  </si>
  <si>
    <t>Raise Your Score: Test Strategy: Paraphrasing Prompts; Apply Your Learning: Common Literary Devices Within and Across Texts; Comparing Tales: Analyzing the Use of Imagery</t>
  </si>
  <si>
    <t>Module 4: The Handsomest Drowned Man in the World</t>
  </si>
  <si>
    <t>CCSS.RL.8.4; CCSS.RL.8.1; CCSS.RL.8.3,; CCSS.RI.8.4; CCSS.RI.8.10,; CCSS.CCRA.R.1,; CCSS.RL.8.3; CCSS.CCRA.R.1; CCSS.RL.8.5,</t>
  </si>
  <si>
    <t>Analyze a Poem's Structure and Theme: Analyze Structure To Determine Theme;  Analyze and Compare Texts: Comparing Texts; Understand Multiple Perspectives: Using Texts to Understand Multiple Perspectives</t>
  </si>
  <si>
    <t>Module 5: Read Across Genres; Nothing Gold Can Stay; My Grandma Told Stories or Cautionary Tales; Things You Cannot Unsee (and What They Say About Your Brain); Three Wise Monkeys of Tōshōgū Shrine</t>
  </si>
  <si>
    <t>CCSS.RL.8.5; CCSS.CCRA.R.5; CCSS.RI.8.10; CCSS.RL.8.10; CCSS.RL.8.9,; CCSS.RL.8.5,; CCSS.RL.8.9; CCSS.RI.8.3</t>
  </si>
  <si>
    <t>Topic Overview; Read; Check; Analyze; Student Exemplar: Enlightenment: The Progression of the World</t>
  </si>
  <si>
    <t>Module 7: Portfolio: Writing Your Literary Analysis; Plato’s Allegory of the Cave</t>
  </si>
  <si>
    <t>CCSS.RI.8.4; CCSS.RI.8.10; CCSS.RI.8.1; CCSS.RL.8.5; CCSS.RL.8.9</t>
  </si>
  <si>
    <t>Grade 8, Unit 7, Module 8</t>
  </si>
  <si>
    <r>
      <rPr>
        <rFont val="Montserrat"/>
        <color rgb="FFFFFFFF"/>
        <sz val="8.0"/>
      </rPr>
      <t xml:space="preserve">Unit 7 Core Assessment: “Excerpt from </t>
    </r>
    <r>
      <rPr>
        <rFont val="Montserrat"/>
        <i/>
        <color rgb="FFFFFFFF"/>
        <sz val="8.0"/>
      </rPr>
      <t>The Republic</t>
    </r>
    <r>
      <rPr>
        <rFont val="Montserrat"/>
        <color rgb="FFFFFFFF"/>
        <sz val="8.0"/>
      </rPr>
      <t xml:space="preserve">: Allegory of the Cave” and “Excerpt from </t>
    </r>
    <r>
      <rPr>
        <rFont val="Montserrat"/>
        <i/>
        <color rgb="FFFFFFFF"/>
        <sz val="8.0"/>
      </rPr>
      <t>One of Ours</t>
    </r>
    <r>
      <rPr>
        <rFont val="Montserrat"/>
        <color rgb="FFFFFFFF"/>
        <sz val="8.0"/>
      </rPr>
      <t xml:space="preserve">” </t>
    </r>
  </si>
  <si>
    <t>CCSS.RL.8.9; CCSS.RL.8.3; CCSS.RL.8.5</t>
  </si>
  <si>
    <t>Module 1: Once More to the Lake</t>
  </si>
  <si>
    <t>CCSS.RL.9-10.1; CCSS.RL.9-10.2; CCSS.RL.9-10.3; CCSS.RL.9-10.4; CCSS.RL.9-10.5; CCSS.RI.9-10.4; CCSS.RI.9-10.10; CCSS.CCRA.R.1; CCSS.CCRA.R.1</t>
  </si>
  <si>
    <t xml:space="preserve">Share Your Reflections; Apply Your Learning: Analyzing Imagery in a Personal Narrative </t>
  </si>
  <si>
    <r>
      <rPr>
        <rFont val="Montserrat"/>
        <color rgb="FF434343"/>
        <sz val="8.0"/>
      </rPr>
      <t xml:space="preserve">Module 2: “Excerpt from </t>
    </r>
    <r>
      <rPr>
        <rFont val="Montserrat"/>
        <i/>
        <color rgb="FF434343"/>
        <sz val="8.0"/>
      </rPr>
      <t>An American Childhood</t>
    </r>
    <r>
      <rPr>
        <rFont val="Montserrat"/>
        <color rgb="FF434343"/>
        <sz val="8.0"/>
      </rPr>
      <t>”</t>
    </r>
  </si>
  <si>
    <t>CCSS.RL.9-10.4; CCSS.RL.9-10.2; CCSS.RL.9-10.3; CCSS.RI.9-10.4; CCSS.RI.9-10.10; CCSS.CCRA.R.1; CCSS.CCRA.R.4; CCSS.RL.9-10.4; CCSS.CCRA.R.1</t>
  </si>
  <si>
    <t>Share Your Reflections</t>
  </si>
  <si>
    <t>Module 3: Mango No. 61</t>
  </si>
  <si>
    <t>CCSS.RL.9-10.1; CCSS.RL.9-10.2; CCSS.RL.9-10.5; CCSS.RI.9-10.4; CCSS.RI.9-10.10; CCSS.CCRA.R.1; CCSS.CCRA.R.1</t>
  </si>
  <si>
    <t>Share Your Reflections; Raise Your Score: Test Strategy: Make Predictions; Apply Your Learning: Determining Theme and Author’s Message in a Personal Narrative</t>
  </si>
  <si>
    <t>Module 4: My Favorite Photograph</t>
  </si>
  <si>
    <t>CCSS.RL.9-10.2; CCSS.RI.9-10.4; CCSS.RI.9-10.10; CCSS.CCRA.R.1; CCSS.CCRA.R.2; CCSS.CCRA.R.1; CCSS.RL.9-10.2,</t>
  </si>
  <si>
    <t>Module 5: Read Across Genres; “Where I’m From” by George Ella Lyons and NPR Crowdsourcing ; Things You May Find Hidden in My Ear; What Makes a New York City Kid?; What Adolescents Miss When We Let Them Grow Up in Cyberspace</t>
  </si>
  <si>
    <t>CCSS.RL.9-10.6; CCSS.RI.9-10.10; CCSS.RI.9-10.9; CCSS.RL.9-10.4; CCSS.RL.9-10.4; CCSS.RL.9-10.2; CCSS.RL.9-10.9; CCSS.RI.9-10.9; CCSS.RI.9-10.10,</t>
  </si>
  <si>
    <t>Topic Overview; Read; Check; Analyze; Student Exemplar: Claire</t>
  </si>
  <si>
    <t xml:space="preserve">CCSS.RI.9-10.4; CCSS.RI.9-10.10; CCSS.RL.9-10.2; CCSS.RI.9-10.6; CCSS.RI.9-10.2; CCSS.RI.9-10.1,
</t>
  </si>
  <si>
    <t>Grade 9, Unit 1, Module 8</t>
  </si>
  <si>
    <t>Reading Independently; Unit 1 Core Assessment: “You Could Break Her!” and “Letters of a Woman Homesteader”</t>
  </si>
  <si>
    <t>CCSS.RI.9-10.10; CCSS.RL.9-10.2; CCSS.RL.9-10.1; CCSS.RL.9-10.4</t>
  </si>
  <si>
    <t>Module 1: You Can Track Almost Everything Your Kids Do Online. Here’s Why That May Not Be a Good Idea</t>
  </si>
  <si>
    <t>CCSS.RI.9-10.2; CCSS.RI.9-10.4; CCSS.RI.9-10.1; CCSS.RI.9-10.10; CCSS.CCRA.R.1; CCSS.RI.9-10.2; CCSS.CCRA.R.1</t>
  </si>
  <si>
    <t>Module 2: Influencers Aren't Going Anywhere. So What Does That Mean for Today’s Teens?</t>
  </si>
  <si>
    <t>CCSS.RI.9-10.1; CCSS.RI.9-10.2; CCSS.RI.9-10.4; CCSS.RI.9-10.5; CCSS.RI.9-10.6; CCSS.RI.9-10.10; CCSS.CCRA.R.1; CCSS.RI.9-10.1; CCSS.CCRA.R.1</t>
  </si>
  <si>
    <t>Topic Overview; Read; Check; Analyze; Types of Reasoning; Analyze Text Features</t>
  </si>
  <si>
    <t>Share Your Reflections; Apply Your Learning: Analyze Text Features</t>
  </si>
  <si>
    <t>Module 3: Green Teen Memes: How TikTok Could Save the Planet</t>
  </si>
  <si>
    <t>CCSS.RI.9-10.5; CCSS.RI.9-10.1; CCSS.RI.9-10.2; CCSS.RI.9-10.4; CCSS.RI.9-10.7; CCSS.RI.9-10.10; CCSS.RI.9-10.3; CCSS.CCRA.R.1; CCSS.CCRA.R.1</t>
  </si>
  <si>
    <t>Module 4: It Was a Mistake to Let Kids Onto Social Media Sites. Here’s What to Do Now.</t>
  </si>
  <si>
    <t>CCSS.RI.9-10.2; CCSS.RI.9-10.1; CCSS.RI.9-10.8; CCSS.RI.9-10.4; CCSS.RI.9-10.6; CCSS.RI.9-10.10; CCSS.RI.9-10.6; CCSS.CCRA.R.1; CCSS.CCRA.R.1</t>
  </si>
  <si>
    <t xml:space="preserve">Analyzing an Author's Choices in Written Arguments; Understanding Visual Sources; Read and Check </t>
  </si>
  <si>
    <t>Analyze Arguments; Compare Arguments: Authors’ Issues and Appeals; Visualize Information: Visual Texts</t>
  </si>
  <si>
    <t>Module 5: Read Across Genres; Silicon Valley Says Kids Over the Age of 13 Can Handle the Big, Bad World of Social Media. Experts Say That's the Result of a 'Problematic' 1990s Internet Law.; Why Kids Shouldn't Get Social Media Until They Are Eighteen; Removed: Photographs Created in the United States from 2014-Present; The Impact of Social Media on Body Image</t>
  </si>
  <si>
    <t>CCSS.RI.9-10.8; CCSS.RI.9-10.7; CCSS.RI.9-10.8; CCSS.RI.9-10.7; CCSS.RI.9-10.1</t>
  </si>
  <si>
    <t>Student Exemplar: Feeling Safe Online and In Person</t>
  </si>
  <si>
    <t>CCSS.RI.9-10.4; CCSS.RI.9-10.10; CCSS.RI.9-10.5</t>
  </si>
  <si>
    <t>Grade 9, Unit 2, Module 8</t>
  </si>
  <si>
    <t>Unit 2 Core Assessment: “Going, Going, Gone! Saving the World's Languages” and “The Code That Couldn't Be Cracked”</t>
  </si>
  <si>
    <t>CCSS.RI.9-10.8; CCSS.RI.9-10.2; CCSS.RI.9-10.1</t>
  </si>
  <si>
    <t>Developing Characters in Fiction; Read and Check ; Figurative Language</t>
  </si>
  <si>
    <t>Share Your Reflections; Apply Your Learning: Developing Characters in Fiction</t>
  </si>
  <si>
    <t>Module 1: The Most Dangerous Game</t>
  </si>
  <si>
    <t xml:space="preserve">CCSS.RI.9-10.4; CCSS.RI.9-10.10; CCSS.CCRA.R.1; CCSS.RI.9-10.1; CCSS.RL.9-10.2; CCSS.RI.9-10.8; CCSS.RI.9-10.2; CCSS.RL.9-10.1; CCSS.RL.9-10.4; CCSS.RL.9-10.7; CCSS.RL.9-10.3; CCSS.L.9-10.5.a </t>
  </si>
  <si>
    <t>Topic Overview; Read; Check; Analyzing Story Elements in Literature</t>
  </si>
  <si>
    <t>Share Your Reflections; Raise Your Score: Test Strategy: Summarizing the Text; Apply Your Learning: Analyzing Story Elements in Literature</t>
  </si>
  <si>
    <t>Module 2: A White Heron</t>
  </si>
  <si>
    <t>CCSS.RI.9-10.4; CCSS.RI.9-10.10; CCSS.RL.9-10.3; CCSS.CCRA.R.1; CCSS.RL.9-10.3; CCSS.CCRA.R.1</t>
  </si>
  <si>
    <t>Share Your Reflections; Apply Your Learning: Developing Point of View and Perspective in Literature</t>
  </si>
  <si>
    <t>Module 3: The Paper Menagerie</t>
  </si>
  <si>
    <t>CCSS.RL.9-10.6; CCSS.RL.9-10.2; CCSS.RL.9-10.3; CCSS.RL.9-10.4; CCSS.RI.9-10.4; CCSS.RI.9-10.10; CCSS.CCRA.R.1; CCSS.RL.9-10.6; CCSS.CCRA.R.1</t>
  </si>
  <si>
    <t>Topic Overview; Read; Check; Analyze; The Impact of an Author's Choices in Literature</t>
  </si>
  <si>
    <t>Share Your Reflections; Raise Your Score: Test Strategy: Keep Calm and Answer On; Apply Your Learning: The Impact of an Author’s Choices in Literature</t>
  </si>
  <si>
    <t>Module 4: A Sound of Thunder</t>
  </si>
  <si>
    <t>CCSS.RL.9-10.3; CCSS.RL.9-10.4; CCSS.RI.9-10.4; CCSS.RI.9-10.10; CCSS.RL.9-10.10; CCSS.RL.9-10.5; CCSS.CCRA.R.1; CCSS.CCRA.R.1; CCSS.RL.9-10.10; CCSS.RL.9-10.5</t>
  </si>
  <si>
    <t>Compare Poetry Elements: Analyze Meaning, Structure, and Line Breaks; Analyze and Compare Poetry; Enhance Understanding: Informational Text</t>
  </si>
  <si>
    <t>Module 5: Read Across Genres; Tending; Aquí; Decision-Making; Hot Dogs and Wild Geese</t>
  </si>
  <si>
    <t>CCSS.RL.9-10.4; CCSS.RL.9-10.10; CCSS.RI.9-10.10; CCSS.RL.9-10.2; CCSS.RL.9-10.5; CCSS.RL.9-10.6; CCSS.RL.9-10.4; CCSS.RI.9-10.2; CCSS.RI.9-10.6</t>
  </si>
  <si>
    <t>Topic Overview; Read; Check; Analyze; Student Exemplar: Day 181</t>
  </si>
  <si>
    <t>CCSS.RI.9-10.4; CCSS.RI.9-10.10; CCSS.RI.9-10.1; CCSS.RI.9-10.6,</t>
  </si>
  <si>
    <t>Grade 9, Unit 3, Module 8</t>
  </si>
  <si>
    <t>Unit 3 Core Assessment: “Tansen's Gift” and “Excerpt from The Girl Who Drew Cats”</t>
  </si>
  <si>
    <t>CCSS.RL.9-10.3; CCSS.RL.9-10.2; CCSS.RL.9-10.6</t>
  </si>
  <si>
    <t>Topic Overview; Read; Check; Analyze;</t>
  </si>
  <si>
    <t>Share Your Reflections; Apply Your Learning: Analyze the Connotation of of Words</t>
  </si>
  <si>
    <t>Module 1: Is Grass-Fed Beef Really Better for the Planet? Here's the Science.</t>
  </si>
  <si>
    <t>CCSS.RI.9-10.4; CCSS.RI.9-10.2; CCSS.RI.9-10.1; CCSS.RI.9-10.10; CCSS.CCRA.R.1; CCSS.CCRA.R.1</t>
  </si>
  <si>
    <t>Share Your Reflections; Raise Your Score: Test Strategy: Predictions ; Apply Your Learning: Analyze Cause-Effect Text Structure</t>
  </si>
  <si>
    <t>Module 2: How Cattle Can Help Save the Birds of the Great Plains</t>
  </si>
  <si>
    <t>CCSS.RI.9-10.5; CCSS.RI.9-10.6; CCSS.RI.9-10.1; CCSS.RI.9-10.2; CCSS.RI.9-10.4; CCSS.RI.9-10.4; CCSS.RI.9-10.10; CCSS.CCRA.R.1; CCSS.RI.9-10.5; CCSS.CCRA.R.1</t>
  </si>
  <si>
    <t>Share Your Reflections; Apply Your Learning: Analyze the Author’s Point of View an Perspective</t>
  </si>
  <si>
    <t>Module 3: Can Lab-Grown Burgers Help Stop Climate Change?</t>
  </si>
  <si>
    <t>CCSS.RI.9-10.6; CCSS.RI.9-10.2; CCSS.RI.9-10.4; CCSS.RI.9-10.1; CCSS.RI.9-10.10; CCSS.CCRA.R.1; CCSS.RI.9-10.6; CCSS.CCRA.R.1</t>
  </si>
  <si>
    <t>Share Your Reflections; Raise Your Score: Test Strategy: Eliminating Distractors ; Apply Your Learning: Summarizing Informational Texts</t>
  </si>
  <si>
    <t>Module 4: Factory Farms Provide Abundant Food, but Environment Suffers</t>
  </si>
  <si>
    <t>CCSS.RI.9-10.2; CCSS.RI.9-10.3; CCSS.RI.9-10.5; CCSS.RI.9-10.1; CCSS.RI.9-10.4; CCSS.RI.9-10.10; CCSS.CCRA.R.1; CCSS.CCRA.R.1</t>
  </si>
  <si>
    <t>Module 5: Read Across Genres; Food and Climate Change: Healthy Diets for a Healthier Planet; Your Questions About Food and Climate Change, Answered; Perennial Rice Could Raise Yields and Cut Costs; Sea Change: Environmental Group Gives First-Time Nod to Sustainable Salmon-Farming Method</t>
  </si>
  <si>
    <t>CCSS.RI.9-10.1; CCSS.RI.9-10.7; CCSS.RI.9-10.9; CCSS.RI.9-10.1; CCSS.RI.9-10.7</t>
  </si>
  <si>
    <t>Sythesizing Information from Sources</t>
  </si>
  <si>
    <t>CCSS.RI.9-10.7; CCSS.RI.9-10.8</t>
  </si>
  <si>
    <t>Topic Overview; Read; Check; Analyze; Student Exemplar: Can We Save the World by Going Vegan?</t>
  </si>
  <si>
    <t>CCSS.RI.9-10.4; CCSS.RI.9-10.10; CCSS.RI.9-10.1</t>
  </si>
  <si>
    <t>Grade 9, Unit 4, Module 9</t>
  </si>
  <si>
    <t>Unit 4 Core Assessment: “Paradise Lost” and “Return of the Tree Lobsters”</t>
  </si>
  <si>
    <t>CCSS.RI.9-10.5; CCSS.RI.9-10.6; CCSS.RI.9-10.4</t>
  </si>
  <si>
    <t>Map the Play: Act I, Scenes I-II: Potential Conflicts ; Share Your Reflections; Apply Your Learning: Understanding Shakespearean Language</t>
  </si>
  <si>
    <r>
      <rPr>
        <rFont val="Montserrat"/>
        <color rgb="FF434343"/>
        <sz val="8.0"/>
      </rPr>
      <t xml:space="preserve">Module 1: </t>
    </r>
    <r>
      <rPr>
        <rFont val="Montserrat"/>
        <i/>
        <color rgb="FF434343"/>
        <sz val="8.0"/>
      </rPr>
      <t>Romeo and Juliet</t>
    </r>
    <r>
      <rPr>
        <rFont val="Montserrat"/>
        <color rgb="FF434343"/>
        <sz val="8.0"/>
      </rPr>
      <t>: Act I, Scenes I and II</t>
    </r>
  </si>
  <si>
    <t>CCSS.RL.9-10.4; CCSS.RL.9-10.2; CCSS.RL.9-10.3; CCSS.RI.9-10.4; CCSS.RI.9-10.10; CCSS.RL.9-10.5; CCSS.RL.9-10.5; CCSS.CCRA.R.1; CCSS.RL.9-10.4; CCSS.CCRA.R.1</t>
  </si>
  <si>
    <t>Map the Play: Act I, Scenes III-V: Map the Plot;  Share Your Reflections; Raise Your Score: Test Strategy: Context Clues; Apply Your Learning: Analyzing Direct and Indirect Characterization</t>
  </si>
  <si>
    <r>
      <rPr>
        <rFont val="Montserrat"/>
        <color rgb="FF434343"/>
        <sz val="8.0"/>
      </rPr>
      <t xml:space="preserve">Module 2: </t>
    </r>
    <r>
      <rPr>
        <rFont val="Montserrat"/>
        <i/>
        <color rgb="FF434343"/>
        <sz val="8.0"/>
      </rPr>
      <t>Romeo and Juliet</t>
    </r>
    <r>
      <rPr>
        <rFont val="Montserrat"/>
        <color rgb="FF434343"/>
        <sz val="8.0"/>
      </rPr>
      <t>: Act I, Scenes III-V</t>
    </r>
  </si>
  <si>
    <t>CCSS.RL.9-10.3; CCSS.RI.9-10.4; CCSS.RI.9-10.10; CCSS.RL.9-10.5; CCSS.RL.9-10.5; CCSS.CCRA.R.1; CCSS.CCRA.R.3; CCSS.RL.9-10.3; CCSS.CCRA.R.1</t>
  </si>
  <si>
    <t>Map the Play: Act II: Conflict Between Characters; Share Your Reflections; Apply Your Learning: Understanding Types of Conflict in Literature</t>
  </si>
  <si>
    <r>
      <rPr>
        <rFont val="Montserrat"/>
        <color rgb="FF434343"/>
        <sz val="8.0"/>
      </rPr>
      <t xml:space="preserve">Module 3: </t>
    </r>
    <r>
      <rPr>
        <rFont val="Montserrat"/>
        <i/>
        <color rgb="FF434343"/>
        <sz val="8.0"/>
      </rPr>
      <t>Romeo and Juliet</t>
    </r>
    <r>
      <rPr>
        <rFont val="Montserrat"/>
        <color rgb="FF434343"/>
        <sz val="8.0"/>
      </rPr>
      <t>: Act II</t>
    </r>
  </si>
  <si>
    <t>CCSS.RL.9-10.3; CCSS.RI.9-10.4; CCSS.RI.9-10.10; CCSS.RL.9-10.5; CCSS.RL.9-10.5; CCSS.CCRA.R.1; CCSS.RL.9-10.3; CCSS.CCRA.R.1</t>
  </si>
  <si>
    <t>Map the Play: Act III: Parallel Plot Structure;  Share Your Reflections; Raise Your Score: Test Strategy: Analyzing Word Choices; Apply Your Learning: How Playwrights Develop Dramatic Action Through Scenes</t>
  </si>
  <si>
    <r>
      <rPr>
        <rFont val="Montserrat"/>
        <color rgb="FF434343"/>
        <sz val="8.0"/>
      </rPr>
      <t xml:space="preserve">Module 4: </t>
    </r>
    <r>
      <rPr>
        <rFont val="Montserrat"/>
        <i/>
        <color rgb="FF434343"/>
        <sz val="8.0"/>
      </rPr>
      <t>Romeo and Juliet</t>
    </r>
    <r>
      <rPr>
        <rFont val="Montserrat"/>
        <color rgb="FF434343"/>
        <sz val="8.0"/>
      </rPr>
      <t>: Act III</t>
    </r>
  </si>
  <si>
    <t>CCSS.RL.9-10.5; CCSS.RL.9-10.3; CCSS.RL.9-10.4; CCSS.RI.9-10.4; CCSS.RI.9-10.10; CCSS.RL.9-10.5; CCSS.CCRA.R.1; CCSS.CCRA.R.1</t>
  </si>
  <si>
    <t>Map the Play: Act IV: Character Reactions; Share Your Reflections; Apply Your Learning: Developing Characters in Drama</t>
  </si>
  <si>
    <r>
      <rPr>
        <rFont val="Montserrat"/>
        <color rgb="FF434343"/>
        <sz val="8.0"/>
      </rPr>
      <t xml:space="preserve">Module 5: </t>
    </r>
    <r>
      <rPr>
        <rFont val="Montserrat"/>
        <i/>
        <color rgb="FF434343"/>
        <sz val="8.0"/>
      </rPr>
      <t>Romeo and Juliet</t>
    </r>
    <r>
      <rPr>
        <rFont val="Montserrat"/>
        <color rgb="FF434343"/>
        <sz val="8.0"/>
      </rPr>
      <t>: Act IV</t>
    </r>
  </si>
  <si>
    <t>CCSS.RL.9-10.3; CCSS.RL.9-10.4; CCSS.RL.9-10.5; CCSS.RI.9-10.4; CCSS.RI.9-10.10; CCSS.RL.9-10.5; CCSS.CCRA.R.1; CCSS.RL.9-10.3; CCSS.CCRA.R.1</t>
  </si>
  <si>
    <t>Map the Play: Act V: Theme Statements; Share Your Reflections; Apply Your Learning: Determining Themes in Drama</t>
  </si>
  <si>
    <r>
      <rPr>
        <rFont val="Montserrat"/>
        <color rgb="FF434343"/>
        <sz val="8.0"/>
      </rPr>
      <t xml:space="preserve">Module 6: </t>
    </r>
    <r>
      <rPr>
        <rFont val="Montserrat"/>
        <i/>
        <color rgb="FF434343"/>
        <sz val="8.0"/>
      </rPr>
      <t>Romeo and Juliet</t>
    </r>
    <r>
      <rPr>
        <rFont val="Montserrat"/>
        <color rgb="FF434343"/>
        <sz val="8.0"/>
      </rPr>
      <t>: Act V</t>
    </r>
  </si>
  <si>
    <t>CCSS.RL.9-10.2; CCSS.RL.9-10.1; CCSS.RI.9-10.4; CCSS.RI.9-10.10; CCSS.RL.9-10.5; CCSS.RL.9-10.5; CCSS.CCRA.R.1; CCSS.CCRA.R.1; CCSS.RL.9-10.2,</t>
  </si>
  <si>
    <t>Compare and Contrast Literature in Different Mediums; Using Historical Background to Build Context for Drama; Read and Check</t>
  </si>
  <si>
    <r>
      <rPr>
        <rFont val="Montserrat"/>
        <color rgb="FF434343"/>
        <sz val="8.0"/>
      </rPr>
      <t xml:space="preserve">Module 7: Read Across Genres; </t>
    </r>
    <r>
      <rPr>
        <rFont val="Montserrat"/>
        <i/>
        <color rgb="FF434343"/>
        <sz val="8.0"/>
      </rPr>
      <t>Romeo and Juliet</t>
    </r>
    <r>
      <rPr>
        <rFont val="Montserrat"/>
        <color rgb="FF434343"/>
        <sz val="8.0"/>
      </rPr>
      <t xml:space="preserve"> Has No Balcony; The Infectious Pestilence Did Reign; Film Production of </t>
    </r>
    <r>
      <rPr>
        <rFont val="Montserrat"/>
        <i/>
        <color rgb="FF434343"/>
        <sz val="8.0"/>
      </rPr>
      <t>Romeo and Juliet “</t>
    </r>
    <r>
      <rPr>
        <rFont val="Montserrat"/>
        <color rgb="FF434343"/>
        <sz val="8.0"/>
      </rPr>
      <t>Excerpt from</t>
    </r>
    <r>
      <rPr>
        <rFont val="Montserrat"/>
        <i/>
        <color rgb="FF434343"/>
        <sz val="8.0"/>
      </rPr>
      <t xml:space="preserve"> Romeo and Juliet: </t>
    </r>
    <r>
      <rPr>
        <rFont val="Montserrat"/>
        <color rgb="FF434343"/>
        <sz val="8.0"/>
      </rPr>
      <t>Act I, Scene V</t>
    </r>
    <r>
      <rPr>
        <rFont val="Montserrat"/>
        <i/>
        <color rgb="FF434343"/>
        <sz val="8.0"/>
      </rPr>
      <t xml:space="preserve">” and “Romeo and Juliet </t>
    </r>
    <r>
      <rPr>
        <rFont val="Montserrat"/>
        <color rgb="FF434343"/>
        <sz val="8.0"/>
      </rPr>
      <t>Film Clip</t>
    </r>
    <r>
      <rPr>
        <rFont val="Montserrat"/>
        <i/>
        <color rgb="FF434343"/>
        <sz val="8.0"/>
      </rPr>
      <t xml:space="preserve">” 
</t>
    </r>
  </si>
  <si>
    <t>CCSS.RL.9-10.7; CCSS.RL.9-10.10; CCSS.RI.9-10.2; CCSS.RI.9-10.1</t>
  </si>
  <si>
    <t>Module 8: Performance</t>
  </si>
  <si>
    <r>
      <rPr>
        <rFont val="Montserrat"/>
        <color rgb="FFFFFFFF"/>
        <sz val="8.0"/>
      </rPr>
      <t xml:space="preserve">Topic Overview; Read; Check; Analyze; Student Exemplar: Consequences Shown in </t>
    </r>
    <r>
      <rPr>
        <rFont val="Montserrat"/>
        <i/>
        <color rgb="FFFFFFFF"/>
        <sz val="8.0"/>
      </rPr>
      <t>Romeo and Juliet</t>
    </r>
  </si>
  <si>
    <t>Module 9: Portfolio: Writing Your Cause-and-Effect Essay</t>
  </si>
  <si>
    <t>Grade 9, Unit 5, Module 10</t>
  </si>
  <si>
    <r>
      <rPr>
        <rFont val="Montserrat"/>
        <color rgb="FFFFFFFF"/>
        <sz val="8.0"/>
      </rPr>
      <t xml:space="preserve">Unit 5 Core Assessment: “Excerpt from </t>
    </r>
    <r>
      <rPr>
        <rFont val="Montserrat"/>
        <i/>
        <color rgb="FFFFFFFF"/>
        <sz val="8.0"/>
      </rPr>
      <t>Pygmalion</t>
    </r>
    <r>
      <rPr>
        <rFont val="Montserrat"/>
        <color rgb="FFFFFFFF"/>
        <sz val="8.0"/>
      </rPr>
      <t>, Act II” by George Bernard Shaw and “</t>
    </r>
    <r>
      <rPr>
        <rFont val="Montserrat"/>
        <i/>
        <color rgb="FFFFFFFF"/>
        <sz val="8.0"/>
      </rPr>
      <t>My Fair Lady</t>
    </r>
    <r>
      <rPr>
        <rFont val="Montserrat"/>
        <color rgb="FFFFFFFF"/>
        <sz val="8.0"/>
      </rPr>
      <t xml:space="preserve"> Film Clip”
</t>
    </r>
  </si>
  <si>
    <t>Module 10: Unit Reading Assessment and Reflection</t>
  </si>
  <si>
    <t>CCSS.RL.9-10.7; CCSS.RL.9-10.5</t>
  </si>
  <si>
    <t>Topic Overview; Read; Check; Analyze; Using Examples and Anecdotes to Explain Ideas</t>
  </si>
  <si>
    <t>Share Your Reflections; Apply Your Learning: Analyzing Connections and Central Ideas in a Historical American Text</t>
  </si>
  <si>
    <t>Module 1: Shonda Rhimes Commencement Address</t>
  </si>
  <si>
    <t>CCSS.RI.9-10.3; CCSS.RI.9-10.6; CCSS.RI.9-10.1; CCSS.RI.9-10.4; CCSS.RI.9-10.10; CCSS.CCRA.R.1; CCSS.CCRA.R.1</t>
  </si>
  <si>
    <t>Share Your Reflections; Raise Your Score: Test Strategy: Eliminate Answers That Don't Make Sense; Apply Your Learning: The Impact of an Author’s Choices: Words and Images</t>
  </si>
  <si>
    <t>Module 2: How Colleges Weigh High School Extracurriculars</t>
  </si>
  <si>
    <t>CCSS.RI.9-10.3; CCSS.RI.9-10.1; CCSS.RI.9-10.4; CCSS.RI.9-10.4; CCSS.RI.9-10.10; CCSS.CCRA.R.1; CCSS.CCRA.R.1</t>
  </si>
  <si>
    <t>Module 3: Top Ten Benefits of Extracurricular Activities for High School Students</t>
  </si>
  <si>
    <t>CCSS.RI.9-10.6; CCSS.RI.9-10.8; CCSS.RI.9-10.3; CCSS.RI.9-10.5; CCSS.RI.9-10.2; CCSS.RI.9-10.4; CCSS.RI.9-10.10; CCSS.CCRA.R.1; CCSS.CCRA.R.1</t>
  </si>
  <si>
    <t>Topic Overview; Read; Check; Analyze; Analyzing Connections Within Informational Texts</t>
  </si>
  <si>
    <t>Share Your Reflections; Apply Your Learning: Using Examples and Anecdotes to Explain Ideas; Raise Your Score: Look for Key Words and Phrases</t>
  </si>
  <si>
    <t xml:space="preserve">Module 4: Pros, Cons of High School Jobs for College Applications </t>
  </si>
  <si>
    <t>CCSS.RI.9-10.3; CCSS.RI.9-10.2; CCSS.RI.9-10.1; CCSS.RI.9-10.6; CCSS.RI.9-10.5; CCSS.RI.9-10.4; CCSS.RI.9-10.10; CCSS.CCRA.R.1; CCSS.CCRA.R.1; CCSS.RI.9-10.3,</t>
  </si>
  <si>
    <t>Compare Pathways; Take Notes: Informational Texts; Informal Research and Formal Research</t>
  </si>
  <si>
    <t>Module 5: Read Across Genres; The Best Summer Job You'll Ever Have; The Benefits of Extracurriculuar Activities for Students; "Benefits of Extracurricular Activities" (Extension Activity) by ThinkCERCA Staff</t>
  </si>
  <si>
    <t>CCSS.RI.9-10.7; CCSS.RI.9-10.7</t>
  </si>
  <si>
    <t>Student Exemplar: Writing and the Joys of Creativity</t>
  </si>
  <si>
    <t>Grade 9, Unit 6, Module 8</t>
  </si>
  <si>
    <t>Unit 6 Core Assessment: "Why 'Finding Your Purpose' Matters - and Four Ways to Find Yours" ; "Gov. J.B. Pritzker's 2023 Northwestern Commencement Speech"</t>
  </si>
  <si>
    <t>Celebrate Your Success</t>
  </si>
  <si>
    <t>CCSS.RI.9-10.6; CCSS.RI.9-10.3</t>
  </si>
  <si>
    <t>Topic Overview; Read; Check; Analyze; How Epics and Coming-of-Age Stories Work; Characters</t>
  </si>
  <si>
    <t>Share Your Reflections; Apply Your Learning: Character Analysis; Compare Characters Changes: Compare Character Changes in Mythology</t>
  </si>
  <si>
    <r>
      <rPr>
        <rFont val="Montserrat"/>
        <color rgb="FF434343"/>
        <sz val="8.0"/>
      </rPr>
      <t xml:space="preserve">Module 1: "The Telemachy: Excerpts from </t>
    </r>
    <r>
      <rPr>
        <rFont val="Montserrat"/>
        <i/>
        <color rgb="FF434343"/>
        <sz val="8.0"/>
      </rPr>
      <t xml:space="preserve">The Odyssey </t>
    </r>
    <r>
      <rPr>
        <rFont val="Montserrat"/>
        <color rgb="FF434343"/>
        <sz val="8.0"/>
      </rPr>
      <t>of Homer Books 1-6"</t>
    </r>
  </si>
  <si>
    <t>CCSS.RL.9-10.3; CCSS.RL.9-10.1; CCSS.RL.9-10.2,; CCSS.RI.9-10.4; CCSS.RI.9-10.10,; CCSS.CCRA.R.1; CCSS.CCRA.R.3; CCSS.RL.9-10.3; CCSS.CCRA.R.1</t>
  </si>
  <si>
    <t>Topic Overview; Read; Check; Analyze; Understanding the Archetypes in The Odyssey</t>
  </si>
  <si>
    <t>Share Your Reflections; Raise Your Score: Test Strategy: Analyzing Verbs Found in Questions; Apply Your Learning: Analyze Odysseus’s Character; Compare Characters: Comparing Character Traits and Differences</t>
  </si>
  <si>
    <r>
      <rPr>
        <rFont val="Montserrat"/>
        <color rgb="FF434343"/>
        <sz val="8.0"/>
      </rPr>
      <t xml:space="preserve">Module 2: "The Wanderings of Odysseus: Excerpts from </t>
    </r>
    <r>
      <rPr>
        <rFont val="Montserrat"/>
        <i/>
        <color rgb="FF434343"/>
        <sz val="8.0"/>
      </rPr>
      <t xml:space="preserve">The Odyssey </t>
    </r>
    <r>
      <rPr>
        <rFont val="Montserrat"/>
        <color rgb="FF434343"/>
        <sz val="8.0"/>
      </rPr>
      <t>of Homer Books 7-12"</t>
    </r>
  </si>
  <si>
    <t>CCSS.RL.9-10.3; CCSS.RL.9-10.1; CCSS.RL.9-10.2; CCSS.RL.9-10.9; CCSS.RI.9-10.4; CCSS.RI.9-10.10; CCSS.CCRA.R.1; CCSS.RL.9-10.3; CCSS.CCRA.R.1</t>
  </si>
  <si>
    <t>Topic Overview; Read; Check; Analyze; Writing About Conflict and Resolution</t>
  </si>
  <si>
    <t>Share Your Reflections; Apply Your Learning: Writing About Conflicts and Resolution; Comparing Characters: Comparing Character Motivations</t>
  </si>
  <si>
    <r>
      <rPr>
        <rFont val="Montserrat"/>
        <color rgb="FF434343"/>
        <sz val="8.0"/>
      </rPr>
      <t xml:space="preserve">Module 3: "Return to Ithaka: Excerpts from </t>
    </r>
    <r>
      <rPr>
        <rFont val="Montserrat"/>
        <i/>
        <color rgb="FF434343"/>
        <sz val="8.0"/>
      </rPr>
      <t xml:space="preserve">The Odyssey </t>
    </r>
    <r>
      <rPr>
        <rFont val="Montserrat"/>
        <color rgb="FF434343"/>
        <sz val="8.0"/>
      </rPr>
      <t>of Homer</t>
    </r>
    <r>
      <rPr>
        <rFont val="Montserrat"/>
        <i/>
        <color rgb="FF434343"/>
        <sz val="8.0"/>
      </rPr>
      <t xml:space="preserve"> </t>
    </r>
    <r>
      <rPr>
        <rFont val="Montserrat"/>
        <color rgb="FF434343"/>
        <sz val="8.0"/>
      </rPr>
      <t>Books 13-19"</t>
    </r>
  </si>
  <si>
    <t>CCSS.RL.9-10.3; CCSS.RL.9-10.1; CCSS.RL.9-10.2; CCSS.RI.9-10.4; CCSS.RI.9-10.10; CCSS.CCRA.R.1; CCSS.RL.9-10.3; CCSS.CCRA.R.1</t>
  </si>
  <si>
    <t>Topic Overview; Read; Check; Analyze; Writing About Character Archetypes: Comparison and Contrast</t>
  </si>
  <si>
    <t>Share Your Reflections; Apply Your Learning: Comparing Character Archetypes</t>
  </si>
  <si>
    <r>
      <rPr>
        <rFont val="Montserrat"/>
        <color rgb="FF434343"/>
        <sz val="8.0"/>
      </rPr>
      <t xml:space="preserve">Module 4: "The Stringing of the Bow: Excerpts from </t>
    </r>
    <r>
      <rPr>
        <rFont val="Montserrat"/>
        <i/>
        <color rgb="FF434343"/>
        <sz val="8.0"/>
      </rPr>
      <t xml:space="preserve">The Odyssey </t>
    </r>
    <r>
      <rPr>
        <rFont val="Montserrat"/>
        <color rgb="FF434343"/>
        <sz val="8.0"/>
      </rPr>
      <t>of Homer Books 20-24"</t>
    </r>
  </si>
  <si>
    <t>CCSS.RL.9-10.3; CCSS.RL.9-10.4; CCSS.RL.9-10.2; CCSS.RI.9-10.4; CCSS.RI.9-10.10; CCSS.CCRA.R.1; CCSS.CCRA.R.1</t>
  </si>
  <si>
    <t>Analyzing Poetic Structure; Using Texts to Understand Multiple Perspectives; Read and Check</t>
  </si>
  <si>
    <t>Read and Analyze Poetry: Analyze Poetic Structure; Analyze and Compare Texts; Understand Multiple Perspectives: Using Texts to Understand Multiple Perspectives; Understand Multiple Perspectives</t>
  </si>
  <si>
    <r>
      <rPr>
        <rFont val="Montserrat"/>
        <color rgb="FF434343"/>
        <sz val="8.0"/>
      </rPr>
      <t xml:space="preserve">Module 5: Read Across Genres; Siren Song; Ithaka; The Greatest Tale Ever Told?; Excerpt from </t>
    </r>
    <r>
      <rPr>
        <rFont val="Montserrat"/>
        <i/>
        <color rgb="FF434343"/>
        <sz val="8.0"/>
      </rPr>
      <t>Enrique’s Journey</t>
    </r>
  </si>
  <si>
    <t>CCSS.RL.9-10.5; CCSS.CCRA.R.5; CCSS.RI.9-10.10; CCSS.RL.9-10.10; CCSS.RL.9-10.9; CCSS.RL.9-10.5; CCSS.RL.9-10.9; CCSS.RI.9-10.1</t>
  </si>
  <si>
    <r>
      <rPr>
        <rFont val="Montserrat"/>
        <color rgb="FFFFFFFF"/>
        <sz val="8.0"/>
      </rPr>
      <t xml:space="preserve">Topic Overview; Read; Check; Analyze; Student Exemplar: </t>
    </r>
    <r>
      <rPr>
        <rFont val="Montserrat"/>
        <i/>
        <color rgb="FFFFFFFF"/>
        <sz val="8.0"/>
      </rPr>
      <t>The Odyssey</t>
    </r>
    <r>
      <rPr>
        <rFont val="Montserrat"/>
        <color rgb="FFFFFFFF"/>
        <sz val="8.0"/>
      </rPr>
      <t xml:space="preserve"> and Its Impact on Modern Works</t>
    </r>
  </si>
  <si>
    <t>CCSS.RI.9-10.4; CCSS.RI.9-10.10; CCSS.RI.9-10.1; CCSS.RL.9-10.9; CCSS.RL.9-10.9</t>
  </si>
  <si>
    <t>Grade 9, Unit 7, Module 8</t>
  </si>
  <si>
    <r>
      <rPr>
        <rFont val="Montserrat"/>
        <color rgb="FFFFFFFF"/>
        <sz val="8.0"/>
      </rPr>
      <t xml:space="preserve">Unit 7 Core Assessment: “Excerpt from </t>
    </r>
    <r>
      <rPr>
        <rFont val="Montserrat"/>
        <i/>
        <color rgb="FFFFFFFF"/>
        <sz val="8.0"/>
      </rPr>
      <t>The Odyssey</t>
    </r>
    <r>
      <rPr>
        <rFont val="Montserrat"/>
        <color rgb="FFFFFFFF"/>
        <sz val="8.0"/>
      </rPr>
      <t>” and “Sirens”</t>
    </r>
  </si>
  <si>
    <t>CCSS.RL.9-10.9; CCSS.RL.9-10.3; CCSS.RL.9-10.5,; CCSS.RL.9-10.10</t>
  </si>
  <si>
    <t xml:space="preserve">Topic Overview; Read; Check; Analyze; Citing Evidence to Write about Literary Texts; </t>
  </si>
  <si>
    <t>Module 1: Us and Them</t>
  </si>
  <si>
    <t>CCSS.RL.9-10.1; CCSS.RL.9-10.2; CCSS.RL.9-10.3; CCSS.RL.9-10.4; CCSS.RL.9-10.5,; CCSS.RI.9-10.4; CCSS.RI.9-10.10,; CCSS.CCRA.R.1,; CCSS.CCRA.R.1</t>
  </si>
  <si>
    <t>Module 2: Your Parents Must Be Very Proud</t>
  </si>
  <si>
    <t>CCSS.RL.9-10.4; CCSS.RL.9-10.1; CCSS.RL.9-10.3,; CCSS.RI.9-10.4; CCSS.RI.9-10.10,; CCSS.CCRA.R.1,; CCSS.CCRA.R.4; CCSS.RL.9-10.4,; CCSS.CCRA.R.1</t>
  </si>
  <si>
    <t xml:space="preserve">Module 3: Ride and Jemison Reach for the Stars
</t>
  </si>
  <si>
    <t>CCSS.RL.9-10.1; CCSS.RL.9-10.2; CCSS.RL.9-10.4,; CCSS.RI.9-10.4; CCSS.RI.9-10.10,; CCSS.CCRA.R.1,; CCSS.RL.9-10.1,; CCSS.CCRA.R.1</t>
  </si>
  <si>
    <t>Share Your Reflections; Raise Your Score: Test Strategy: Make Predictions; Apply Your Learning: Determining Theme and Author’s Message in a  Personal Narrative</t>
  </si>
  <si>
    <r>
      <rPr>
        <rFont val="Montserrat"/>
        <color rgb="FF434343"/>
        <sz val="8.0"/>
      </rPr>
      <t xml:space="preserve">Module 4: “Excerpt from </t>
    </r>
    <r>
      <rPr>
        <rFont val="Montserrat"/>
        <i/>
        <color rgb="FF434343"/>
        <sz val="8.0"/>
      </rPr>
      <t>Breaking Night</t>
    </r>
    <r>
      <rPr>
        <rFont val="Montserrat"/>
        <color rgb="FF434343"/>
        <sz val="8.0"/>
      </rPr>
      <t>”</t>
    </r>
  </si>
  <si>
    <t>CCSS.RL.9-10.2; CCSS.RL.9-10.3; CCSS.RL.9-10.4; CCSS.RL.9-10.6,; CCSS.RI.9-10.4; CCSS.RI.9-10.10,; CCSS.CCRA.R.1,; CCSS.CCRA.R.2; CCSS.CCRA.R.1; CCSS.RL.9-10.2,</t>
  </si>
  <si>
    <t>Module 5: Read Across Genres; To S.M. A Young African Painter, On Seeing His Works; Birches; How the Brain Creates Personality: A New Theory; The Surprising Complexity of Animal Memories</t>
  </si>
  <si>
    <t>CCSS.RL.9-10.6; CCSS.RI.9-10.10; CCSS.RI.9-10.9,; CCSS.RL.9-10.4,; CCSS.RL.9-10.2,; CCSS.RI.9-10.9; CCSS.RI.9-10.10,</t>
  </si>
  <si>
    <t>Topic Overview; Read; Check; Analyze; Student Exemplar: The Bird's Eye</t>
  </si>
  <si>
    <t>CCSS.RL.9-10.10; CCSS.RI.9-10.10; CCSS.RI.9-10.4; CCSS.RL.9-10.2; CCSS.RI.9-10.6; CCSS.RI.9-10.2; CCSS.RI.9-10.1,</t>
  </si>
  <si>
    <t>Grade 10, Unit 1, Module 8</t>
  </si>
  <si>
    <t>Reading Independently; Unit 1 Core Assessment: “The Acting Thing” and “Farmwork”</t>
  </si>
  <si>
    <t>CCSS.RI.9-10.10,; CCSS.RL.9-10.2; CCSS.RL.9-10.1; CCSS.RL.9-10.4</t>
  </si>
  <si>
    <t>Module 1: America's Clean Water Crisis Goes Far Beyond Flint. There's No Relief in Sight.</t>
  </si>
  <si>
    <t>CCSS.RI.9-10.2; CCSS.RI.9-10.1; CCSS.RI.9-10.3; CCSS.RI.9-10.4,; CCSS.RI.9-10.4; CCSS.RI.9-10.10,; CCSS.CCRA.R.1,; CCSS.RI.9-10.2,; CCSS.CCRA.R.1</t>
  </si>
  <si>
    <t>Module 2: Kathmandu Finally Got Tap Water. After a Climate Disaster, It Was Gone.</t>
  </si>
  <si>
    <t>CCSS.RI.9-10.1; CCSS.RI.9-10.2; CCSS.RI.9-10.6; CCSS.RI.9-10.4,; CCSS.RI.9-10.4; CCSS.RI.9-10.10,; CCSS.CCRA.R.1,; CCSS.RI.9-10.1,; CCSS.CCRA.R.1</t>
  </si>
  <si>
    <t>Topic Overview; Read; Check; Analyze; Analyzing Text Features</t>
  </si>
  <si>
    <t>Module 3: 100 Years After Compact, Colorado River Nearing Crisis Point</t>
  </si>
  <si>
    <t>CCSS.RI.9-10.5; CCSS.RI.9-10.7; CCSS.RI.9-10.2; CCSS.RI.9-10.1; CCSS.RI.9-10.6; CCSS.RI.9-10.4,; CCSS.RI.9-10.4; CCSS.RI.9-10.10,; CCSS.RI.9-10.3; CCSS.CCRA.R.1,; CCSS.CCRA.R.1</t>
  </si>
  <si>
    <t>Share Your Reflections; Raise Your Score: Test Strategy: Verify Your Answer; Apply Your Learning: Analyze Issues, Appeals, and Rhetorical Devices</t>
  </si>
  <si>
    <t xml:space="preserve">Module 4: California and the American West Is Thirsty. But Is Seawater Desalination ‘a Silver Bullet’ to Solve the Water Crisis?
</t>
  </si>
  <si>
    <t>CCSS.RI.9-10.3; CCSS.RL.9-10.3; CCSS.RI.9-10.4; CCSS.RI.9-10.6; CCSS.RI.9-10.1; CCSS.RI.9-10.2,; CCSS.RI.9-10.10,; CCSS.CCRA.R.1,; CCSS.CCRA.R.1</t>
  </si>
  <si>
    <t xml:space="preserve">Analyzing an Author's Choices in Written Arguments;Understanding Visual Sources; Read and Check </t>
  </si>
  <si>
    <t>Module 5: Read Across Genres; Let Them Drink Bottled Water; Bottled Water Is Sucking Florida Dry; Clean Water and Sanitation: A Global Report Card; Thirst for Clean Water</t>
  </si>
  <si>
    <t>CCSS.RI.9-10.8; CCSS.RI.9-10.7; CCSS.RI.9-10.8,; CCSS.RI.9-10.1; CCSS.RI.9-10.7,</t>
  </si>
  <si>
    <t>Preview Key Concepts and Skills; Texts to Analyze and Discuss</t>
  </si>
  <si>
    <t>Topic Overview; Read; Check; Analyze; Student Exemplar: Beyond Flint</t>
  </si>
  <si>
    <t>Grade 10, Unit 2, Module 8</t>
  </si>
  <si>
    <t>Unit 2 Core Assessment: “There's SOME-FIN Special About Sanctuaries” and “Prescription for a Burn”</t>
  </si>
  <si>
    <t>CCSS.RI.9-10.8; CCSS.RI.9-10.2; CCSS.RI.9-10.1,</t>
  </si>
  <si>
    <t>Topic Overview; Read; Check; Analyze; Understanding Types and Categories of Characters; Characters in Narrative Writing</t>
  </si>
  <si>
    <t>Share Your Reflections; Apply Your Learning: Understanding Types and Categories of Characters</t>
  </si>
  <si>
    <t>Module 1: Return of the Queen</t>
  </si>
  <si>
    <t xml:space="preserve">Topic Overview; Read; Check; Analyze; Analyzing Story Elements in Literature; </t>
  </si>
  <si>
    <t>Module 2: The Lottery</t>
  </si>
  <si>
    <t>CCSS.RL.9-10.3; CCSS.RL.9-10.2; CCSS.RL.9-10.4; CCSS.RL.9-10.1; CCSS.RL.9-10.5; CCSS.RI.9-10.4; CCSS.RI.9-10.10; CCSS.CCRA.R.1; CCSS.RL.9-10.3; CCSS.CCRA.R.1</t>
  </si>
  <si>
    <t>Topic Overview; Read; Check; Analyze; Understanding Story Structure</t>
  </si>
  <si>
    <t>Share Your Reflections; Apply Your Learning: Understanding Story Structure</t>
  </si>
  <si>
    <t>Module 3: The Curious Case of Benjamin Button</t>
  </si>
  <si>
    <t>CCSS.RI.9-10.4; CCSS.RI.9-10.10; CCSS.RL.9-10.3; CCSS.RL.9-10.5; CCSS.CCRA.R.1; CCSS.RL.9-10.5; CCSS.CCRA.R.1</t>
  </si>
  <si>
    <t>Module 4: A Very Old Man with Enormous Wings</t>
  </si>
  <si>
    <t>CCSS.RL.9-10.6; CCSS.RL.9-10.1; CCSS.RL.9-10.2; CCSS.RL.9-10.3; CCSS.RL.9-10.4; CCSS.RI.9-10.4; CCSS.RI.9-10.10; CCSS.RL.9-10.10; CCSS.CCRA.R.1; CCSS.CCRA.R.1; CCSS.RL.9-10.6</t>
  </si>
  <si>
    <t>Analyze and Compare Poetry: Comparing Elements of Poetry to Deep Understanding; Analyze and Compare Poetry; Enhance Understanding: Informational Text</t>
  </si>
  <si>
    <t>Module 5: Read Across Genres; Not Waving but Drowning; About Standing (in Kinship); What Was the Milgram Experiment?; The Mesoamerican Influences Behind Namor From ‘Black Panther: Wakanda Forever’</t>
  </si>
  <si>
    <t>CCSS.RL.9-10.4; CCSS.RI.9-10.10; CCSS.RL.9-10.10; CCSS.RL.9-10.2; CCSS.RL.9-10.5; CCSS.RL.9-10.6; CCSS.RL.9-10.4; CCSS.RI.9-10.2; CCSS.RI.9-10.2</t>
  </si>
  <si>
    <t>Topic Overview; Read; Check; Analyze; Student Exemplar: Drol</t>
  </si>
  <si>
    <t>CCSS.RI.9-10.4; CCSS.RI.9-10.10; CCSS.RI.9-10.1; CCSS.RI.9-10.6</t>
  </si>
  <si>
    <t>Grade 10, Unit 3, Module 8</t>
  </si>
  <si>
    <t>Unit 3 Core Assessment: “Way of the Bow” and “Ryumon-No-Taki”</t>
  </si>
  <si>
    <t>Share Your Reflections; Apply Your Learning: Determining the Meanings of Words</t>
  </si>
  <si>
    <t>Module 1: Farmers in India Cut Their Carbon Footprint with Trees and Solar Power</t>
  </si>
  <si>
    <t>CCSS.RI.9-10.4; CCSS.RI.9-10.2; CCSS.RI.9-10.3; CCSS.RI.9-10.5,; CCSS.RI.9-10.10,; CCSS.CCRA.R.1,; CCSS.RI.9-10.4,; CCSS.CCRA.R.1</t>
  </si>
  <si>
    <t>Module 2: Can We Feed the World and Sustain the Planet?</t>
  </si>
  <si>
    <t>CCSS.RI.9-10.5; CCSS.RI.9-10.1; CCSS.RI.9-10.3; CCSS.RI.9-10.6; CCSS.RI.9-10.4,; CCSS.RI.9-10.4; CCSS.RI.9-10.10,; CCSS.CCRA.R.1,; CCSS.RI.9-10.5,; CCSS.CCRA.R.1</t>
  </si>
  <si>
    <t>Module 3: South Suburban Hydroponic Farm Owner Seeks to Democratize the Food System and Change the Narrative in the Ford Heights Neighborhood</t>
  </si>
  <si>
    <t>CCSS.RI.9-10.6; CCSS.RI.9-10.2; CCSS.RI.9-10.1; CCSS.RI.9-10.5,; CCSS.RI.9-10.4; CCSS.RI.9-10.10,; CCSS.CCRA.R.1,; CCSS.RI.9-10.6,; CCSS.CCRA.R.1</t>
  </si>
  <si>
    <t>Module 4: As Seas Rise, Bangladesh Farmers Revive Floating Farms</t>
  </si>
  <si>
    <t>CCSS.RI.9-10.2; CCSS.RI.9-10.4; CCSS.RI.9-10.5; CCSS.RI.9-10.6,; CCSS.RI.9-10.10,; CCSS.CCRA.R.1,; CCSS.CCRA.R.1</t>
  </si>
  <si>
    <t>Module 5: Read Across Genres; What Is Sustainable Agriculture?; What Is the Difference Between Organic Farming and Sustainable Farming?; Farmland; Smart Farming, Precision Agriculture to Achieve a More Sustainable World</t>
  </si>
  <si>
    <t>CCSS.RI.9-10.1; CCSS.RI.9-10.7; CCSS.RI.9-10.9,; CCSS.RI.9-10.1,; CCSS.RI.9-10.7,</t>
  </si>
  <si>
    <t>Topic Overview; Read; Check; Analyze; Student Exemplar: Problems with Solutions to a Growing Global Crisis</t>
  </si>
  <si>
    <t>Grade 10, Unit 4, Module 9</t>
  </si>
  <si>
    <t>Unit 4 Core Assessment: “Aquatic Food Webs” and “Amazon in Peril”</t>
  </si>
  <si>
    <t>Map the Play: Act I: Potential Conflicts ; Share Your Reflections; Apply Your Learning: How Playwrights Introduce Dramatic Action Through Scenes</t>
  </si>
  <si>
    <r>
      <rPr>
        <rFont val="Montserrat"/>
        <color rgb="FF434343"/>
        <sz val="8.0"/>
      </rPr>
      <t xml:space="preserve">Module 1: </t>
    </r>
    <r>
      <rPr>
        <rFont val="Montserrat"/>
        <i/>
        <color rgb="FF434343"/>
        <sz val="8.0"/>
      </rPr>
      <t>A Raisin in the Sun</t>
    </r>
    <r>
      <rPr>
        <rFont val="Montserrat"/>
        <color rgb="FF434343"/>
        <sz val="8.0"/>
      </rPr>
      <t>: Act I, Scene I</t>
    </r>
  </si>
  <si>
    <t>CCSS.RL.9-10.5; CCSS.RL.9-10.2; CCSS.RL.9-10.3; CCSS.RI.9-10.4; CCSS.RI.9-10.10; CCSS.RL.9-10.5; CCSS.CCRA.R.1; CCSS.CCRA.R.1</t>
  </si>
  <si>
    <t>Map the Play: Act I, Scene II: Internal and External Conflicts;  Share Your Reflections; Raise Your Score: Test Strategy: Context Clues; Apply Your Learning: Understanding Types of Conflict in Literature</t>
  </si>
  <si>
    <r>
      <rPr>
        <rFont val="Montserrat"/>
        <color rgb="FF434343"/>
        <sz val="8.0"/>
      </rPr>
      <t xml:space="preserve">Module 2: </t>
    </r>
    <r>
      <rPr>
        <rFont val="Montserrat"/>
        <i/>
        <color rgb="FF434343"/>
        <sz val="8.0"/>
      </rPr>
      <t>A Raisin in the Sun</t>
    </r>
    <r>
      <rPr>
        <rFont val="Montserrat"/>
        <color rgb="FF434343"/>
        <sz val="8.0"/>
      </rPr>
      <t>: Act I, Scene II</t>
    </r>
  </si>
  <si>
    <t>CCSS.RL.9-10.3; CCSS.RL.9-10.2; CCSS.RL.9-10.4; CCSS.RL.9-10.5; CCSS.RI.9-10.4; CCSS.RI.9-10.10; CCSS.RL.9-10.5; CCSS.CCRA.R.1; CCSS.RL.9-10.3; CCSS.CCRA.R.1</t>
  </si>
  <si>
    <t>Map the Play: Act II, Scene I: Conflict Between Characters; Share Your Reflections; Apply Your Learning: Developing Point of View and Perspective in Literature</t>
  </si>
  <si>
    <r>
      <rPr>
        <rFont val="Montserrat"/>
        <color rgb="FF434343"/>
        <sz val="8.0"/>
      </rPr>
      <t xml:space="preserve">Module 3: </t>
    </r>
    <r>
      <rPr>
        <rFont val="Montserrat"/>
        <i/>
        <color rgb="FF434343"/>
        <sz val="8.0"/>
      </rPr>
      <t>A Raisin in the Sun</t>
    </r>
    <r>
      <rPr>
        <rFont val="Montserrat"/>
        <color rgb="FF434343"/>
        <sz val="8.0"/>
      </rPr>
      <t>: Act II, Scene I</t>
    </r>
  </si>
  <si>
    <t>CCSS.RL.9-10.3; CCSS.RL.9-10.4; CCSS.RL.9-10.5; CCSS.RI.9-10.4; CCSS.RI.9-10.10; CCSS.RL.9-10.5; CCSS.RL.9-10.6; CCSS.CCRA.R.1; CCSS.RL.9-10.6; CCSS.CCRA.R.1</t>
  </si>
  <si>
    <t>Share Your Reflections; Raise Your Score: Test Strategy: Paraphrasing Prompts; Apply Your Learning: How Playwrights Develop Dramatic Action                Through Scenes</t>
  </si>
  <si>
    <r>
      <rPr>
        <rFont val="Montserrat"/>
        <color rgb="FF434343"/>
        <sz val="8.0"/>
      </rPr>
      <t xml:space="preserve">Module 4: </t>
    </r>
    <r>
      <rPr>
        <rFont val="Montserrat"/>
        <i/>
        <color rgb="FF434343"/>
        <sz val="8.0"/>
      </rPr>
      <t>A Raisin in the Sun</t>
    </r>
    <r>
      <rPr>
        <rFont val="Montserrat"/>
        <color rgb="FF434343"/>
        <sz val="8.0"/>
      </rPr>
      <t>: Act II, Scene II</t>
    </r>
  </si>
  <si>
    <t>CCSS.RL.9-10.5; CCSS.RL.9-10.1; CCSS.RL.9-10.3; CCSS.RI.9-10.4; CCSS.RI.9-10.10; CCSS.CCRA.R.1; CCSS.RL.9-10.5; CCSS.CCRA.R.1</t>
  </si>
  <si>
    <t>Map the Play: Act II, Scene III Character Reactions; Share Your Reflections; Apply Your Learning: Developing Characters in Drama</t>
  </si>
  <si>
    <r>
      <rPr>
        <rFont val="Montserrat"/>
        <color rgb="FF434343"/>
        <sz val="8.0"/>
      </rPr>
      <t xml:space="preserve">Module 5: </t>
    </r>
    <r>
      <rPr>
        <rFont val="Montserrat"/>
        <i/>
        <color rgb="FF434343"/>
        <sz val="8.0"/>
      </rPr>
      <t>A Raisin in the Sun</t>
    </r>
    <r>
      <rPr>
        <rFont val="Montserrat"/>
        <color rgb="FF434343"/>
        <sz val="8.0"/>
      </rPr>
      <t>: Act II, Scene III</t>
    </r>
  </si>
  <si>
    <t>CCSS.RL.9-10.3; CCSS.RL.9-10.1; CCSS.RL.9-10.4,; CCSS.RI.9-10.4; CCSS.RI.9-10.10; CCSS.RL.9-10.5; CCSS.RL.9-10.5; CCSS.CCRA.R.1; CCSS.RL.9-10.3; CCSS.CCRA.R.1</t>
  </si>
  <si>
    <t>Map the Play: Act III: Theme Statements; Share Your Reflections; Apply Your Learning: Determining Themes in Drama</t>
  </si>
  <si>
    <r>
      <rPr>
        <rFont val="Montserrat"/>
        <color rgb="FF434343"/>
        <sz val="8.0"/>
      </rPr>
      <t xml:space="preserve">Module 6: </t>
    </r>
    <r>
      <rPr>
        <rFont val="Montserrat"/>
        <i/>
        <color rgb="FF434343"/>
        <sz val="8.0"/>
      </rPr>
      <t>A Raisin in the Sun</t>
    </r>
    <r>
      <rPr>
        <rFont val="Montserrat"/>
        <color rgb="FF434343"/>
        <sz val="8.0"/>
      </rPr>
      <t>: Act III</t>
    </r>
  </si>
  <si>
    <t>CCSS.RL.9-10.2; CCSS.RL.9-10.1; CCSS.RL.9-10.5; CCSS.RL.9-10.4; CCSS.RI.9-10.4; CCSS.RI.9-10.10; CCSS.RL.9-10.5; CCSS.CCRA.R.1; CCSS.CCRA.R.1; CCSS.RL.9-10.2,</t>
  </si>
  <si>
    <r>
      <rPr>
        <rFont val="Montserrat"/>
        <color rgb="FF434343"/>
        <sz val="8.0"/>
      </rPr>
      <t xml:space="preserve">Module 7: Read Across Genres; Film Production of </t>
    </r>
    <r>
      <rPr>
        <rFont val="Montserrat"/>
        <i/>
        <color rgb="FF434343"/>
        <sz val="8.0"/>
      </rPr>
      <t>A Raisin in the Sun</t>
    </r>
    <r>
      <rPr>
        <rFont val="Montserrat"/>
        <color rgb="FF434343"/>
        <sz val="8.0"/>
      </rPr>
      <t>;  “Excerpt from A Raisin in the Sun, Act I, Scene I” and “Damn These Eggs!” How Lorraine Hansberry Turned Her Family’s Story into A Raisin in the Sun; The Long-Lasting Legacy of the Great Migration</t>
    </r>
  </si>
  <si>
    <t>CCSS.RL.9-10.7; CCSS.RL.9-10.10; CCSS.RL.9-10.7; CCSS.RI.9-10.1; CCSS.RI.9-10.1</t>
  </si>
  <si>
    <t>Topic Overview; Read; Check; Analyze; Student Exemplar: The Black Family Dream</t>
  </si>
  <si>
    <t>Grade 10, Unit 5, Module 10</t>
  </si>
  <si>
    <r>
      <rPr>
        <rFont val="Montserrat"/>
        <color rgb="FFFFFFFF"/>
        <sz val="8.0"/>
      </rPr>
      <t xml:space="preserve">Unit 5 Core Assessment: “Excerpt from </t>
    </r>
    <r>
      <rPr>
        <rFont val="Montserrat"/>
        <i/>
        <color rgb="FFFFFFFF"/>
        <sz val="8.0"/>
      </rPr>
      <t>A Raisin in the Sun</t>
    </r>
    <r>
      <rPr>
        <rFont val="Montserrat"/>
        <color rgb="FFFFFFFF"/>
        <sz val="8.0"/>
      </rPr>
      <t>” and “A Dream Deferred”</t>
    </r>
  </si>
  <si>
    <t>Topic Overview; Read; Check; Analyze; Analyze; Use Examples and Anecdotes to Explain Ideas</t>
  </si>
  <si>
    <t>Module 1: Kerry Washington Commencement Speech</t>
  </si>
  <si>
    <t>CCSS.RI.9-10.3; CCSS.RI.9-10.2; CCSS.RI.9-10.4; CCSS.RI.9-10.6; CCSS.RI.9-10.1; CCSS.RI.9-10.10; CCSS.CCRA.R.1; CCSS.CCRA.R.1</t>
  </si>
  <si>
    <t>Module 2: The Surprising Thing Google Learned About Its Employees—and What It Means for Today’s Students</t>
  </si>
  <si>
    <t>CCSS.RI.9-10.4; CCSS.RI.9-10.10; CCSS.RI.9-10.3; CCSS.CCRA.R.1; CCSS.CCRA.R.1</t>
  </si>
  <si>
    <t xml:space="preserve">Module 3: How Thinking About 'Future You' Can Build a Happier Life </t>
  </si>
  <si>
    <t>CCSS.RI.9-10.6; CCSS.RI.9-10.2; CCSS.RI.9-10.1; CCSS.RI.9-10.5,; CCSS.RI.9-10.4; CCSS.RI.9-10.10; CCSS.CCRA.R.1; CCSS.CCRA.R.1</t>
  </si>
  <si>
    <t>Share Your Reflections; Raise Your Score: Test Strategy: Look for Keywords and Phrases; Apply Your Learning: Analyzing Connections within Informational Texts</t>
  </si>
  <si>
    <t>Module 4: College Still Matters, Now More Than Ever</t>
  </si>
  <si>
    <t>CCSS.RI.9-10.3; CCSS.RI.9-10.6; CCSS.RI.9-10.4; CCSS.RI.9-10.8; CCSS.RI.9-10.10; CCSS.CCRA.R.1; CCSS.CCRA.R.1; CCSS.RI.9-10.3,</t>
  </si>
  <si>
    <t xml:space="preserve">Compare Pathways; Take Notes: Informational Texts; Informal and Formal Research </t>
  </si>
  <si>
    <t>Module 5: Read Across Genres; Does It Matter Where You Go to College?; Where Your Kid Goes to College Doesn’t Matter As Much As You Think; Career Exploration for High School Students — Three Steps to Follow</t>
  </si>
  <si>
    <t>Topic Overview; Read; Check; Analyze; Student Exemplar: Time for a Change</t>
  </si>
  <si>
    <t>CCSS.RI.9-10.4; CCSS.RI.9-10.10</t>
  </si>
  <si>
    <t>Grade 10, Unit 6, Module 8</t>
  </si>
  <si>
    <t>Unit 6 Core Assessment: "Remarks by the First Lady at a Screening of the Film 'Hidden Figures'"; "Dual Enrollment Can Save College Students Time and Money – But There's One Risk to Avoid"</t>
  </si>
  <si>
    <t>CCSS.RI.9-10.6; CCSS.RI.9-10.3,</t>
  </si>
  <si>
    <t>Topic Overview; Read; Check; Analyze; Analyzing Traditional Tales: Creation Stories; summarizing literary texts</t>
  </si>
  <si>
    <t>Share Your Reflections; Apply Your Learning; Analyzing Traditional Tales: Creation Stories;</t>
  </si>
  <si>
    <t>Module 1: Creation Stories Collection</t>
  </si>
  <si>
    <t>CCSS.RL.9-10.9; CCSS.RL.9-10.4; CCSS.RL.9-10.3; CCSS.RL.9-10.5; CCSS.RL.9-10.2; CCSS.RL.9-10.1; CCSS.RI.9-10.4; CCSS.RI.9-10.10; CCSS.CCRA.R.1; CCSS.CCRA.R.1</t>
  </si>
  <si>
    <t>Topic Overview; Read; Check; Analyze; Common Characters Within and Across Texts</t>
  </si>
  <si>
    <t>Share Your Reflections; Raise Your Score: Test Strategy: Analyzing Verbs Found in Prompts; Apply Your Learning: Common Characters Within and Across Texts</t>
  </si>
  <si>
    <t>Module 2: Excerpt from Theogony and Prometheus Unbound</t>
  </si>
  <si>
    <t>CCSS.RL.9-10.9; CCSS.RL.9-10.4; CCSS.RL.9-10.5; CCSS.RL.9-10.3; CCSS.RL.9-10.7; CCSS.RI.9-10.4; CCSS.RI.9-10.10; CCSS.CCRA.R.1; CCSS.CCRA.R.1</t>
  </si>
  <si>
    <t>Topic Overview; Read; Check; Analyze; Common Themes Within and Across Texts; Setting</t>
  </si>
  <si>
    <t>Share Your Reflections; Raise Your Score: Test Strategy: Analyzing Verbs Found in Prompts; Apply Your Learning: Common Themes Within and Across Texts</t>
  </si>
  <si>
    <t>Module 3: "The Last Curiosity" and "Time Capsule Found on the Dead Planet"</t>
  </si>
  <si>
    <t>CCSS.RL.9-10.9; CCSS.RI.9-10.2; CCSS.RL.9-10.4; CCSS.RL.9-10.1; CCSS.RL.9-10.3; CCSS.RI.9-10.4; CCSS.RI.9-10.10; CCSS.RL.9-10.2; CCSS.CCRA.R.1; CCSS.CCRA.R.9; CCSS.CCRA.R.1</t>
  </si>
  <si>
    <t>Understand Multiple Perspectives: Using Texts to Understand Multiple Perspectives; Analyze and Compare Texts: Finding Common Ground in Presentations; Inquiry-Driven Research</t>
  </si>
  <si>
    <t>Module 4: Read Across Genres: Dear Dr. Frankenstein; Tell Me a Story; The Fifth Story; What I Have Been Doing Lately</t>
  </si>
  <si>
    <t>CCSS.RL.9-10.5; CCSS.CCRA.R.5; CCSS.RI.9-10.10; CCSS.RL.9-10.10; CCSS.RL.9-10.9; CCSS.RL.9-10.9</t>
  </si>
  <si>
    <t>Topic Overview; Read; Check; Analyze; Student Exemplar: Old Tales Turned into Modern Classics</t>
  </si>
  <si>
    <t>Module 6: Portfolio: Writing the Literary Analysis</t>
  </si>
  <si>
    <t>CCSS.RI.9-10.4; CCSS.RI.9-10.10; CCSS.RI.9-10.1; CCSS.RL.9-10.9</t>
  </si>
  <si>
    <t>Grade 10, Unit 7, Module 7</t>
  </si>
  <si>
    <t>Unit 7 Core Assessment: “Excerpt from Orpheus and Eurydice” and “Orpheus”</t>
  </si>
  <si>
    <t>CCSS.RL.9-10.9; CCSS.RL.9-10.3; CCSS.RL.9-10.5</t>
  </si>
  <si>
    <t>Module 1: Beauty: When the Other Dancer Is the Self</t>
  </si>
  <si>
    <t>CCSS.RL.11-12.1; CCSS.RL.11-12.3; CCSS.RL.11-12.5; CCSS.RL.11-12.4; CCSS.RI.11-12.4; CCSS.RI.11-12.10; CCSS.CCRA.R.1; CCSS.CCRA.R.1</t>
  </si>
  <si>
    <t>Share Your Reflections; Apply Your Learning: Determining Theme and Author's Message in a  Personal Narrative</t>
  </si>
  <si>
    <r>
      <rPr>
        <rFont val="Montserrat"/>
        <color rgb="FF434343"/>
        <sz val="8.0"/>
      </rPr>
      <t xml:space="preserve">Module 2: “Excerpt from </t>
    </r>
    <r>
      <rPr>
        <rFont val="Montserrat"/>
        <i/>
        <color rgb="FF434343"/>
        <sz val="8.0"/>
      </rPr>
      <t>My Beloved World</t>
    </r>
    <r>
      <rPr>
        <rFont val="Montserrat"/>
        <color rgb="FF434343"/>
        <sz val="8.0"/>
      </rPr>
      <t>”</t>
    </r>
  </si>
  <si>
    <t>CCSS.RL.11-12.2; CCSS.RL.11-12.1; CCSS.RL.11-12.3; CCSS.RL.11-12.4; CCSS.RI.11-12.4; CCSS.RI.11-12.10; CCSS.CCRA.R.1; CCSS.CCRA.R.1; CCSS.CCRA.R.2; CCSS.RL.11-12.2,</t>
  </si>
  <si>
    <r>
      <rPr>
        <rFont val="Montserrat"/>
        <color rgb="FF434343"/>
        <sz val="8.0"/>
      </rPr>
      <t xml:space="preserve">Module 3: “Excerpt from </t>
    </r>
    <r>
      <rPr>
        <rFont val="Montserrat"/>
        <i/>
        <color rgb="FF434343"/>
        <sz val="8.0"/>
      </rPr>
      <t>The Way to Rainy Mountain</t>
    </r>
    <r>
      <rPr>
        <rFont val="Montserrat"/>
        <color rgb="FF434343"/>
        <sz val="8.0"/>
      </rPr>
      <t>”</t>
    </r>
  </si>
  <si>
    <t>CCSS.RL.11-12.4; CCSS.RL.11-12.3; CCSS.RL.11-12.2; CCSS.RL.11-12.1; CCSS.RI.11-12.4; CCSS.RI.11-12.10; CCSS.CCRA.R.1; CCSS.CCRA.R.1; CCSS.CCRA.R.4; CCSS.RL.11-12.4,</t>
  </si>
  <si>
    <t>Topic Overview; Read; Check; Analyze; The Impact of an Author’s Choices: Words and Images</t>
  </si>
  <si>
    <t>Share Your Reflections; Raise Your Score: Test Strategy: Make Predictions; Apply Your Learning: The Impact of an Author’s Choices: Words and Images</t>
  </si>
  <si>
    <t>Module 4: The Secret to a Long Life Is Bocce</t>
  </si>
  <si>
    <t>CCSS.RI.11-12.6; CCSS.RI.11-12.2; CCSS.RI.11-12.4; CCSS.RI.11-12.10; CCSS.CCRA.R.1; CCSS.CCRA.R.1; CCSS.RI.11-12.6,</t>
  </si>
  <si>
    <t>Module 5: Read Across Genres; Eddie Priest’s Barbershop &amp; Notary; Manners; The Stories That Bind Us; DNA Testing Can Bring Families Together, but Gives Mixed Answers on Ethnicity</t>
  </si>
  <si>
    <t>CCSS.RL.11-12.6; CCSS.RI.11-12.10; CCSS.RL.11-12.6; CCSS.RL.11-12.4; CCSS.RL.11-12.4; CCSS.RL.11-12.2; CCSS.RI.11-12.10</t>
  </si>
  <si>
    <t>Topic Overview; Read; Check; Analyze; Student Exemplar: Frank Mann</t>
  </si>
  <si>
    <t>CCSS.RI.11-12.4; CCSS.RI.11-12.10; CCSS.RL.11-12.2; CCSS.RI.11-12.6; CCSS.RI.11-12.2; CCSS.RI.11-12.1,</t>
  </si>
  <si>
    <t>Grade 11, Unit 1, Module 8</t>
  </si>
  <si>
    <t>Reading Independently; Unit 1 Core Assessment: “Roughing It” and “Amnesty”</t>
  </si>
  <si>
    <t>CCSS.RI.11-12.10; CCSS.RL.11-12.2; CCSS.RL.11-12.1; CCSS.RL.11-12.4</t>
  </si>
  <si>
    <t xml:space="preserve">Share Your Reflections; Apply Your Learning: Determining and Tracing a Central Idea Through Details; </t>
  </si>
  <si>
    <t>Module 1: Is National Park Status Always a Good Thing?</t>
  </si>
  <si>
    <t>CCSS.RI.11-12.2; CCSS.RI.11-12.1; CCSS.RI.11-12.3,; CCSS.RI.11-12.4; CCSS.RI.11-12.10,; CCSS.CCRA.R.1; CCSS.RI.11-12.1,; CCSS.RI.11-12.2,</t>
  </si>
  <si>
    <t>Module 2: Saving America’s Treasures</t>
  </si>
  <si>
    <t>CCSS.RI.11-12.1; CCSS.RI.11-12.2,; CCSS.RI.11-12.4; CCSS.RI.11-12.10,; CCSS.CCRA.R.1; CCSS.RI.11-12.5,; CCSS.RI.11-12.5; CCSS.RI.11-12.1,</t>
  </si>
  <si>
    <t>Module 3: Animals Notice—and Adapt—When Humans Are in National Parks</t>
  </si>
  <si>
    <t>CCSS.RI.11-12.5; CCSS.RI.11-12.7; CCSS.RI.11-12.2; CCSS.RI.11-12.1,; CCSS.RI.11-12.4; CCSS.RI.11-12.10,; CCSS.CCRA.R.1; CCSS.RI.11-12.6,; CCSS.RI.11-12.6</t>
  </si>
  <si>
    <t>Module 4: Our National Parks Are in Trouble</t>
  </si>
  <si>
    <t>CCSS.RI.11-12.6; CCSS.RI.11-12.5,; CCSS.RI.11-12.4; CCSS.RI.11-12.10,; CCSS.CCRA.R.1; CCSS.RL.11-12.5,; CCSS.RL.11-12.5; CCSS.CCRA.R.5,</t>
  </si>
  <si>
    <t>Analyzing an Author's Choices in Written Arguments; Comparing Arguments; Read and Check; Understanding Visual Sources</t>
  </si>
  <si>
    <t>Module 5: Read Across Genres; A Modest Proposal: We Need More National Parks; More National Parks Won’t Solve Overcrowding; Five Reasons Why America’s Arctic Should Remain Off-Limits to New Drilling for Oil and Gas; The Forgotten History of the US' African American Coal Towns</t>
  </si>
  <si>
    <t>CCSS.RI.11-12.6; CCSS.RI.11-12.7; CCSS.RI.11-12.5,; CCSS.RI.11-12.5; CCSS.RI.11-12.6,; CCSS.RI.11-12.7,</t>
  </si>
  <si>
    <t>Topic Overview; Read; Check; Analyze; Student Exemplar: The Preservation of Our National Parks</t>
  </si>
  <si>
    <t>CCSS.RI.11-12.4; CCSS.RI.11-12.10; CCSS.RI.11-12.5</t>
  </si>
  <si>
    <t>Grade 11, Unit 2, Module 8</t>
  </si>
  <si>
    <t>Unit 2 Core Assessment: “Corporate Sponsors at Yosemite? The Case Against Privatizing National Parks” and " Park Concessions: Historic Privatization"</t>
  </si>
  <si>
    <t>CCSS.RI.11-12.8; CCSS.RI.11-12.2; CCSS.RI.11-12.1</t>
  </si>
  <si>
    <t>Module 1: The Bet</t>
  </si>
  <si>
    <t>CCSS.RL.11-12.2; CCSS.RL.11-12.1; CCSS.RL.11-12.4; CCSS.RI.11-12.4; CCSS.RI.11-12.10; CCSS.CCRA.R.1; CCSS.CCRA.R.1; CCSS.RL.11-12.2,</t>
  </si>
  <si>
    <t>Module 2: Eveline</t>
  </si>
  <si>
    <t>CCSS.RL.11-12.3; CCSS.RI.11-12.4; CCSS.RI.11-12.10; CCSS.RL.11-12.3; CCSS.CCRA.R.1; CCSS.CCRA.R.1</t>
  </si>
  <si>
    <t>Module 3: Anyone Can Do It</t>
  </si>
  <si>
    <t>CCSS.RL.11-12.3; CCSS.RL.11-12.1; CCSS.RL.11-12.2; CCSS.RL.11-12.4; CCSS.RI.11-12.4; CCSS.RI.11-12.10; CCSS.CCRA.R.1; CCSS.CCRA.R.1; CCSS.RL.11-12.3</t>
  </si>
  <si>
    <t>Share Your Reflections; Raise Your Score: Test Strategy: Keep Calm and Answer On; Apply Your Learning: Developing Point of View and Perspective in Literature; Share Your Plan</t>
  </si>
  <si>
    <t>Module 4: Apollo</t>
  </si>
  <si>
    <t>CCSS.RL.11-12.6; CCSS.RL.11-12.1; CCSS.RL.11-12.3; CCSS.RL.11-12.4; CCSS.RI.11-12.4; CCSS.RI.11-12.10; CCSS.RL.11-12.10; CCSS.CCRA.R.1; CCSS.CCRA.R.1; CCSS.RL.11-12.6</t>
  </si>
  <si>
    <t>Module 5: Read Across Genres; Blackberry-Picking; The Gift; Why I Write; A Vindication of the Rights of Woman: with Strictures on Political and Moral Subjects</t>
  </si>
  <si>
    <t>CCSS.RL.11-12.4; CCSS.RL.11-12.10; CCSS.RI.11-12.10; CCSS.RL.11-12.2; CCSS.RL.11-12.5; CCSS.RL.11-12.6; CCSS.RL.11-12.4; CCSS.RI.11-12.1; CCSS.RI.11-12.1</t>
  </si>
  <si>
    <t>Topic Overview; Read; Check; Analyze; Student Exemplar: Conflicts vs. Debate</t>
  </si>
  <si>
    <t>CCSS.RI.11-12.4; CCSS.RI.11-12.10; CCSS.RI.11-12.1; CCSS.RI.11-12.6,</t>
  </si>
  <si>
    <t>Grade 11, Unit 3, Module 8</t>
  </si>
  <si>
    <t>Unit 3 Core Assessment: “Excerpt from The Interlopers” and “Excerpt from ‘The Story of an Hour’”</t>
  </si>
  <si>
    <t>CCSS.RL.11-12.3; CCSS.RL.11-12.2; CCSS.RL.11-12.6</t>
  </si>
  <si>
    <t>Topic Overview; Read; Check; Analyze; Determining the Meanings of Words and Phrases</t>
  </si>
  <si>
    <t>Module 1: Water Shortages Must Be Placed on the Climate-Change Agenda. This Is Why</t>
  </si>
  <si>
    <t>CCSS.RI.11-12.4; CCSS.RI.11-12.2; CCSS.RI.11-12.1; CCSS.RI.11-12.5,; CCSS.RI.11-12.10,; CCSS.CCRA.R.1,; CCSS.CCRA.R.1; CCSS.RI.11-12.4,</t>
  </si>
  <si>
    <t>Module 2: A Map of the Future of Water</t>
  </si>
  <si>
    <t>CCSS.RI.11-12.5; CCSS.RI.11-12.6; CCSS.RI.11-12.4; CCSS.RI.11-12.1,; CCSS.RI.11-12.10,; CCSS.CCRA.R.1,; CCSS.CCRA.R.1; CCSS.RI.11-12.5,</t>
  </si>
  <si>
    <t>Share Your Reflections; Apply Your Learning: Point of View and Purpose in Informational Texts</t>
  </si>
  <si>
    <t>Module 3: Why We Remember Floods and Forget Droughts</t>
  </si>
  <si>
    <t>CCSS.RI.11-12.6; CCSS.RI.11-12.5; CCSS.RI.11-12.1; CCSS.RI.11-12.4,; CCSS.RI.11-12.4; CCSS.RI.11-12.10,; CCSS.CCRA.R.1,; CCSS.CCRA.R.1; CCSS.RI.11-12.6,</t>
  </si>
  <si>
    <t>Module 4: A Century Ago, This Water Agreement Changed the West. Now, the Region Is in Crisis</t>
  </si>
  <si>
    <t>CCSS.RI.11-12.2; CCSS.RI.11-12.1; CCSS.RI.11-12.5; CCSS.RI.11-12.4,; CCSS.RI.11-12.4; CCSS.RI.11-12.10,; CCSS.CCRA.R.1,; CCSS.CCRA.R.1</t>
  </si>
  <si>
    <t>Read and Check; Evaluating Evidence; Understanding a Topic through Multiple Texts</t>
  </si>
  <si>
    <t>Module 5: Read Across Genres; Sustainable Earth: Water; Mexico City: Thirsty and Sinking; Excerpt from The Grapes of Wrath: Chapter 1; Sustainable Water: Our Essential Guide to Sustainable Water Resource Management Solutions and Strategies</t>
  </si>
  <si>
    <t>CCSS.RI.11-12.1; CCSS.RI.11-12.9,; CCSS.RI.11-12.1,; CCSS.RL.11-12.7,; CCSS.RI.11-12.7</t>
  </si>
  <si>
    <t>Module 6: Research Big Ideas; Research Skills</t>
  </si>
  <si>
    <t>CCSS.RI.11-12.7; CCSS.RL.11-12.7,</t>
  </si>
  <si>
    <t>Topic Overview; Read; Check; Analyze; Student Exemplar: Water’s Crucial Role in Humanity</t>
  </si>
  <si>
    <t>CCSS.RI.11-12.4; CCSS.RI.11-12.10; CCSS.RI.11-12.1</t>
  </si>
  <si>
    <t>Grade 11, Unit 4, Module 9</t>
  </si>
  <si>
    <t>Unit 4 Core Assessment: “Fleeing from the Weather” and “What Plants Can Teach Us”</t>
  </si>
  <si>
    <t>CCSS.RI.11-12.5; CCSS.RI.11-12.6; CCSS.RI.11-12.4</t>
  </si>
  <si>
    <r>
      <rPr>
        <rFont val="Montserrat"/>
        <color rgb="FF434343"/>
        <sz val="8.0"/>
      </rPr>
      <t xml:space="preserve">Module 1: </t>
    </r>
    <r>
      <rPr>
        <rFont val="Montserrat"/>
        <i/>
        <color rgb="FF434343"/>
        <sz val="8.0"/>
      </rPr>
      <t>Macbeth</t>
    </r>
    <r>
      <rPr>
        <rFont val="Montserrat"/>
        <color rgb="FF434343"/>
        <sz val="8.0"/>
      </rPr>
      <t>: Act I</t>
    </r>
  </si>
  <si>
    <t>CCSS.RL.11-12.3; CCSS.RL.11-12.4; CCSS.RI.11-12.4; CCSS.RI.11-12.10; CCSS.CCRA.R.1; CCSS.RL.11-12.5; CCSS.CCRA.R.1; CCSS.RL.11-12.3,</t>
  </si>
  <si>
    <t>Map the Play: Act II: Map the Plot;  Share Your Reflections; Raise Your Score: Test Strategy: Context Clues; Apply Your Learning: Understanding Shakespearean Language</t>
  </si>
  <si>
    <r>
      <rPr>
        <rFont val="Montserrat"/>
        <color rgb="FF434343"/>
        <sz val="8.0"/>
      </rPr>
      <t xml:space="preserve">Module 2: </t>
    </r>
    <r>
      <rPr>
        <rFont val="Montserrat"/>
        <i/>
        <color rgb="FF434343"/>
        <sz val="8.0"/>
      </rPr>
      <t>Macbeth</t>
    </r>
    <r>
      <rPr>
        <rFont val="Montserrat"/>
        <color rgb="FF434343"/>
        <sz val="8.0"/>
      </rPr>
      <t>: Act II</t>
    </r>
  </si>
  <si>
    <t>CCSS.RL.11-12.4; CCSS.RL.11-12.2; CCSS.RI.11-12.4; CCSS.RI.11-12.10; CCSS.RL.11-12.5; CCSS.CCRA.R.1; CCSS.CCRA.R.1</t>
  </si>
  <si>
    <t>Map the Play: Act III: Conflict Between Characters; Share Your Reflections; Apply Your Learning: Analyzing Direct and Indirect Characterization</t>
  </si>
  <si>
    <r>
      <rPr>
        <rFont val="Montserrat"/>
        <color rgb="FF434343"/>
        <sz val="8.0"/>
      </rPr>
      <t xml:space="preserve">Module 3: </t>
    </r>
    <r>
      <rPr>
        <rFont val="Montserrat"/>
        <i/>
        <color rgb="FF434343"/>
        <sz val="8.0"/>
      </rPr>
      <t>Macbeth</t>
    </r>
    <r>
      <rPr>
        <rFont val="Montserrat"/>
        <color rgb="FF434343"/>
        <sz val="8.0"/>
      </rPr>
      <t>: Act III</t>
    </r>
  </si>
  <si>
    <t>CCSS.RL.11-12.3; CCSS.RI.11-12.4; CCSS.RI.11-12.10; CCSS.CCRA.R.1; CCSS.RL.11-12.5; CCSS.CCRA.R.1; CCSS.CCRA.R.3</t>
  </si>
  <si>
    <t>Map the Play: Act IV: Raising the Stakes;  Share Your Reflections; Raise Your Score: Test Strategy: Analyzing Word Choices; Apply Your Learning: How Playwrights Develop Dramatic Action Through Scenes</t>
  </si>
  <si>
    <r>
      <rPr>
        <rFont val="Montserrat"/>
        <color rgb="FF434343"/>
        <sz val="8.0"/>
      </rPr>
      <t xml:space="preserve">Module 4: </t>
    </r>
    <r>
      <rPr>
        <rFont val="Montserrat"/>
        <i/>
        <color rgb="FF434343"/>
        <sz val="8.0"/>
      </rPr>
      <t>Macbeth</t>
    </r>
    <r>
      <rPr>
        <rFont val="Montserrat"/>
        <color rgb="FF434343"/>
        <sz val="8.0"/>
      </rPr>
      <t>: Act IV</t>
    </r>
  </si>
  <si>
    <t>CCSS.RL.11-12.5; CCSS.RI.11-12.4; CCSS.RI.11-12.10; CCSS.CCRA.R.1; CCSS.RL.11-12.3; CCSS.RL.11-12.3</t>
  </si>
  <si>
    <r>
      <rPr>
        <rFont val="Montserrat"/>
        <color rgb="FF434343"/>
        <sz val="8.0"/>
      </rPr>
      <t xml:space="preserve">Module 5: </t>
    </r>
    <r>
      <rPr>
        <rFont val="Montserrat"/>
        <i/>
        <color rgb="FF434343"/>
        <sz val="8.0"/>
      </rPr>
      <t>Macbeth</t>
    </r>
    <r>
      <rPr>
        <rFont val="Montserrat"/>
        <color rgb="FF434343"/>
        <sz val="8.0"/>
      </rPr>
      <t>: Act V</t>
    </r>
  </si>
  <si>
    <t>CCSS.RL.11-12.2; CCSS.RL.11-12.3; CCSS.RL.11-12.4; CCSS.RI.11-12.4; CCSS.RI.11-12.10; CCSS.CCRA.R.1; CCSS.RL.11-12.5; CCSS.CCRA.R.1; CCSS.RL.11-12.2,</t>
  </si>
  <si>
    <r>
      <rPr>
        <rFont val="Montserrat"/>
        <color rgb="FF434343"/>
        <sz val="8.0"/>
      </rPr>
      <t xml:space="preserve">Module 6: Read Across Genres; Film Production of </t>
    </r>
    <r>
      <rPr>
        <rFont val="Montserrat"/>
        <i/>
        <color rgb="FF434343"/>
        <sz val="8.0"/>
      </rPr>
      <t>Macbeth: “</t>
    </r>
    <r>
      <rPr>
        <rFont val="Montserrat"/>
        <color rgb="FF434343"/>
        <sz val="8.0"/>
      </rPr>
      <t>Excerpt from</t>
    </r>
    <r>
      <rPr>
        <rFont val="Montserrat"/>
        <i/>
        <color rgb="FF434343"/>
        <sz val="8.0"/>
      </rPr>
      <t xml:space="preserve"> Macbeth: </t>
    </r>
    <r>
      <rPr>
        <rFont val="Montserrat"/>
        <color rgb="FF434343"/>
        <sz val="8.0"/>
      </rPr>
      <t>Act I, Scene III</t>
    </r>
    <r>
      <rPr>
        <rFont val="Montserrat"/>
        <i/>
        <color rgb="FF434343"/>
        <sz val="8.0"/>
      </rPr>
      <t xml:space="preserve">” and “The Tragedy of Macbeth </t>
    </r>
    <r>
      <rPr>
        <rFont val="Montserrat"/>
        <color rgb="FF434343"/>
        <sz val="8.0"/>
      </rPr>
      <t>Film Clip</t>
    </r>
    <r>
      <rPr>
        <rFont val="Montserrat"/>
        <i/>
        <color rgb="FF434343"/>
        <sz val="8.0"/>
      </rPr>
      <t xml:space="preserve">” </t>
    </r>
    <r>
      <rPr>
        <rFont val="Montserrat"/>
        <color rgb="FF434343"/>
        <sz val="8.0"/>
      </rPr>
      <t>; Break a Leg, Macbeth: Theater Superstitions for the Unsuspecting; Witchy Characters</t>
    </r>
  </si>
  <si>
    <t>CCSS.RL.11-12.10; CCSS.RL.11-12.7; CCSS.RI.11-12.10; CCSS.RI.11-12.10; CCSS.RI.11-12.1; CCSS.RI.11-12.1</t>
  </si>
  <si>
    <t>Topic Overview; Read; Check; Analyze; Student Exemplar: Lethal Ambition: How the Pressure for Success Induced Lord Macbeth's Downfall</t>
  </si>
  <si>
    <t>Grade 11, Unit 5, Module 9</t>
  </si>
  <si>
    <r>
      <rPr>
        <rFont val="Montserrat"/>
        <color rgb="FFFFFFFF"/>
        <sz val="8.0"/>
      </rPr>
      <t>Unit 5 Core Assessment: “Friends, Romans, Countrymen, Lend Me Your Ears” and “</t>
    </r>
    <r>
      <rPr>
        <rFont val="Montserrat"/>
        <i/>
        <color rgb="FFFFFFFF"/>
        <sz val="8.0"/>
      </rPr>
      <t>Friends, Romans, Countrymen</t>
    </r>
    <r>
      <rPr>
        <rFont val="Montserrat"/>
        <color rgb="FFFFFFFF"/>
        <sz val="8.0"/>
      </rPr>
      <t xml:space="preserve"> Video Clip”</t>
    </r>
  </si>
  <si>
    <t>CCSS.RL.11-12.7; CCSS.RL.11-12.5</t>
  </si>
  <si>
    <t>Module 1: Lin-Manuel Miranda Commencement Address</t>
  </si>
  <si>
    <t>CCSS.RI.11-12.3; CCSS.RI.11-12.2; CCSS.RI.11-12.4; CCSS.RI.11-12.6,; CCSS.RI.11-12.10,; CCSS.CCRA.R.1,; CCSS.CCRA.R.1</t>
  </si>
  <si>
    <t>Module 2: Choosing a Major in College: What to Know</t>
  </si>
  <si>
    <t>CCSS.RI.11-12.3; CCSS.RI.11-12.1; CCSS.RI.11-12.4; CCSS.RI.11-12.6,; CCSS.RI.11-12.10,; CCSS.CCRA.R.1,; CCSS.CCRA.R.1</t>
  </si>
  <si>
    <t>Module 3: Twelve Strategies for Writing the Perfect College Essay</t>
  </si>
  <si>
    <t>CCSS.RI.11-12.6; CCSS.RI.11-12.5; CCSS.RI.11-12.4; CCSS.RI.11-12.3; CCSS.RI.11-12.1,; CCSS.RI.11-12.10,; CCSS.CCRA.R.1,; CCSS.CCRA.R.1</t>
  </si>
  <si>
    <t>Module 4: “How to Write a College Essay”</t>
  </si>
  <si>
    <t>CCSS.RI.11-12.3; CCSS.RI.11-12.6; CCSS.RI.11-12.2; CCSS.RI.11-12.4; CCSS.RI.11-12.1,; CCSS.RI.11-12.10,; CCSS.CCRA.R.1,; CCSS.CCRA.R.1; CCSS.RI.11-12.3,</t>
  </si>
  <si>
    <t>Compare Pathways; Take Notes: Informational Text; Compare Pathways; Extend Learning: Informal and Formal Research</t>
  </si>
  <si>
    <t>Module 5: Read Across Genres, Four Great Personal Statement Examples and Why They Worked; Twelve Outstanding Personal Statement Examples + Analysis; 35+ Best College Essay Tips form College Application Excerpts; Ten Steps to Choosing the Right College</t>
  </si>
  <si>
    <t>CCSS.RI.11-12.7,; CCSS.RI.11-12.7</t>
  </si>
  <si>
    <t>Topic Overview; Read; Check; Analyze; Student Exemplar: Change Isn't Risky: Being Statnant Is</t>
  </si>
  <si>
    <t>Grade 11, Unit 6, Module 8</t>
  </si>
  <si>
    <t>Unit 6 Core Assessment: "Steve Jobs' Stanford University Commencement Speech" and "Five Drawbacks to Following Your Passion"</t>
  </si>
  <si>
    <t>CCSS.RI.11-12.6; CCSS.RI.11-12.3</t>
  </si>
  <si>
    <t>Topic Overview; Read; Check; Analyze; Understanding the Rhetorical Situation</t>
  </si>
  <si>
    <t>Share Your Reflections; Apply Your Learning: Understanding Rhetorical Situation</t>
  </si>
  <si>
    <r>
      <rPr>
        <rFont val="Montserrat"/>
        <color rgb="FF434343"/>
        <sz val="8.0"/>
      </rPr>
      <t>Module 1: “Excerpt from the</t>
    </r>
    <r>
      <rPr>
        <rFont val="Montserrat"/>
        <i/>
        <color rgb="FF434343"/>
        <sz val="8.0"/>
      </rPr>
      <t xml:space="preserve"> Declaration of Independence</t>
    </r>
    <r>
      <rPr>
        <rFont val="Montserrat"/>
        <color rgb="FF434343"/>
        <sz val="8.0"/>
      </rPr>
      <t>”</t>
    </r>
  </si>
  <si>
    <t>CCSS.RI.11-12.9; CCSS.RI.11-12.8; CCSS.RI.11-12.4; CCSS.RI.11-12.6; CCSS.RI.11-12.10; CCSS.CCRA.R.1; CCSS.CCRA.R.1; CCSS.RI.11-12.9,</t>
  </si>
  <si>
    <t>Share Your Reflections; Raise Your Score: Test Strategy: Analyzing Verbs Found in Prompts; Apply Your Learning: Writing an Analysis of a Rhetorical Situation</t>
  </si>
  <si>
    <t xml:space="preserve">Module 2: “Excerpts from and Letters About the Constitution of the United States of America” </t>
  </si>
  <si>
    <t>CCSS.RI.11-12.9; CCSS.RI.11-12.8; CCSS.RI.11-12.1; CCSS.RI.11-12.4; CCSS.RI.11-12.4; CCSS.RI.11-12.10; CCSS.CCRA.R.1; CCSS.RI.11-12.1,</t>
  </si>
  <si>
    <t>Topic Overview; Read; Check; Analyze; Understanding How Writers' Choices Define Their Style</t>
  </si>
  <si>
    <t>Share Your Reflections; Apply Your Learning: Understanding How Writer’s Choices Define Their Style</t>
  </si>
  <si>
    <t>Module 3: “Excerpt from ‘What to a Slave Is the Fourth of July?’ and ‘Ain’t I a Woman?’”</t>
  </si>
  <si>
    <t>CCSS.RI.11-12.8; CCSS.RI.11-12.9; CCSS.RI.11-12.1; CCSS.RI.11-12.4; CCSS.RI.11-12.4; CCSS.RI.11-12.10; CCSS.RI.11-12.5; CCSS.CCRA.R.1; CCSS.RI.11-12.6,</t>
  </si>
  <si>
    <t>Topic Overview; Read; Check; Analyze; The Impact of One Component of the Rhetorical Situation</t>
  </si>
  <si>
    <t>Share Your Reflections; Raise Your Score: Test Strategy: Analyzing Verbs Found in Prompts; Apply Your Learning: The Impact of One Component of the Rhetorical Situation</t>
  </si>
  <si>
    <t xml:space="preserve">Module 4: “Three Famous Speeches” </t>
  </si>
  <si>
    <t>CCSS.RI.11-12.9; CCSS.RI.11-12.8; CCSS.RI.11-12.2; CCSS.RI.11-12.4; CCSS.RI.11-12.4; CCSS.RI.11-12.10; CCSS.CCRA.R.1; CCSS.CCRA.R.1; CCSS.RI.11-12.9,</t>
  </si>
  <si>
    <t>Read and Check;  Analyzing Poetic Structure; Using Texts to Understand Multiple Perspectives</t>
  </si>
  <si>
    <t>Read and Analyze Poetry; Analyze and Compare Texts: Analyze Speeches; Understand Multiple Perspectives: Using Texts to Understand Multiple Perspectives</t>
  </si>
  <si>
    <t>Module 5: Read Across Genres: "I Hear America Singing" and "I, Too"; “Alexander Hamilton”; “America Is in the Heart”; “20th-Century Speeches”</t>
  </si>
  <si>
    <t>CCSS.RL.11-12.5; CCSS.RL.11-12.5; CCSS.RL.11-12.9; CCSS.RI.11-12.10; CCSS.RL.11-12.10</t>
  </si>
  <si>
    <t>Topic Overview; Read; Check; Analyze; Student Exemplar: A Spirit Emboldened</t>
  </si>
  <si>
    <t>CCSS.RI.11-12.4; CCSS.RI.11-12.10; CCSS.RI.11-12.1; CCSS.RI.11-12.8; CCSS.RI.11-12.6; CCSS.RI.11-12.5; CCSS.RI.11-12.7</t>
  </si>
  <si>
    <t>Grade 11, Unit 7, Module 8</t>
  </si>
  <si>
    <t>Unit 7 Core Assessment: “Excerpt from Walden” and “Excerpt from Civil Disobedience”</t>
  </si>
  <si>
    <t>CCSS.RI.11-12.9; CCSS.RI.11-12.3; CCSS.RI.11-12.5</t>
  </si>
  <si>
    <t>Share Your Reflections; Apply Your Learning: Citing Evidence to Write About Literary Texts;</t>
  </si>
  <si>
    <r>
      <rPr>
        <rFont val="Montserrat"/>
        <color rgb="FF434343"/>
        <sz val="8.0"/>
      </rPr>
      <t xml:space="preserve">Module 1: “Excerpt from </t>
    </r>
    <r>
      <rPr>
        <rFont val="Montserrat"/>
        <i/>
        <color rgb="FF434343"/>
        <sz val="8.0"/>
      </rPr>
      <t>The Things They Carried</t>
    </r>
    <r>
      <rPr>
        <rFont val="Montserrat"/>
        <color rgb="FF434343"/>
        <sz val="8.0"/>
      </rPr>
      <t>: ‘On the Rainy River’”</t>
    </r>
  </si>
  <si>
    <t>CCSS.RL.11-12.1; CCSS.RL.11-12.2; CCSS.RL.11-12.3; CCSS.RL.11-12.6; CCSS.RI.11-12.4; CCSS.RI.11-12.10; CCSS.CCRA.R.1; CCSS.CCRA.R.1</t>
  </si>
  <si>
    <t xml:space="preserve">Share Your Reflections; Apply Your Learning: Determining Theme and Author's Message in a Personal Narrative; </t>
  </si>
  <si>
    <t>Module 2: The Party</t>
  </si>
  <si>
    <t>CCSS.RL.11-12.2; CCSS.RL.11-12.1; CCSS.RL.11-12.3; CCSS.RL.11-12.4; CCSS.RL.11-12.5; CCSS.RI.11-12.4; CCSS.RI.11-12.10; CCSS.CCRA.R.1; CCSS.CCRA.R.4; CCSS.CCRA.R.2; CCSS.RL.11-12.2; CCSS.CCRA.R.1</t>
  </si>
  <si>
    <t>Module 3: Prom</t>
  </si>
  <si>
    <t>CCSS.RL.11-12.4; CCSS.RL.11-12.1; CCSS.RL.11-12.3; CCSS.RL.11-12.5; CCSS.RL.11-12.6; CCSS.RI.11-12.4; CCSS.RI.11-12.10; CCSS.CCRA.R.1; CCSS.CCRA.R.1</t>
  </si>
  <si>
    <t>Share Your Reflections; Raise Your Score; Apply Your Learning: Making Inferences in Literary Texts</t>
  </si>
  <si>
    <r>
      <rPr>
        <rFont val="Montserrat"/>
        <color rgb="FF434343"/>
        <sz val="8.0"/>
      </rPr>
      <t xml:space="preserve">Module 4: “Excerpt from </t>
    </r>
    <r>
      <rPr>
        <rFont val="Montserrat"/>
        <i/>
        <color rgb="FF434343"/>
        <sz val="8.0"/>
      </rPr>
      <t>Walden</t>
    </r>
    <r>
      <rPr>
        <rFont val="Montserrat"/>
        <color rgb="FF434343"/>
        <sz val="8.0"/>
      </rPr>
      <t>: ‘Where I Lived and What I Lived For’”</t>
    </r>
  </si>
  <si>
    <t>CCSS.RL.11-12.1; CCSS.RL.11-12.2; CCSS.RL.11-12.4; CCSS.RL.11-12.6; CCSS.RI.11-12.4; CCSS.RI.11-12.10; CCSS.CCRA.R.1; CCSS.CCRA.R.1; CCSS.RL.11-12.1,</t>
  </si>
  <si>
    <t>Module 5: Read Across Genres; We Are Many; Thirteen Ways of Looking at a Blackbird; How People Learn to Become Resilient; Teenagers, Anxiety Can Be Your Friend</t>
  </si>
  <si>
    <t>CCSS.RL.11-12.6; CCSS.RI.11-12.10; CCSS.RL.11-12.4; CCSS.RL.11-12.4; CCSS.RL.11-12.2; CCSS.RI.11-12.10</t>
  </si>
  <si>
    <t>Topic Overview; Read; Check; Analyze; Student Exemplar: That Feeling</t>
  </si>
  <si>
    <t>Grade 12, Unit 1, Module 8</t>
  </si>
  <si>
    <t>Reading Independently; Unit 1 Core Assessment: “An Autobiography of Theodore Roosevelt” and “Before the Schumann Recording Plays”</t>
  </si>
  <si>
    <t>Module 1: Now That Computers Connect Us All, For Better and Worse, What’s Next?</t>
  </si>
  <si>
    <t>CCSS.RI.11-12.1; CCSS.RI.11-12.2; CCSS.RI.11-12.3; CCSS.RI.11-12.4; CCSS.RI.11-12.4; CCSS.RI.11-12.10; CCSS.RI.11-12.1; CCSS.RI.11-12.2; CCSS.CCRA.R.1</t>
  </si>
  <si>
    <t>Module 2: Artificial Intelligence Is Now Used to Predict Crime. But Is It Biased?</t>
  </si>
  <si>
    <t>CCSS.RI.11-12.4; CCSS.RI.11-12.10; CCSS.RI.11-12.1; CCSS.CCRA.R.1; CCSS.CCRA.R.1; CCSS.RI.11-12.1; CCSS.RI.11-12.2; CCSS.RI.11-12.6</t>
  </si>
  <si>
    <t>Module 3: The Past, Present, and Future of Robotic Surgery</t>
  </si>
  <si>
    <t>CCSS.RI.11-12.4; CCSS.RI.11-12.10; CCSS.RI.11-12.5; CCSS.CCRA.R.1; CCSS.CCRA.R.1; CCSS.RI.11-12.7</t>
  </si>
  <si>
    <t>Module 4: From Admissions to Teaching to Grading, AI Is Infiltrating Higher Education</t>
  </si>
  <si>
    <t>CCSS.RI.11-12.4; CCSS.RI.11-12.10; CCSS.RI.11-12.1; CCSS.CCRA.R.1; CCSS.RI.11-12.6; CCSS.RI.11-12.6</t>
  </si>
  <si>
    <t>Analyzing an Author's Choices in Written Arguments; Sources in Argument Writing; Understanding Visual Sources; Read and Check;</t>
  </si>
  <si>
    <t>Module 5: Read Across Genres; The Robots Are Coming. Prepare for Trouble.; In the Battle with Robots, Human Workers Are Winning; He Used AI to Win a Fine-Arts Competition. Was It Cheating?; A GPS-Guided Robot Paints a Community Mural at CAB</t>
  </si>
  <si>
    <t>CCSS.RI.11-12.6; CCSS.RI.11-12.5; CCSS.RI.11-12.7; CCSS.RI.11-12.6; CCSS.RI.11-12.7</t>
  </si>
  <si>
    <t>Topic Overview; Read; Check; Analyze; Student Exemplar: Designing AI for the Greater Good</t>
  </si>
  <si>
    <t>CCSS.RI.11-12.4; CCSS.RI.11-12.10; CCSS.RI.11-12.5; CCSS.RL.11-12.1</t>
  </si>
  <si>
    <t>Grade 12, Unit 2, Module 8</t>
  </si>
  <si>
    <t>Unit 2 Core Assessment: “Deep in the Uncanny Valley” and “Eyes in the Skies”</t>
  </si>
  <si>
    <t>CCSS.RI.11-12.10; CCSS.RI.11-12.8; CCSS.RI.11-12.2; CCSS.RI.11-12.1</t>
  </si>
  <si>
    <t>Module 1: The Silence</t>
  </si>
  <si>
    <t>CCSS.RL.11-12.3; CCSS.RL.11-12.2; CCSS.RL.11-12.6,; CCSS.RI.11-12.4; CCSS.RI.11-12.10,; CCSS.CCRA.R.1,; CCSS.RL.11-12.2,; CCSS.CCRA.R.1</t>
  </si>
  <si>
    <t>Topic Overview; Read; Check; Analyze;  Analyzing Story Elements in Literature</t>
  </si>
  <si>
    <t>Module 2: Ride</t>
  </si>
  <si>
    <t>CCSS.RL.11-12.3; CCSS.RL.11-12.1; CCSS.RL.11-12.4,; CCSS.RI.11-12.4; CCSS.RI.11-12.10,; CCSS.CCRA.R.1,; CCSS.RL.11-12.3,; CCSS.CCRA.R.1</t>
  </si>
  <si>
    <t>Share Your Reflections; Apply Your Learning: Understanding Types of Conflict in Literature</t>
  </si>
  <si>
    <t>Module 3: The Machine Stops</t>
  </si>
  <si>
    <t>CCSS.RI.11-12.4; CCSS.RI.11-12.10,; CCSS.RL.11-12.3; CCSS.CCRA.R.1,; CCSS.RL.11-12.3,; CCSS.CCRA.R.1</t>
  </si>
  <si>
    <t>Topic Overview; Read; Check; Analyze; Point of View and Perspective</t>
  </si>
  <si>
    <t>Share Your Reflections; Raise Your Score: Test Strategy: Keep Calm and Answer On; Apply Your Learning: Point of View and Perspective; Share Your Plan</t>
  </si>
  <si>
    <t>Module 4: A Brief and Fearful Star</t>
  </si>
  <si>
    <t xml:space="preserve">CCSS.RL.11-12.6; CCSS.RL.11-12.1; CCSS.RL.11-12.4; CCSS.RL.11-12.5,; CCSS.RI.11-12.4; CCSS.RI.11-12.10,; CCSS.RL.11-12.10; CCSS.CCRA.R.1,; CCSS.CCRA.R.1; CCSS.RL.11-12.10,; CCSS.RL.11-12.6,
</t>
  </si>
  <si>
    <t>Compare Poetry Elements: Analyze Meaning, Structure and Line Breaks; Analyze and Compare Poetry; Analyze and Compare Poetry: Comparing Elements of Poetry for Deep Understanding: Two Versions of “The Chimney Sweeper” and “Musée des Beaux Arts”; Enhance Understanding: Informational Text</t>
  </si>
  <si>
    <t>Module 5: Read Across Genres; Two Versions of "The Chimney Sweeper"; Musée des Beaux Arts; The Awesome Importance of Imagination; The Quest of Dr. Paul Farmer</t>
  </si>
  <si>
    <t>CCSS.RL.11-12.4; CCSS.RI.11-12.10; CCSS.RL.11-12.10,; CCSS.RL.11-12.4,; CCSS.RL.11-12.6,; CCSS.RL.11-12.2,; CCSS.RI.11-12.2,; CCSS.RI.11-12.1</t>
  </si>
  <si>
    <t>Topic Overview; Read; Check; Analyze; Student Exemplar: Some Shampoo Required</t>
  </si>
  <si>
    <t>Grade 12, Unit 3, Module 8</t>
  </si>
  <si>
    <t>Unit 3 Core Assessment: “Excerpt adapted from The Dead" and “Excerpt from The Fall of the House of Usher"</t>
  </si>
  <si>
    <t>Module 1: What Is a Carbon Footprint - And How to Measure Yours</t>
  </si>
  <si>
    <t>CCSS.RI.11-12.4; CCSS.RI.11-12.5; CCSS.RI.11-12.6; CCSS.RI.11-12.2,; CCSS.RI.11-12.10,; CCSS.CCRA.R.1,; CCSS.RI.11-12.4,; CCSS.CCRA.R.1</t>
  </si>
  <si>
    <t>Module 2: A 105-Mile-Long City Will Snake through the Saudi Desert. Is That a Good Idea?</t>
  </si>
  <si>
    <t>CCSS.RI.11-12.5; CCSS.RI.11-12.1; CCSS.RI.11-12.4; CCSS.RI.11-12.6; CCSS.RI.11-12.7,; CCSS.RI.11-12.10,; CCSS.CCRA.R.1,; CCSS.RI.11-12.5,; CCSS.CCRA.R.1</t>
  </si>
  <si>
    <t>Module 3: What Does Sustainable Living Look Like? Maybe Like Uruguay</t>
  </si>
  <si>
    <t>CCSS.RI.11-12.6; CCSS.RI.11-12.4; CCSS.RI.11-12.5; CCSS.RI.11-12.1,; CCSS.RI.11-12.10,; CCSS.CCRA.R.1,; CCSS.RI.11-12.6,; CCSS.CCRA.R.1</t>
  </si>
  <si>
    <t>Share Your Reflections; Raise Your Score: Test Strategy: Eliminating Distractors; Apply Your Learning: Summarizing and Paraphrasing Informational Texts</t>
  </si>
  <si>
    <t>Module 4: Students Tackle 21st Century Sustainability Challenges on the Navajo Nation</t>
  </si>
  <si>
    <t>CCSS.RI.11-12.2; CCSS.RI.11-12.1; CCSS.RI.11-12.3; CCSS.RI.11-12.4; CCSS.RI.11-12.5,; CCSS.RI.11-12.10,; CCSS.CCRA.R.1,; CCSS.CCRA.R.1</t>
  </si>
  <si>
    <t>Module 5: Read Across Genres; Twelve Ways to Live More Sustainably; Could You Power Your Home with a Bike?; The Lorax; Net Zero Energy</t>
  </si>
  <si>
    <t>CCSS.RI.11-12.1; CCSS.RI.11-12.7; CCSS.RL.11-12.7; CCSS.RI.11-12.9,; CCSS.RI.11-12.1,</t>
  </si>
  <si>
    <t>CCSS.RI.11-12.7</t>
  </si>
  <si>
    <t>Topic Overview; Read; Check; Analyze; Student Exemplar: Greening the Future</t>
  </si>
  <si>
    <t>Grade 12, Unit 4, Module 9</t>
  </si>
  <si>
    <t>Unit 4 Core Assessment: “Corn: Food, Fuel, and Now...Fiber Too?” and “Powered by the Sun”</t>
  </si>
  <si>
    <t xml:space="preserve">Map the Play: Part I: Potential Conflicts ; Share Your Reflections; Apply Your Learning: How Playwrights Introduce Dramatic Action Through Scenes </t>
  </si>
  <si>
    <r>
      <rPr>
        <rFont val="Montserrat"/>
        <color rgb="FF434343"/>
        <sz val="8.0"/>
      </rPr>
      <t xml:space="preserve">Module 1: </t>
    </r>
    <r>
      <rPr>
        <rFont val="Montserrat"/>
        <i/>
        <color rgb="FF434343"/>
        <sz val="8.0"/>
      </rPr>
      <t>Antigone</t>
    </r>
    <r>
      <rPr>
        <rFont val="Montserrat"/>
        <color rgb="FF434343"/>
        <sz val="8.0"/>
      </rPr>
      <t>: Part I</t>
    </r>
  </si>
  <si>
    <t>CCSS.RL.11-12.5; CCSS.RL.11-12.1; CCSS.RL.11-12.3; CCSS.RL.11-12.4,; CCSS.RI.11-12.4; CCSS.RI.11-12.10,; CCSS.RL.11-12.5,; CCSS.CCRA.R.1,; CCSS.CCRA.R.1</t>
  </si>
  <si>
    <t xml:space="preserve"> Map the Play: Part II: Conflict Between Characters;  Share Your Reflections; Raise Your Score: Test Strategy: Context Clues; Apply Your Learning: Analyzing Direct and Indirect Characterization</t>
  </si>
  <si>
    <r>
      <rPr>
        <rFont val="Montserrat"/>
        <color rgb="FF434343"/>
        <sz val="8.0"/>
      </rPr>
      <t xml:space="preserve">Module 2: </t>
    </r>
    <r>
      <rPr>
        <rFont val="Montserrat"/>
        <i/>
        <color rgb="FF434343"/>
        <sz val="8.0"/>
      </rPr>
      <t>Antigone</t>
    </r>
    <r>
      <rPr>
        <rFont val="Montserrat"/>
        <color rgb="FF434343"/>
        <sz val="8.0"/>
      </rPr>
      <t>: Part II</t>
    </r>
  </si>
  <si>
    <t>CCSS.RL.11-12.3; CCSS.RL.11-12.1,; CCSS.RI.11-12.4; CCSS.RI.11-12.10,; CCSS.RL.11-12.5,; CCSS.RL.11-12.5; CCSS.CCRA.R.1,; CCSS.CCRA.R.3; CCSS.RL.11-12.3,; CCSS.CCRA.R.1</t>
  </si>
  <si>
    <t>Map the Play: Part III: Theme Statements; Share Your Reflections; Apply Your Learning: Determining Themes in Drama</t>
  </si>
  <si>
    <r>
      <rPr>
        <rFont val="Montserrat"/>
        <color rgb="FF434343"/>
        <sz val="8.0"/>
      </rPr>
      <t xml:space="preserve">Module 3: </t>
    </r>
    <r>
      <rPr>
        <rFont val="Montserrat"/>
        <i/>
        <color rgb="FF434343"/>
        <sz val="8.0"/>
      </rPr>
      <t>Antigone</t>
    </r>
    <r>
      <rPr>
        <rFont val="Montserrat"/>
        <color rgb="FF434343"/>
        <sz val="8.0"/>
      </rPr>
      <t>: Part III</t>
    </r>
  </si>
  <si>
    <t>CCSS.RL.11-12.2; CCSS.RL.11-12.3,; CCSS.RI.11-12.4; CCSS.RI.11-12.10,; CCSS.RL.11-12.5,; CCSS.RL.11-12.5; CCSS.CCRA.R.1,; CCSS.CCRA.R.1; CCSS.RL.11-12.2,</t>
  </si>
  <si>
    <r>
      <rPr>
        <rFont val="Montserrat"/>
        <color rgb="FF434343"/>
        <sz val="8.0"/>
      </rPr>
      <t xml:space="preserve">Module 4: Read Across Genres; Live Production of </t>
    </r>
    <r>
      <rPr>
        <rFont val="Montserrat"/>
        <i/>
        <color rgb="FF434343"/>
        <sz val="8.0"/>
      </rPr>
      <t>Antigone</t>
    </r>
    <r>
      <rPr>
        <rFont val="Montserrat"/>
        <color rgb="FF434343"/>
        <sz val="8.0"/>
      </rPr>
      <t>;“Excerpt from Antigone: Part II” and “Antigone: Creon and Antigone”; Rise to Prominence; The Healing Power of Greek Tragedy</t>
    </r>
  </si>
  <si>
    <t>CCSS.RL.11-12.7; CCSS.RI.11-12.10,; CCSS.RL.11-12.7,; CCSS.RI.11-12.1,; CCSS.RI.11-12.1</t>
  </si>
  <si>
    <t>Topic Overview; Read; Check; Analyze; Student Exemplar: Caught in a Web of Responsibility</t>
  </si>
  <si>
    <t>Grade 12, Unit 5, Module 7</t>
  </si>
  <si>
    <r>
      <rPr>
        <rFont val="Montserrat"/>
        <color rgb="FFFFFFFF"/>
        <sz val="8.0"/>
      </rPr>
      <t xml:space="preserve">Unit 5 Core Assessment: “Excerpt from </t>
    </r>
    <r>
      <rPr>
        <rFont val="Montserrat"/>
        <i/>
        <color rgb="FFFFFFFF"/>
        <sz val="8.0"/>
      </rPr>
      <t>The Tragedy of King Lear</t>
    </r>
    <r>
      <rPr>
        <rFont val="Montserrat"/>
        <color rgb="FFFFFFFF"/>
        <sz val="8.0"/>
      </rPr>
      <t>, Act II, Scene IV”  and “</t>
    </r>
    <r>
      <rPr>
        <rFont val="Montserrat"/>
        <i/>
        <color rgb="FFFFFFFF"/>
        <sz val="8.0"/>
      </rPr>
      <t>King Lear</t>
    </r>
    <r>
      <rPr>
        <rFont val="Montserrat"/>
        <color rgb="FFFFFFFF"/>
        <sz val="8.0"/>
      </rPr>
      <t>, Act 2, Scene 4 Film Clip”</t>
    </r>
  </si>
  <si>
    <t>Module 1: Conan O’Brien Commencement Address</t>
  </si>
  <si>
    <t>CCSS.RI.11-12.3; CCSS.RI.11-12.2; CCSS.RI.11-12.4; CCSS.RI.11-12.6; CCSS.RI.11-12.5,; CCSS.RI.11-12.10,; CCSS.CCRA.R.1,; CCSS.CCRA.R.1</t>
  </si>
  <si>
    <t>Module 2: Contrary to What Everyone Thinks, College Costs Less These Days</t>
  </si>
  <si>
    <t>CCSS.RI.11-12.3; CCSS.RI.11-12.1; CCSS.RI.11-12.2; CCSS.RI.11-12.4; CCSS.RI.11-12.6,; CCSS.RI.11-12.10,; CCSS.CCRA.R.1,; CCSS.CCRA.R.1</t>
  </si>
  <si>
    <t>Module 3: How to Pay for College Using Overlooked Strategies</t>
  </si>
  <si>
    <t>Module 4: “The Five Different Paths That People Take Before They Feel Like Official Adults”</t>
  </si>
  <si>
    <t>CCSS.RI.11-12.3; CCSS.RI.11-12.6; CCSS.RI.11-12.2; CCSS.RI.11-12.1; CCSS.RL.11-12.4,; CCSS.RI.11-12.4; CCSS.RI.11-12.10,; CCSS.RI.11-12.3,; CCSS.CCRA.R.1</t>
  </si>
  <si>
    <t>Compare Pathways; Take Notes: Informational Text</t>
  </si>
  <si>
    <t>Module 5: Read Across Genres; How to Pay for College: Top Six Ways to Pay for College; How to Pay for College: Eight Expert-Approved Tips; Find and Apply for As Many Scholarships As You Can; Filling Out the FAFSA® Form</t>
  </si>
  <si>
    <t>CCSS.RI.11-12.7,; CCSS.RI.11-12.7; CCSS.RI.11-12.6,; CCSS.RI.11-12.1,</t>
  </si>
  <si>
    <t>Module 6: How to Deliver an Oral Presentation</t>
  </si>
  <si>
    <t>Topic Overview; Read; Check; Analyze; Student Exemplar: Spartan Spirit</t>
  </si>
  <si>
    <t>CCSS.RI.11-12.4; CCSS.RI.11-12.10</t>
  </si>
  <si>
    <t>Grade 12, Unit 6, Module 8</t>
  </si>
  <si>
    <t>Unit 6 Core Assessment: “Commencement Address at Yale
University” and "Is College Worth It? Is this Even the Right Question"</t>
  </si>
  <si>
    <t>Topic Overview; Read; Check; Analyze; How Authors Use Real Places to Create Settings in Fiction</t>
  </si>
  <si>
    <t>Share Your Reflections;  Apply Your Learning: How Authors Use Real Places to Create Settings in Fiction</t>
  </si>
  <si>
    <t>Module 1: “Rip Van Winkle” and “Young Goodman Brown”</t>
  </si>
  <si>
    <t>CCSS.RL.11-12.9; CCSS.RL.11-12.2; CCSS.RL.11-12.4; CCSS.RL.11-12.5; CCSS.RI.11-12.4; CCSS.RI.11-12.10,; CCSS.RL.11-12.3; CCSS.CCRA.R.1,; CCSS.CCRA.R.1</t>
  </si>
  <si>
    <t>Topic Overview; Read; Check; Analyze; Common Literary Devices Within and Across Texts</t>
  </si>
  <si>
    <t>Share Your Reflections; Raise Your Score: Test Strategy: Analyzing Verbs Found in Prompts; Apply Your Learning: Common Literary Devices Within and Across Texts</t>
  </si>
  <si>
    <r>
      <rPr>
        <rFont val="Montserrat"/>
        <color rgb="FF434343"/>
        <sz val="8.0"/>
      </rPr>
      <t xml:space="preserve">Module 2: “Excerpt from </t>
    </r>
    <r>
      <rPr>
        <rFont val="Montserrat"/>
        <i/>
        <color rgb="FF434343"/>
        <sz val="8.0"/>
      </rPr>
      <t>What Redburn Saw at Launcelott’s-Hey</t>
    </r>
    <r>
      <rPr>
        <rFont val="Montserrat"/>
        <color rgb="FF434343"/>
        <sz val="8.0"/>
      </rPr>
      <t>” and "The Minister's Black Veil"</t>
    </r>
  </si>
  <si>
    <t>CCSS.RL.11-12.9; CCSS.RL.11-12.1; CCSS.RL.11-12.2; CCSS.RL.11-12.3,; CCSS.RI.11-12.4; CCSS.RI.11-12.10,; CCSS.CCRA.R.1,; CCSS.RL.11-12.9,; CCSS.CCRA.R.1</t>
  </si>
  <si>
    <t>Share Your Reflections; Apply Your Learning: Common Themes Across Within and Across Texts</t>
  </si>
  <si>
    <t>Module 3: "I dwell in Possibility" (#657) and "Tell all the truth but tell it slant" (#1263)</t>
  </si>
  <si>
    <t>CCSS.RL.11-12.9; CCSS.RL.11-12.4; CCSS.RL.11-12.2,; CCSS.RI.11-12.4; CCSS.RI.11-12.10,; CCSS.RL.11-12.2; CCSS.CCRA.R.1,; CCSS.CCRA.R.9; CCSS.RL.11-12.9,; CCSS.CCRA.R.1</t>
  </si>
  <si>
    <r>
      <rPr>
        <rFont val="Montserrat"/>
        <color rgb="FF434343"/>
        <sz val="8.0"/>
      </rPr>
      <t xml:space="preserve">Module 4: “The Yellow Wallpaper” and “Excerpt from </t>
    </r>
    <r>
      <rPr>
        <rFont val="Montserrat"/>
        <i/>
        <color rgb="FF434343"/>
        <sz val="8.0"/>
      </rPr>
      <t>The Hacienda</t>
    </r>
    <r>
      <rPr>
        <rFont val="Montserrat"/>
        <color rgb="FF434343"/>
        <sz val="8.0"/>
      </rPr>
      <t>”</t>
    </r>
  </si>
  <si>
    <t>CCSS.RL.11-12.9; CCSS.RL.11-12.3; CCSS.RI.11-12.4; CCSS.RI.11-12.10,; CCSS.CCRA.R.1,; CCSS.CCRA.R.1; CCSS.RL.11-12.9,</t>
  </si>
  <si>
    <t>Read and Check; Analyzing Poetic Structure; Using Texts to Understand Multiple Perspectives</t>
  </si>
  <si>
    <t>Read and Analyze Poetry: Analyze and Compare Texts; Understand Multiple Perspectives: Using Texts to Understand Multiple Perspectives; Understand Multiple Perspectives</t>
  </si>
  <si>
    <r>
      <rPr>
        <rFont val="Montserrat"/>
        <color rgb="FF434343"/>
        <sz val="8.0"/>
      </rPr>
      <t xml:space="preserve">Module 5: Read Across Genres; “To Live in the Borderlands” by Gloria Anzaldua; “Phenomenal Woman” by Maya Angelou; “Excerpt from </t>
    </r>
    <r>
      <rPr>
        <rFont val="Montserrat"/>
        <i/>
        <color rgb="FF434343"/>
        <sz val="8.0"/>
      </rPr>
      <t>Letters from an American Farmer</t>
    </r>
    <r>
      <rPr>
        <rFont val="Montserrat"/>
        <color rgb="FF434343"/>
        <sz val="8.0"/>
      </rPr>
      <t xml:space="preserve">: Letter Three”; “Excerpt from </t>
    </r>
    <r>
      <rPr>
        <rFont val="Montserrat"/>
        <i/>
        <color rgb="FF434343"/>
        <sz val="8.0"/>
      </rPr>
      <t>Tribe</t>
    </r>
    <r>
      <rPr>
        <rFont val="Montserrat"/>
        <color rgb="FF434343"/>
        <sz val="8.0"/>
      </rPr>
      <t>: War Makes You an Animal”</t>
    </r>
  </si>
  <si>
    <t>CCSS.RL.11-12.5; CCSS.CCRA.R.5; CCSS.RI.11-12.10; CCSS.RL.11-12.10; CCSS.RL.11-12.9,; CCSS.RL.11-12.5,; CCSS.RL.11-12.9; CCSS.RL.11-12.1,</t>
  </si>
  <si>
    <t>Topic Overview; Read; Check; Analyze; Student Exemplar: Community, Culture, and Complexity</t>
  </si>
  <si>
    <t>CCSS.RI.11-12.4; CCSS.RI.11-12.10; CCSS.RI.11-12.1; CCSS.RL.11-12.9; CCSS.RL.11-12.9,</t>
  </si>
  <si>
    <t>Grade 12, Unit 7, Module 8</t>
  </si>
  <si>
    <t>Unit 7 Core Assessment: “Excerpt from The Legend of Sleepy Hollow” and “Excerpt from The Scarlet Letter”</t>
  </si>
  <si>
    <t>CCSS.RL.11-12.9; CCSS.RL11-12.3; CCSS.RL.11-12.5</t>
  </si>
  <si>
    <t>BEST.ELA.K12.EE.3.1; BEST.ELA.K12.EE.1.1;</t>
  </si>
  <si>
    <t>BEST.ELA.12.V.1.3; BEST.ELA.12.R.3.1;
BEST.ELA.12.R.3.4;
BEST.ELA.12.R.3.4;
BEST.ELA.12.V.1.3;</t>
  </si>
  <si>
    <t>SPEAKING AND LISTENING</t>
  </si>
  <si>
    <t xml:space="preserve">Grade, Unit, Module </t>
  </si>
  <si>
    <t>Explicit Teaching
Direct Instruction (Online)</t>
  </si>
  <si>
    <t>Speaking and Listening Toolkit</t>
  </si>
  <si>
    <t>Module 0: Personal Goal Setting; Analyze the Images; Analyze the Quote; Take a Poll; Explore Key Concepts: Concept Map: Who Are You?</t>
  </si>
  <si>
    <t>CCSS.SL.6.1; CCSS.SL.6.1.d; CCSS.SL.6.2; CCSS.SL.6.1.c</t>
  </si>
  <si>
    <t>Module 1: Quick Journal, Share Your Personal Connection: Think-Pair-Share; Share Your Reflections; Apply Your Learning, Share Your Plan</t>
  </si>
  <si>
    <t>Introducing the Toolkit: Peer Collaboration
Using Evidence to Build on Others' Ideas
Pose and Respond to Questions</t>
  </si>
  <si>
    <t>CCSS.SL.6.1; CCSS.SL.6.1.a; CCSS.SL.6.1.b; CCSS.SL.6.1.c; CCSS.SL.6.1.d</t>
  </si>
  <si>
    <t>Module 2: Quick Journal, Share Your Personal Connection: Think-Pair-Share; Share Your Reflections; Apply Your Learning, Share Your Plan</t>
  </si>
  <si>
    <t>Peer Collaboration
Using Evidence to Build on Others' Ideas
Pose and Respond to Questions</t>
  </si>
  <si>
    <t>Module 3: Quick Journal, Share Your Personal Connection: Think-Pair-Share; Share Your Reflections; Apply Your Learning, Share Your Plan</t>
  </si>
  <si>
    <t>Peer Collaboration 
Using Evidence to Build on Others' Ideas
Pose and Respond to Questions</t>
  </si>
  <si>
    <t>Module 4: Quick Journal, Share Your Personal Connection: Think-Pair-Share; Share Your Reflections; Apply Your Learning, Share Your Plan; Share Your Best Writing Sample</t>
  </si>
  <si>
    <t>Module 5: Quick Journal, Multimedia; Analyze Poetry: SOAPSTone; Compare Details and Imagery; Ask Questions</t>
  </si>
  <si>
    <t>Preparing for Discussion</t>
  </si>
  <si>
    <t>CCSS.SL.6.1; CCSS.SL.6.1.a; CCSS.SL.6.2</t>
  </si>
  <si>
    <t>Socratic Discussion
Conducting and Participating in Great Discussions</t>
  </si>
  <si>
    <t>Module 6: Socratic Discussion; Prepare for the Discussion; Share Your Research; Build Knowledge Together; Conduct the Poll Again; Reflect on the Discussion</t>
  </si>
  <si>
    <t>Socratic Discussion
Build Knowledge Together</t>
  </si>
  <si>
    <t>CCSS.SL.6.1; CCSS.SL.6.1.a; CCSS.SL.6.1.b; CCSS.SL.6.1.c; CCSS.SL.6.1.d; CCSS.SL.6.4; CCSS.SL.6.6; CCSS.SL.6.2</t>
  </si>
  <si>
    <t>Module 7: Practice Feedback; Make it Vivid; Share Your Personal Narrative; Edit the Draft Together: Peer Edit: Give and Get Feedback</t>
  </si>
  <si>
    <t>Peer Collaboration</t>
  </si>
  <si>
    <t>CCSS.SL.6.1; CCSS.SL.6.1.c</t>
  </si>
  <si>
    <t>Module 8: Celebrate with Others</t>
  </si>
  <si>
    <t>CCSS.SL.6.1</t>
  </si>
  <si>
    <t>Module 0: Personal Goal Setting; Analyze the Images; Analyze the Quote; Take a Poll; Explore Key Issues</t>
  </si>
  <si>
    <t>Introducing the Debate Rubric
Using Evidence to Build on Others' Ideas
Pose and Respond to Questions</t>
  </si>
  <si>
    <t>Reviewing the Debate Rubric
Using Evidence to Build on Others' Ideas
Pose and Respond to Questions</t>
  </si>
  <si>
    <t>Improving Debates
Using Evidence to Build on Others' Ideas
Pose and Respond to Questions</t>
  </si>
  <si>
    <t>Module 5: Quick Journal, Multimedia; Analyze Arguments; Compare Arguments</t>
  </si>
  <si>
    <t>Take Notes and Refer to Evidence</t>
  </si>
  <si>
    <t>Debate Game
Audience</t>
  </si>
  <si>
    <t>Module 6: Prepare for the Debate; Build Knowledge Together; Conduct the Poll Again; Reflect on the Debate</t>
  </si>
  <si>
    <t>Assess Debate
Build Knowledge Together</t>
  </si>
  <si>
    <t>CCSS.SL.6.3; CCSS.SL.6.1; CCSS.SL.6.1.a; CCSS.SL.6.1.b; CCSS.SL.6.1.c; CCSS.SL.6.1.d; CCSS.SL.6.4; CCSS.SL.6.6;  CCSS.SL.6.2</t>
  </si>
  <si>
    <t>Module 7: Practice Feedback; Make It Powerful; Share Your Argument; Edit the Draft Together</t>
  </si>
  <si>
    <t>Module 0: Personal Goal Setting; Analyze the Images; Analyze the Quote; Take a Poll; Explore Key Concepts: Concept Map</t>
  </si>
  <si>
    <t xml:space="preserve">Introducing the Toolkit: Peer Collaboration
Using Evidence to Build on Others' Ideas
Pose and Respond to Questions
</t>
  </si>
  <si>
    <t>Module 5: Quick Journal, Multimedia; Analyze Poetry Elements; Compare Poetry Elements</t>
  </si>
  <si>
    <t xml:space="preserve">Take Notes and Refer to Evidence 
</t>
  </si>
  <si>
    <t>Module 6: Socratic Discussion; Texts to Analyze and Discuss; Reflect on the Essential Question; Prepare for the Discussion; Share Your Research; Build Knowledge Together; Conduct the Poll Again; Reflect on the Discussion</t>
  </si>
  <si>
    <t xml:space="preserve">Socratic Discussion 
Build Knowledge Together
</t>
  </si>
  <si>
    <t>Module 7: Practice Feedback; Show, Don't Tell; Share Your Short Story; Edit the Draft Together</t>
  </si>
  <si>
    <t xml:space="preserve">Peer Collaboration </t>
  </si>
  <si>
    <t>Module 0: Personal Goal Setting; Analyze the Images; Analyze the Quote; Take a Poll; Explore Key Issues: What do you know about food sources and food waste?</t>
  </si>
  <si>
    <t xml:space="preserve">Introducing the Toolkit: Observation Tool
Using Evidence to Build on Others' Ideas
Pose and Respond to Questions </t>
  </si>
  <si>
    <t xml:space="preserve">Peer Collaboration 
Using Evidence to Build on Others' Ideas
Pose and Respond to Questions </t>
  </si>
  <si>
    <t>Module 5: Quick Journal, Multimedia; Evaluate Informational Texts</t>
  </si>
  <si>
    <t xml:space="preserve">Take Notes and Refer to Evidence </t>
  </si>
  <si>
    <t>Module 6</t>
  </si>
  <si>
    <t>Grade 6, Unit 4: Module 7</t>
  </si>
  <si>
    <t>Panel Discussion</t>
  </si>
  <si>
    <t>Module 7: Plan Your Points; Build Knowledge Together; Conduct the Poll Again; Reflect on the Panel Discussion</t>
  </si>
  <si>
    <t xml:space="preserve">Panel Discussion: Observation Tool 
Build Knowledge Together 
</t>
  </si>
  <si>
    <t>CCSS.SL.6.4; CCSS.SL.6.1; CCSS.SL.6.1.a; CCSS.SL.6.1.b; CCSS.SL.6.1.c; CCSS.SL.6.1.d; CCSS.SL.6.5; CCSS.SL.6.6,; CCSS.SL.6.2</t>
  </si>
  <si>
    <t>Module 8: Practice Feedback; Share Your Research Paper; Edit the Draft Together</t>
  </si>
  <si>
    <t xml:space="preserve">Grade 6, Unit 4, Module 9 </t>
  </si>
  <si>
    <t>Module 9: Celebrate with Others</t>
  </si>
  <si>
    <t>Module 0: Personal Goal Setting; Analyze the Images; Analyze the Quote; Take a Poll; Before You Read the Play: Examining the Language; Before You Read the Play: Stage Directions; Read the Informative Rubric</t>
  </si>
  <si>
    <t>Introducing the Toolkit: Observation Tools
Using Evidence to Build on Others' Ideas
Pose and Respond to Questions</t>
  </si>
  <si>
    <t>Module 3: Quick Journal, Share Your Personal Connection: Think-Pair-Share; Share Your Reflections; Apply Your Learning, Share Your Plan; Share Your Best Writing Sample</t>
  </si>
  <si>
    <t>Module 4: Quick Journal; Compare Text to Multimedia</t>
  </si>
  <si>
    <t>Performance</t>
  </si>
  <si>
    <t>Module 5: Performance; Texts to Prepare for Your Performance; Prepare for the Performance; Reflect on the Performance; Conduct the Poll Again</t>
  </si>
  <si>
    <t xml:space="preserve">Performance: Observation Tool </t>
  </si>
  <si>
    <t>CCSS.SL.6.2; CCSS.SL.6.6; CCSS.SL.6.1.b; CCSS.SL.6.1</t>
  </si>
  <si>
    <t>Module 6: Practice Feedback; Make It Flow; Share Your Essay; Edit the Draft Together</t>
  </si>
  <si>
    <t>Module 7: Celebrate with Others</t>
  </si>
  <si>
    <t>Module 0: Personal Goal Setting; Visualize Your Future; Analyze the Quote; Take a Poll; Explore Your Future;</t>
  </si>
  <si>
    <t>Module 1: Quick Journal; Connect/ Plan Your Future; Think-Pair-Plan; Share Your Reflections; Apply Your Learning; Share Your Plan</t>
  </si>
  <si>
    <t>Introducing the Toolkit: Observation Tool 
Using Evidence to Build on Others' Ideas
Pose and Respond to Questions</t>
  </si>
  <si>
    <t>Module 2: Quick Journal; Connect/ Plan Your Future; Think-Pair-Plan; Share Your Reflections; Apply Your Learning; Share Your Plan</t>
  </si>
  <si>
    <t xml:space="preserve">Peer Collaboration 
Using Evidence to Build on Others' Ideas
Pose and Respond to Questions 
</t>
  </si>
  <si>
    <t>Module 3: Quick Journal; Connect/ Plan Your Future; Think-Pair-Plan; Share Your Reflections; Apply Your Learning; Share Your Plan</t>
  </si>
  <si>
    <t>Module 4:Quick Journal; Connect/ Plan Your Future; Think-Pair-Plan; Share Your Reflections; Apply Your Learning; Share Your Plan; Share Your Best Writing Sample</t>
  </si>
  <si>
    <t>Module 5: Quick Journal, Multimedia; Compare Pathways; Extend Learning</t>
  </si>
  <si>
    <t>Pose and Respond to Questions</t>
  </si>
  <si>
    <t>Pitch Deck</t>
  </si>
  <si>
    <t>Module 6: Pitch Deck; Reflect on the Essential Question; Build Knowledge Together; Conduct the Poll Again; Reflect on the Pitch Deck</t>
  </si>
  <si>
    <t>Module 7: Practice Feedback; Use Examples and Anecdotes; Share Your Plan; Edit the Draft Together</t>
  </si>
  <si>
    <t>Module 0: Personal Goal Setting; Set a SMART Goal: Activity; Analyze the Images; Analyze the Quote; Take a Poll; Explore Key Concepts</t>
  </si>
  <si>
    <t>Introducing the Toolkit: Observation Tools 
Using Evidence to Build on Others' Ideas 
Pose and Respond to Questions</t>
  </si>
  <si>
    <t>Module 5: Quick Journal, Multimedia; Read and Analyze Poetry: Share Your Poem; Understanding Multiple Perspectives; Analyze and Compare Texts</t>
  </si>
  <si>
    <t xml:space="preserve">Discussion Participation </t>
  </si>
  <si>
    <t>Module 6: Socratic Discussion; Texts to Analyze and Discuss; Reflect on the Essential Question; Prepare for the Discussion; Build Knowledge Together; Conduct the Poll Again; Reflect on the Discussion</t>
  </si>
  <si>
    <t xml:space="preserve">Socratic Discussion 
Build Knowledge Together 
</t>
  </si>
  <si>
    <t>Module 6: Practice Feedback; Develop and Share Your Claim; Use Transition Sentences; Share Your Analysis; Edit the Draft Together; Reflect on Your Writing</t>
  </si>
  <si>
    <t xml:space="preserve">Grade 7, Unit 1, Module 0 </t>
  </si>
  <si>
    <t>Module 0: Personal Goal Setting; Analyze the Images; Analyze the Quote; Take a Poll; Explore Key Concepts</t>
  </si>
  <si>
    <t>CCSS.SL.7.1; CCSS.SL.7.1.d; CCSS.SL.7.2; CCSS.SL.7.1.c</t>
  </si>
  <si>
    <t>CCSS.SL.7.1; CCSS.SL.7.1.a; CCSS.SL.7.1.b; CCSS.SL.7.1.c; CCSS.SL.7.1.d</t>
  </si>
  <si>
    <t>Module 5: Quick Journal, Multimedia; Analyze Poetry: SOAPSTone; Compare Details and Imagery: Poetry; Ask Questions: Informational Text</t>
  </si>
  <si>
    <t>CCSS.SL.7.1; CCSS.SL.7.1.a; CCSS.SL.7.2</t>
  </si>
  <si>
    <t>Module 6: Socratic Discussion; Texts to Analyze and Discuss; Prepare for the Discussion; Share Your Research; Build Knowledge Together; Conduct the Poll Again; Reflect on the Discussion</t>
  </si>
  <si>
    <t>CCSS.SL.7.1; CCSS.SL.7.1.a; CCSS.SL.7.1.b; CCSS.SL.7.1.c; CCSS.SL.7.1.d; CCSS.SL.7.4; CCSS.SL.7.6; CCSS.SL.7.2</t>
  </si>
  <si>
    <t>CCSS.SL.7.1; CCSS.SL.7.1.c</t>
  </si>
  <si>
    <t>CCSS.SL.7.1</t>
  </si>
  <si>
    <t xml:space="preserve">Grade 7, Unit 2, Module 0 </t>
  </si>
  <si>
    <t>Module 0: Personal Goal Setting; Analyze the Images; Analyze the Quote; Take a Poll; Explore Key Issues: What impact can transportation have?</t>
  </si>
  <si>
    <t xml:space="preserve">Debate Game
</t>
  </si>
  <si>
    <t>CCSS.SL.7.3; CCSS.SL.7.1; CCSS.SL.7.1.a; CCSS.SL.7.1.b; CCSS.SL.7.1.c; CCSS.SL.7.1.d; CCSS.SL.7.4; CCSS.SL.7.6;  CCSS.SL.7.2</t>
  </si>
  <si>
    <t>Module 7: Practice Feedback; Edit the Draft Together</t>
  </si>
  <si>
    <t>Module 0: Personal Goal Setting; Analyze the Images; Analyze the Quote; Take a Poll; Explore Key Concepts: Concept Map: What do you believe, value, and perceive?</t>
  </si>
  <si>
    <t>Module 5: Quick Journal, Multimedia; Analyze Poetry Elements; Compare Poetry; Enhance Understanding</t>
  </si>
  <si>
    <t>Module 6: Socratic Discussion; Reflect on the Essential Question; Prepare for the Discussion; Share Your Research; Build Knowledge Together; Conduct the Poll Again; Reflect on the Discussion</t>
  </si>
  <si>
    <t xml:space="preserve">Grade 7, Unit 4, Module 0 </t>
  </si>
  <si>
    <t>Module 0: Personal Goal Setting; Analyze the Images; Analyze the Quote; Take a Poll; Explore Key Issues: What do you know about plastic?</t>
  </si>
  <si>
    <t>Module 6: N/A</t>
  </si>
  <si>
    <t>CCSS.SL.7.4; CCSS.SL.7.1; CCSS.SL.7.1.a; CCSS.SL.7.1.b; CCSS.SL.7.1.c; CCSS.SL.7.1.d; CCSS.SL.7.5; CCSS.SL.7.6; CCSS.SL.7.2</t>
  </si>
  <si>
    <t xml:space="preserve">Grade 7, Unit 5, Module 0 </t>
  </si>
  <si>
    <t>Module 0: Personal Goal Setting; Analyze the Images; Analyze the Quote; Take a Poll; Explore Key Concepts: Conflict Map: What's Love Got to Do with It?; Before You Read the Play: Examining Language; Before You Read the Play: Stage Directions</t>
  </si>
  <si>
    <t>Module 4: Quick Journal, Share Your Personal Connection: Think-Pair-Share; Share Your Reflections; Apply Your Learning, Share Your Plan</t>
  </si>
  <si>
    <t>Module 5: Quick Journal, Share Your Personal Connection: Think-Pair-Share; Share Your Reflections; Apply Your Learning, Share Your Plan; ; Share Your Best Writing Sample</t>
  </si>
  <si>
    <t>Module 6: Quick Journal, Multimedia; Compare Text to Multimedia</t>
  </si>
  <si>
    <t>Module 7: Performance; Prepare for the Performance; Reflect on the Performance; Conduct the Poll Again</t>
  </si>
  <si>
    <t>CCSS.SL.7.2; CCSS.SL.7.6; CCSS.SL.7.1.b; CCSS.SL.7.1</t>
  </si>
  <si>
    <t>Module 8: Practice Feedback; Make It Flow; Share Your Essay; Edit the Draft Together</t>
  </si>
  <si>
    <t xml:space="preserve">Grade 7, Unit 5, Module 9 </t>
  </si>
  <si>
    <t xml:space="preserve">Grade 7, Unit 6, Module 0 </t>
  </si>
  <si>
    <t>Module 4: Quick Journal; Connect/ Plan Your Future; Think-Pair-Plan; Share Your Reflections; Apply Your Learning; Share Your Plan; Share Your Best Writing Sample</t>
  </si>
  <si>
    <t xml:space="preserve">Grade 7, Unit 7, Module 0 </t>
  </si>
  <si>
    <t xml:space="preserve">Grade 7, Unit 7, Module 1 </t>
  </si>
  <si>
    <t>Module 4: Quick Journal, Multimedia; Read and Analyze Poetry: Share Your Poem; Understanding Multiple Perspectives; Analyze and Compare Texts</t>
  </si>
  <si>
    <t>Module 5: Socratic Discussion; Texts to Analyze and Discuss; Reflect on the Essential Question; Prepare for the Discussion; Build Knowledge Together; Conduct the Poll Again; Reflect on the Discussion</t>
  </si>
  <si>
    <t xml:space="preserve">Grade 8, Unit 1, Module 0 </t>
  </si>
  <si>
    <t>CCSS.SL.8.1; CCSS.SL.8.1.d; CCSS.SL.8.2; CCSS.SL.8.1.c</t>
  </si>
  <si>
    <t>CCSS.SL.8.1; CCSS.SL.8.1.a; CCSS.SL.8.1.b; CCSS.SL.8.1.c; CCSS.SL.8.1.d</t>
  </si>
  <si>
    <t>CCSS.SL.8.1; CCSS.SL.8.1.a; CCSS.SL.8.2</t>
  </si>
  <si>
    <t>Module 6: Socratic Discussion; Prepare for the Discussion; Texts to Analyze and Discuss; Share Research; Build Knowledge Together; Conduct the Poll Again; Reflect on the Discussion</t>
  </si>
  <si>
    <t>CCSS.SL.8.1; CCSS.SL.8.1.a; CCSS.SL.8.1.b; CCSS.SL.8.1.c; CCSS.SL.8.1.d; CCSS.SL.8.4; CCSS.SL.8.6; CCSS.SL.8.2</t>
  </si>
  <si>
    <t>CCSS.SL.8.1; CCSS.SL.8.1.c</t>
  </si>
  <si>
    <t>CCSS.SL.8.1</t>
  </si>
  <si>
    <t xml:space="preserve">Grade 8, Unit 2, Module 0 </t>
  </si>
  <si>
    <t>Module 5: Quick Journal, Multimedia; Compare Arguments</t>
  </si>
  <si>
    <t>CCSS.SL.8.3; CCSS.SL.8.1; CCSS.SL.8.1.a; CCSS.SL.8.1.b; CCSS.SL.8.1.c; CCSS.SL.8.1.d; CCSS.SL.8.4; CCSS.SL.8.6;  CCSS.SL.8.2</t>
  </si>
  <si>
    <t xml:space="preserve">Grade 8, Unit 2, Module 7 </t>
  </si>
  <si>
    <t>Module 7: Practice Feedback; Edit the Draft Together: Peer Edit: Give and Get Feedback: Subjects and Predicates; Subject-Verb Agreement; Reflect on Your Writing</t>
  </si>
  <si>
    <t xml:space="preserve">Grade 8, Unit 2, Module 8 </t>
  </si>
  <si>
    <t>Module 0: Preview Key Concepts and Skills; Analyze the Images; Analyze the Quote; Take a Poll; Explore Key Concepts: Concept Map: How do you engage your imagination?</t>
  </si>
  <si>
    <t xml:space="preserve">Grade 8, Unit 4, Module 0 </t>
  </si>
  <si>
    <t>Module 0: Personal Goal Setting; Analyze the Images; Analyze the Quote; Take a Poll; Explore Key Issues: What do you know about “green” transportation?</t>
  </si>
  <si>
    <t>CCSS.SL.8.4; CCSS.SL.8.1; CCSS.SL.8.1.a; CCSS.SL.8.1.b; CCSS.SL.8.1.c; CCSS.SL.8.1.d; CCSS.SL.8.5; CCSS.SL.8.6; CCSS.SL.8.2</t>
  </si>
  <si>
    <t xml:space="preserve">Grade 8, Unit 5, Module 0 </t>
  </si>
  <si>
    <t>Module 0: Personal Goal Setting; Analyze the Images; Analyze the Quote; Take a Poll; Explore Key Concepts; Before You Read the Play: Examining Language; Before You Read the Play: Stage Directions</t>
  </si>
  <si>
    <t>CCSS.SL.8.2; CCSS.SL.8.6; CCSS.SL.8.1.b; CCSS.SL.8.1</t>
  </si>
  <si>
    <t xml:space="preserve">Grade 8, Unit 6, Module 0 </t>
  </si>
  <si>
    <t>CCSS.SL.8.1; CCSS.SL.8.1.c; CCSS.SL.8.2</t>
  </si>
  <si>
    <r>
      <rPr>
        <rFont val="Montserrat"/>
        <color theme="1"/>
        <sz val="8.0"/>
      </rPr>
      <t xml:space="preserve">CCSS.SL.8.2; CCSS.SL.8.6; CCSS.SL.8.5; CCSS.SL.8.1.b; CCSS.SL.8.1;  </t>
    </r>
    <r>
      <rPr>
        <rFont val="Montserrat"/>
        <color rgb="FF000000"/>
        <sz val="8.0"/>
      </rPr>
      <t>CCSS.SL</t>
    </r>
    <r>
      <rPr>
        <rFont val="Montserrat"/>
        <color theme="1"/>
        <sz val="8.0"/>
      </rPr>
      <t>.8.3</t>
    </r>
  </si>
  <si>
    <t xml:space="preserve">Grade 8, Unit 6, Module 8 </t>
  </si>
  <si>
    <t xml:space="preserve">Grade 8, Unit 7, Module 0 </t>
  </si>
  <si>
    <t xml:space="preserve">Grade 9, Unit 1,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</si>
  <si>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</si>
  <si>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CCSS.SL.9-10.1; CCSS.SL.9-10.1.a; CCSS.SL.9-10.1.c; CCSS.SL.9-10.1.d</t>
  </si>
  <si>
    <t>CCSS.SL.9-10.2; CCSS.SL.9-10.1, CCSS.SL.9-10.1.a</t>
  </si>
  <si>
    <t>Module 6: Socratic Discussion; Prepare for the Discussion; Texts to Analyze and Discuss; Share Your Research; Build Knowledge Together; Conduct the Poll Again; Reflect on the Discussion</t>
  </si>
  <si>
    <t>CCSS.SL.9-10.1; CCSS.SL.9-10.1.a; CCSS.SL.9-10.1.b; CCSS.SL.9-10.1.c; CCSS.SL.9-10.1.d; CCSS.SL.9-10.4; CCSS.SL.9-10.6; CCSS.SL.9-10.2</t>
  </si>
  <si>
    <t>CCSS.SL.9-10.1; CCSS.SL.9-10.1.c</t>
  </si>
  <si>
    <t>CCSS.SL.9-10.1</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</si>
  <si>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</si>
  <si>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CCSS.SL.9-10.3; CCSS.SL.9-10.1; CCSS.SL.9-10.1.a; CCSS.SL.9-10.1.b; CCSS.SL.9-10.1.c; CCSS.SL.9-10.1.d; CCSS.SL.9-10.4; CCSS.SL.9-10.6; CCSS.SL.9-10.2</t>
  </si>
  <si>
    <t>Module 7: Read the Argumentative Writing Rubric; Score the Example; Practice Feedback; Share Your Argument; Edit the Draft Together: Peer Edit: Give and Get Feedback: Subjects and Predicates; Subject-Verb Agreement</t>
  </si>
  <si>
    <t xml:space="preserve">Grade 9, Unit 3, Module 0 </t>
  </si>
  <si>
    <t>Module 0: Personal Goal Setting; Analyze the Images; Analyze the Quote; Take a Poll; Explore Key Concepts: Influence Tree: How do you make decisions?</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</si>
  <si>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</si>
  <si>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r>
      <rPr>
        <rFont val="Montserrat"/>
        <color rgb="FF000000"/>
        <sz val="8.0"/>
      </rPr>
      <t xml:space="preserve">CCSS.SL.9-10.1; CCSS.SL.9-10.1.a; CCSS.SL.9-10.1.c; </t>
    </r>
    <r>
      <rPr>
        <rFont val="Montserrat"/>
        <color rgb="FF1155CC"/>
        <sz val="8.0"/>
        <u/>
      </rPr>
      <t>CCSS.SL</t>
    </r>
    <r>
      <rPr>
        <rFont val="Montserrat"/>
        <color rgb="FF000000"/>
        <sz val="8.0"/>
      </rPr>
      <t>.9-10.1.d</t>
    </r>
  </si>
  <si>
    <t xml:space="preserve">Grade 9, Unit 4, Module 0 </t>
  </si>
  <si>
    <t>Module 0: Personal Goal Setting; Analyze the Images; Analyze the Quote; Take a Poll; Explore Key Issues: What do you know about food sustainability?</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</si>
  <si>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</si>
  <si>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CCSS.SL.9-10.4; CCSS.SL.9-10.1; CCSS.SL.9-10.1.a; CCSS.SL.9-10.1.b; CCSS.SL.9-10.1.c; CCSS.SL.9-10.1.d; CCSS.SL.9-10.5; CCSS.SL.9-10.6; CCSS.SL.9-10.2</t>
  </si>
  <si>
    <t xml:space="preserve">Grade 9, Unit 4, Module 9 </t>
  </si>
  <si>
    <t xml:space="preserve">Grade 9, Unit 5,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</si>
  <si>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</si>
  <si>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Module 5: Quick Journal, Share Your Personal Connection: Think-Pair-Share; Share Your Reflections; Apply Your Learning, Share Your Plan</t>
  </si>
  <si>
    <t>Module 6: Quick Journal, Share Your Personal Connection: Think-Pair-Share; Share Your Reflections; Apply Your Learning, Share Your Plan; Share Your Best Writing Sample</t>
  </si>
  <si>
    <t>Module 7: Quick Journal, Multimedia; Compare Text to Multimedia</t>
  </si>
  <si>
    <t>Module 8: Performance; Prepare for the Performance; Reflect on the Performance; Conduct the Poll Again</t>
  </si>
  <si>
    <t>CCSS.SL.9-10.2; CCSS.SL.9-10.6; CCSS.SL.9-10.1.b; CCSS.SL.9-10.1</t>
  </si>
  <si>
    <t>Module 9: Practice Feedback; Make It Flow; Share Your Essay; Edit the Draft Together</t>
  </si>
  <si>
    <t>Module 10: Celebrate with Others</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</si>
  <si>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</si>
  <si>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9, Unit 6, Module 2 </t>
  </si>
  <si>
    <t>CCSS.SL.9-10.2; CCSS.SL.9-10.6; CCSS.SL.9-10.5; CCSS.SL.9-10.1;  CCSS.SL.9-10.3</t>
  </si>
  <si>
    <t xml:space="preserve">Grade 9, Unit 7,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</si>
  <si>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</si>
  <si>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Grade 9 Unit 7, Module 7</t>
  </si>
  <si>
    <t>Grade 9 Unit 7, Module 8</t>
  </si>
  <si>
    <t xml:space="preserve">Grade 10, Unit 1,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</si>
  <si>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</si>
  <si>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1, Module 8 </t>
  </si>
  <si>
    <t xml:space="preserve">Grade 10, Unit 2,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</si>
  <si>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</si>
  <si>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3, Module 0 </t>
  </si>
  <si>
    <t>Module 0: Personal Goal Setting; Analyze the Images; Analyze the Quote; Take a Poll; Explore Key Concepts: Concept Map: Who decides what you should do?</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</si>
  <si>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</si>
  <si>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3, Module 1 </t>
  </si>
  <si>
    <t xml:space="preserve">Grade 10, Unit 3, Module 4 </t>
  </si>
  <si>
    <t xml:space="preserve">Grade 10, Unit 4, Module 0 </t>
  </si>
  <si>
    <t>Module 0: Personal Goal Setting; Analyze the Images; Analyze the Quote; Take a Poll; Explore Key Issues: What do you know about global agriculture and sustainability?</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</si>
  <si>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</si>
  <si>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4, Module 3 </t>
  </si>
  <si>
    <t xml:space="preserve">Grade 10, Unit 4, Module 9 </t>
  </si>
  <si>
    <t xml:space="preserve">Grade 10, Unit 5,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</si>
  <si>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</si>
  <si>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5, Module 9 </t>
  </si>
  <si>
    <t xml:space="preserve">Grade 10, Unit 5, Module 10 </t>
  </si>
  <si>
    <t xml:space="preserve">Grade 10, Unit 6,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</si>
  <si>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</si>
  <si>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 xml:space="preserve">Grade 10, Unit 6, Module 5 </t>
  </si>
  <si>
    <t xml:space="preserve">Grade 10, Unit 7, Module 0 </t>
  </si>
  <si>
    <r>
      <rPr>
        <rFont val="Montserrat"/>
        <color rgb="FF000000"/>
        <sz val="8.0"/>
      </rPr>
      <t>CCSS.SL</t>
    </r>
    <r>
      <rPr>
        <rFont val="Montserrat"/>
        <color rgb="FF000000"/>
        <sz val="8.0"/>
      </rPr>
      <t xml:space="preserve">.9-10.1; </t>
    </r>
    <r>
      <rPr>
        <rFont val="Montserrat"/>
        <color rgb="FF000000"/>
        <sz val="8.0"/>
      </rPr>
      <t>CCSS.SL</t>
    </r>
    <r>
      <rPr>
        <rFont val="Montserrat"/>
        <color rgb="FF000000"/>
        <sz val="8.0"/>
      </rPr>
      <t>.9-10.1.c; CCSS.SL.9-10.1.d</t>
    </r>
  </si>
  <si>
    <t>CCSS.SL.11-12.1; CCSS.SL.11-12.1.c; CCSS.SL.11-12.1.d</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</si>
  <si>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</si>
  <si>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</si>
  <si>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</si>
  <si>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11, Unit 1, Module 4 </t>
  </si>
  <si>
    <r>
      <rPr>
        <rFont val="Montserrat"/>
        <color rgb="FF000000"/>
        <sz val="8.0"/>
      </rPr>
      <t xml:space="preserve">CCSS.SL.11-12.1; CCSS.SL.11-12.1.a; </t>
    </r>
    <r>
      <rPr>
        <rFont val="Montserrat"/>
        <color rgb="FF000000"/>
        <sz val="8.0"/>
      </rPr>
      <t>CCSS.SL</t>
    </r>
    <r>
      <rPr>
        <rFont val="Montserrat"/>
        <color rgb="FF000000"/>
        <sz val="8.0"/>
      </rPr>
      <t>.11-12.1.c; CCSS.SL.11-12.1.d</t>
    </r>
  </si>
  <si>
    <t>CCSS.SL.11-12.2; CCSS.SL.11-12.1, CCSS.SL.11-12.1.a</t>
  </si>
  <si>
    <t>CCSS.SL.11-12.1; CCSS.SL.11-12.1.a; CCSS.SL.11-12.1.b; CCSS.SL.11-12.1.c; CCSS.SL.11-12.1.d; CCSS.SL.11-12.4; CCSS.SL.11-12.6; CCSS.SL.11-12.2</t>
  </si>
  <si>
    <t>CCSS.SL.11-12.1; CCSS.SL.11-12.1.c</t>
  </si>
  <si>
    <t>CCSS.SL.11-12.1</t>
  </si>
  <si>
    <t xml:space="preserve">Grade 11, Unit 2,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</si>
  <si>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</si>
  <si>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</si>
  <si>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</si>
  <si>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</si>
  <si>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CCSS.SL.11-12.3; CCSS.SL.11-12.1; CCSS.SL.11-12.1.a; CCSS.SL.11-12.1.b; CCSS.SL.11-12.1.c; CCSS.SL.11-12.1.d; CCSS.SL.11-12.4; CCSS.SL.11-12.6; CCSS.SL.11-12.2</t>
  </si>
  <si>
    <t>Module 7: Score the Example; Practice Feedback; Share Your Argument; Edit the Draft Together: Peer Edit: Give and Get Feedback: Subjects and Predicates; Subject-Verb Agreement</t>
  </si>
  <si>
    <t xml:space="preserve">Grade 11, Unit 3,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</si>
  <si>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</si>
  <si>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</si>
  <si>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</si>
  <si>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</si>
  <si>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11, Unit 4,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</si>
  <si>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</si>
  <si>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</si>
  <si>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</si>
  <si>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</si>
  <si>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11, Unit 4, Module 9 </t>
  </si>
  <si>
    <t xml:space="preserve">Grade 11, Unit 5, Module 0 </t>
  </si>
  <si>
    <t xml:space="preserve">Grade 11, Unit 5, Module 1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</si>
  <si>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</si>
  <si>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</si>
  <si>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</si>
  <si>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</si>
  <si>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Module 5: Quick Journal, Share Your Personal Connection: Think-Pair-Share; Share Your Reflections; Apply Your Learning, Share Your Plan; Share Your Best Writing Sample</t>
  </si>
  <si>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</si>
  <si>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11, Unit 5, Module 7 </t>
  </si>
  <si>
    <t>CCSS.SL.11-12.2; CCSS.SL.11-12.6; CCSS.SL.11-12.1.b; CCSS.SL.11-12.1</t>
  </si>
  <si>
    <t xml:space="preserve">Grade 11, Unit 5, Module 8 </t>
  </si>
  <si>
    <t xml:space="preserve">Grade 11, Unit 6,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</si>
  <si>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</si>
  <si>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</si>
  <si>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</si>
  <si>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</si>
  <si>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CCSS.SL.11-12.2; CCSS.SL.11-12.6; CCSS.SL.11-12.5; CCSS.SL.11-12.1;  CCSS.SL.11-12.3; CCSS.SL.11-12.4</t>
  </si>
  <si>
    <t xml:space="preserve">Grade 11, Unit 6, Module 8 </t>
  </si>
  <si>
    <t xml:space="preserve">Grade 11, Unit 7,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</si>
  <si>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</si>
  <si>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</si>
  <si>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</si>
  <si>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</si>
  <si>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Module 5: Quick Journal, Multimedia; Read and Analyze Poetry: Share Your Poem; Understand Multiple Perspectives; Analyze and Compare Texts</t>
  </si>
  <si>
    <t xml:space="preserve">Grade 11, Unit 7, Module 8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</si>
  <si>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</si>
  <si>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</si>
  <si>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</si>
  <si>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</si>
  <si>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Module 0: Personal Goal Setting; Analyze the Images; Analyze the Quote; Take a Poll; Explore Key Issues: How do robots help us?</t>
  </si>
  <si>
    <t>Module 1: Quick Journal; Share Your Personal Connection: Think-Pair-Share; Share Your Reflections; Apply Your Learning; Share Your Plan</t>
  </si>
  <si>
    <r>
      <rPr>
        <rFont val="Montserrat"/>
        <color rgb="FF000000"/>
        <sz val="8.0"/>
      </rPr>
      <t xml:space="preserve">CCSS.SL.11-12.1; CCSS.SL.11-12.1.a; </t>
    </r>
    <r>
      <rPr>
        <rFont val="Montserrat"/>
        <color rgb="FF000000"/>
        <sz val="8.0"/>
      </rPr>
      <t>CCSS.SL</t>
    </r>
    <r>
      <rPr>
        <rFont val="Montserrat"/>
        <color rgb="FF000000"/>
        <sz val="8.0"/>
      </rPr>
      <t>.11-12.1.c; CCSS.SL.11-12.1.d</t>
    </r>
  </si>
  <si>
    <t>Module 2: Quick Journal; Share Your Personal Connection: Think-Pair-Share; Share Your Reflections; Apply Your Learning; Share Your Plan</t>
  </si>
  <si>
    <r>
      <rPr>
        <rFont val="Montserrat"/>
        <color rgb="FF000000"/>
        <sz val="8.0"/>
      </rPr>
      <t xml:space="preserve">CCSS.SL.11-12.1; CCSS.SL.11-12.1.a; </t>
    </r>
    <r>
      <rPr>
        <rFont val="Montserrat"/>
        <color rgb="FF000000"/>
        <sz val="8.0"/>
      </rPr>
      <t>CCSS.SL</t>
    </r>
    <r>
      <rPr>
        <rFont val="Montserrat"/>
        <color rgb="FF000000"/>
        <sz val="8.0"/>
      </rPr>
      <t>.11-12.1.c; CCSS.SL.11-12.1.d</t>
    </r>
  </si>
  <si>
    <t>Module 3: Quick Journal; Share Your Personal Connection: Think-Pair-Share; Share Your Reflections; Apply Your Learning; Share Your Plan</t>
  </si>
  <si>
    <r>
      <rPr>
        <rFont val="Montserrat"/>
        <color rgb="FF000000"/>
        <sz val="8.0"/>
      </rPr>
      <t xml:space="preserve">CCSS.SL.11-12.1; CCSS.SL.11-12.1.a; </t>
    </r>
    <r>
      <rPr>
        <rFont val="Montserrat"/>
        <color rgb="FF000000"/>
        <sz val="8.0"/>
      </rPr>
      <t>CCSS.SL</t>
    </r>
    <r>
      <rPr>
        <rFont val="Montserrat"/>
        <color rgb="FF000000"/>
        <sz val="8.0"/>
      </rPr>
      <t>.11-12.1.c; CCSS.SL.11-12.1.d</t>
    </r>
  </si>
  <si>
    <t>Module 4: Quick Journal; Share Your Personal Connection: Think-Pair-Share; Share Your Reflections; Apply Your Learning; Share Your Plan; Share Your Best Writing Sample</t>
  </si>
  <si>
    <r>
      <rPr>
        <rFont val="Montserrat"/>
        <color rgb="FF000000"/>
        <sz val="8.0"/>
      </rPr>
      <t xml:space="preserve">CCSS.SL.11-12.1; CCSS.SL.11-12.1.a; </t>
    </r>
    <r>
      <rPr>
        <rFont val="Montserrat"/>
        <color rgb="FF000000"/>
        <sz val="8.0"/>
      </rPr>
      <t>CCSS.SL</t>
    </r>
    <r>
      <rPr>
        <rFont val="Montserrat"/>
        <color rgb="FF000000"/>
        <sz val="8.0"/>
      </rPr>
      <t>.11-12.1.c; CCSS.SL.11-12.1.d</t>
    </r>
  </si>
  <si>
    <t>Module 5: Quick Journal; Analyze Arguments; Compare Arguments</t>
  </si>
  <si>
    <t>Module 7: Share Your Argument; Edit the Draft Together: Peer Edit: Give and Get Feedback</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</si>
  <si>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</si>
  <si>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</si>
  <si>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</si>
  <si>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</si>
  <si>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12, Unit 4,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</si>
  <si>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</si>
  <si>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</si>
  <si>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</si>
  <si>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</si>
  <si>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 xml:space="preserve">Grade 12, Unit 4, Module 9 </t>
  </si>
  <si>
    <t xml:space="preserve">Grade 12, Unit 5, Module 0 </t>
  </si>
  <si>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</si>
  <si>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</si>
  <si>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r>
      <rPr>
        <rFont val="Montserrat"/>
        <color rgb="FF000000"/>
        <sz val="8.0"/>
      </rPr>
      <t xml:space="preserve">CCSS.SL.11-12.1; CCSS.SL.11-12.1.a; </t>
    </r>
    <r>
      <rPr>
        <rFont val="Montserrat"/>
        <color rgb="FF000000"/>
        <sz val="8.0"/>
      </rPr>
      <t>CCSS.SL</t>
    </r>
    <r>
      <rPr>
        <rFont val="Montserrat"/>
        <color rgb="FF000000"/>
        <sz val="8.0"/>
      </rPr>
      <t>.11-12.1.c; CCSS.SL.11-12.1.d</t>
    </r>
  </si>
  <si>
    <t>Module 4: Quick Journal, Multimedia; Compare Text to Multimedia</t>
  </si>
  <si>
    <t>Module 5: Performance; Prepare for the Performance; Reflect on the Performance; Conduct the Poll Again</t>
  </si>
  <si>
    <t xml:space="preserve">Grade 12, Unit 6, Module 0 </t>
  </si>
  <si>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</si>
  <si>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</si>
  <si>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</si>
  <si>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</si>
  <si>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t xml:space="preserve">Grade 12, Unit 6, Module 7 </t>
  </si>
  <si>
    <t xml:space="preserve">Grade 12, Unit 7, Module 0 </t>
  </si>
  <si>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</si>
  <si>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</si>
  <si>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</si>
  <si>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r>
      <rPr>
        <rFont val="Montserrat"/>
        <color theme="1"/>
        <sz val="8.0"/>
      </rPr>
      <t xml:space="preserve">CCSS.SL.11-12.1; CCSS.SL.11-12.1.a; </t>
    </r>
    <r>
      <rPr>
        <rFont val="Montserrat"/>
        <color rgb="FF000000"/>
        <sz val="8.0"/>
      </rPr>
      <t>CCSS.SL</t>
    </r>
    <r>
      <rPr>
        <rFont val="Montserrat"/>
        <color theme="1"/>
        <sz val="8.0"/>
      </rPr>
      <t>.11-12.1.c; CCSS.SL.11-12.1.d</t>
    </r>
  </si>
  <si>
    <t>Module 5: Quick Journal, Multimedia; Read and Analyze Poetry; Understand Multiple Perspectives; Analyze and Compare Texts</t>
  </si>
  <si>
    <t>Language and Style Toolkit</t>
  </si>
  <si>
    <t>Opportunities for Authentic Application in Writing</t>
  </si>
  <si>
    <t>Language Strand</t>
  </si>
  <si>
    <t>Explicit Teaching
Direct Instruction</t>
  </si>
  <si>
    <t>Practice in Writing 
(with guidance in the Language and Style Toolkit)</t>
  </si>
  <si>
    <t>Share Your Reflection
Rubric Focus</t>
  </si>
  <si>
    <t>Module 1: Using Conjunctions</t>
  </si>
  <si>
    <t>Sharpen Your Sentences: Expand the Sentence</t>
  </si>
  <si>
    <t xml:space="preserve">Varied Sentence Structure </t>
  </si>
  <si>
    <t>CCSS.L.6.3.a</t>
  </si>
  <si>
    <t xml:space="preserve">Module 2: Pronouns </t>
  </si>
  <si>
    <t>Pronouns</t>
  </si>
  <si>
    <t>Write to Impress: Use Case Pronouns: Quill: Replacing a Noun</t>
  </si>
  <si>
    <t>Module 3: Variations of Standard English</t>
  </si>
  <si>
    <t>Correcting Variations from Standard English</t>
  </si>
  <si>
    <t>Write to Impress: Correcting Variations of Standard English</t>
  </si>
  <si>
    <t xml:space="preserve">Formal and Objective Style </t>
  </si>
  <si>
    <t>CCSS.L.6.1.e</t>
  </si>
  <si>
    <t>Module 4:  Pronouns</t>
  </si>
  <si>
    <t>Write to Impress: Use Intensive Pronouns
Quill: Emphasizing a Person or Thing</t>
  </si>
  <si>
    <t>Share Your Best Writing Sample: Pronouns and Correcting Variations of Standard English</t>
  </si>
  <si>
    <t>CCSS.L.6.1.b</t>
  </si>
  <si>
    <t>Module 7: Capitalization and Spelling</t>
  </si>
  <si>
    <t>Edit the Draft Together: Peer Edit: Give and Get Feedback; Capitalization and Spelling; Punctuation and End Punctuation</t>
  </si>
  <si>
    <t>Capitalization and Spelling; Punctuation and End Punctuation</t>
  </si>
  <si>
    <t>CCSS.L.6.1; CCSS.L.6.2; CCSS.L.6.2a; CCSS.L.6.2b; CCSS.L.6.3</t>
  </si>
  <si>
    <t>Grammar</t>
  </si>
  <si>
    <t>Module 1: Vary Your Sentence Patterns</t>
  </si>
  <si>
    <t>Sentence Structures</t>
  </si>
  <si>
    <t xml:space="preserve">Write to Impress: Vary Your Sentence Patterns </t>
  </si>
  <si>
    <t>Varied Sentence Structure</t>
  </si>
  <si>
    <t>Share Your Best Writing Sample: Sentence Structure</t>
  </si>
  <si>
    <t>Module 2: Sentence Expansion</t>
  </si>
  <si>
    <t>Sharpen Your Sentences: Sentence Expansion in Counterclaims</t>
  </si>
  <si>
    <t>Module 4: Style and Tone</t>
  </si>
  <si>
    <t>Revising for Style and Word Choice</t>
  </si>
  <si>
    <t>Write to Impress: Maintain Consistent Sentences for Style and Tone</t>
  </si>
  <si>
    <t>CCSS.L.6.3.a; CCSS.L.6.3.B</t>
  </si>
  <si>
    <t>Module 7: Illuminating Key Concepts in Grammer (Subjects and Predicates)</t>
  </si>
  <si>
    <t>Edit the Draft Together: Peer Edit: Give and Get Feedback; Subjects and Predicates; Subject-Verb Agreement; Tense</t>
  </si>
  <si>
    <t>Subjects and Predicates</t>
  </si>
  <si>
    <t>CCSS.L.6.1; CCSS.L.6.3</t>
  </si>
  <si>
    <t>Module 1: Spelling</t>
  </si>
  <si>
    <t>Spelling</t>
  </si>
  <si>
    <t>Write to Impress: Spell Correctly</t>
  </si>
  <si>
    <t xml:space="preserve">Spelling </t>
  </si>
  <si>
    <t>Share Your Best Writing Sample: Spelling</t>
  </si>
  <si>
    <t>CCSS.L.6.2.b</t>
  </si>
  <si>
    <t>Module 2: Appositives</t>
  </si>
  <si>
    <t>Sharpen Your Sentences: Use an Appositive in a Sentence</t>
  </si>
  <si>
    <t>CCSS.L.6.3</t>
  </si>
  <si>
    <t>Module 7: Commas and Varied Sentence Structure</t>
  </si>
  <si>
    <t>Edit the Draft Together: Peer Edit: Give and Get Feedback;  Commas and Varied Sentence Structure</t>
  </si>
  <si>
    <t>Commas and Varied Sentence Structure</t>
  </si>
  <si>
    <t>CCSS.L.6.1 ;CCSS.L.6.3a; CCSS.L.6.2a; CCSS.L.6.2; CCSS.L.6.3</t>
  </si>
  <si>
    <t>Grade 6, Unit 4</t>
  </si>
  <si>
    <t>Module 2: Integrating Quotes Effectively</t>
  </si>
  <si>
    <t>Sharpen Your Sentences: Integrating Quotations Effectively</t>
  </si>
  <si>
    <t>CCSS.L.6.4.c</t>
  </si>
  <si>
    <t>Module 8: Redundancy</t>
  </si>
  <si>
    <t>Edit the Draft Together: Peer Edit: Give and Get Feedback; Redundancy</t>
  </si>
  <si>
    <t>Redundancy and Clarity</t>
  </si>
  <si>
    <t>CCSS.L.6.1; CCSS.L.6.3; CCSS.L.6.3a</t>
  </si>
  <si>
    <t>Module 1: Cause-and-Effect Sentences; Punctuation</t>
  </si>
  <si>
    <t>Sharpen Your Sentences: Creating Cause-and-Effect Sentences
Write to Impress: Use Punctuation</t>
  </si>
  <si>
    <t>Commas, Punctuation, and End Punctuation</t>
  </si>
  <si>
    <t>Share Your Best Writing Sample: Punctuation</t>
  </si>
  <si>
    <t>CCSS.L.6.2.a</t>
  </si>
  <si>
    <t xml:space="preserve">Module 1: Punctuation </t>
  </si>
  <si>
    <t>Punctuation</t>
  </si>
  <si>
    <t>Write to Impress: Use Punctuation</t>
  </si>
  <si>
    <t>Module 2: Sentence Variation</t>
  </si>
  <si>
    <t>Sharpen Your Sentences: Vary Your Sentence Length and Structure</t>
  </si>
  <si>
    <t>CCSS.L.6.4.A; CCSS.L.6.4.C; CCSS.L.6.4.d  CCSS.L.6.5.c</t>
  </si>
  <si>
    <t>Module 6: Pronouns and Modifiers</t>
  </si>
  <si>
    <t>Edit the Draft Together: Peer Edit: Give and Get Feedback; Pronouns and Modifiers</t>
  </si>
  <si>
    <t>Pronouns and Modifiers</t>
  </si>
  <si>
    <t>CCSS.L.6.1; CCSS.L.6.3; CCSS.L.6.1a;; CCSS.L.6.1b; CCSS.L.6.1c; CCSS.L.6.1d</t>
  </si>
  <si>
    <t xml:space="preserve">Module 2: Sentence Combining: Appositives, Pronouns, Conjunctions </t>
  </si>
  <si>
    <t>Sharpen Your Sentences: Sentence Combining: Appositives, Pronouns, Conjunctions</t>
  </si>
  <si>
    <t>Pronouns, Varied Sentence Structure</t>
  </si>
  <si>
    <t>CCSS.L.6.1</t>
  </si>
  <si>
    <t>Module 7: Parallelism and Formal and Objective Style</t>
  </si>
  <si>
    <t>Edit the Draft Together: Peer Edit: Give and Get Feedback; Parallelism; Objective and Formal Style</t>
  </si>
  <si>
    <t>Parallelism; Formal and Objective Style</t>
  </si>
  <si>
    <t>CCSS.L.6.1; CCSS.L.6.3; CCSS.L.6.1d; CCSS.L.6.1e; CCSS.L.6.2; CCSS.L.6.3b</t>
  </si>
  <si>
    <t>Module 1: Pronouns</t>
  </si>
  <si>
    <t>Write to Impress: Recognize Inappropriate Shifts in Pronouns: Quill: Choose the Correct Pronoun</t>
  </si>
  <si>
    <t>CCSS.RI.6.4; CCSS.RI.6.10</t>
  </si>
  <si>
    <t>Module 1: Comparing Character Traits</t>
  </si>
  <si>
    <t>Sharpen Your Sentences: Comparing Character Traits</t>
  </si>
  <si>
    <t>Share Your Best Writing Sample: Pronouns</t>
  </si>
  <si>
    <t>Module 2:  Pronouns</t>
  </si>
  <si>
    <t>Pronouns (Review)</t>
  </si>
  <si>
    <t>Write to Impress: Recognize and Correct Vague Pronouns</t>
  </si>
  <si>
    <t>CCSS.L.6.1.d</t>
  </si>
  <si>
    <t>Module 3: Analyzing Traditional Tales</t>
  </si>
  <si>
    <t>Sharpen Your Sentences: Analyzing Traditional Tales</t>
  </si>
  <si>
    <t>Module 7: Active Versus Passive Language</t>
  </si>
  <si>
    <t>Edit the Draft Together: Peer Edit: Give and Get Feedback; Active Versus Passive Language</t>
  </si>
  <si>
    <t>Active Versus Passive Language</t>
  </si>
  <si>
    <t>CCSS.L.6.1; CCSS.L.6.3; CCSS.L.6.3b</t>
  </si>
  <si>
    <t>Module 1: Sentences Types</t>
  </si>
  <si>
    <t xml:space="preserve">Sentences: Constructing Interest and Meaning </t>
  </si>
  <si>
    <t>Write to Impress: Use Sentence Types
Quill: Joining Words</t>
  </si>
  <si>
    <t>Share Your Best Writing Sample: Constructing Interest and Meaning</t>
  </si>
  <si>
    <t>CCSS.L.7.1.b</t>
  </si>
  <si>
    <t>Module 2: Phrases and Clauses</t>
  </si>
  <si>
    <t>Sentences: Using Phrases and Clauses</t>
  </si>
  <si>
    <t>Write to Impress: Use Phrases and Clauses
Quill: Telling More About a Person or Thing</t>
  </si>
  <si>
    <t>Share Your Best Writing Sample: Using Phrases and Clauses</t>
  </si>
  <si>
    <t>CCSS.L.7.1.a; CCSS.L.7.1.c</t>
  </si>
  <si>
    <t>Module 3: Sentence Expansions</t>
  </si>
  <si>
    <t>Commas</t>
  </si>
  <si>
    <t>CCSS.L.7.3.a</t>
  </si>
  <si>
    <t>Module 7: Capitalization, Spelling, and Punctuation</t>
  </si>
  <si>
    <t>CCSS.L.7.1; CCSS.L.7.3; CCSS.L.7.2; CCSS.L.7.2b</t>
  </si>
  <si>
    <t>Module 1: Precise Language</t>
  </si>
  <si>
    <t>Write to Impress: Use Precise Language</t>
  </si>
  <si>
    <t>Share Your Best Writing Sample: Revising for Clarity, Development and Organization</t>
  </si>
  <si>
    <t>Module 7: Subjects and Predicates: Subject-Verb Agreement</t>
  </si>
  <si>
    <t>Edit the Draft Together: Peer Edit: Give and Get Feedback; Subjects and Predicates; Subject-Verb Agreement</t>
  </si>
  <si>
    <t>Subjects and Predicates; Subject-Verb Agreement</t>
  </si>
  <si>
    <t>CCSS.L.7.1; CCSS.L.7.3; CCSS.L.7.1a; CCSS.L.7.1b;</t>
  </si>
  <si>
    <t>CCSS.L.7.2.b</t>
  </si>
  <si>
    <t>CCSS.L.7.3</t>
  </si>
  <si>
    <t>Module 7: Tense and Commas</t>
  </si>
  <si>
    <t>Edit the Draft Together: Peer Edit: Give and Get Feedback; Tense and Commas</t>
  </si>
  <si>
    <t>Tense and Commas</t>
  </si>
  <si>
    <t>CCSS.L.7.1; CCSS.L.7.3; CCSS.L.7.3a; CCSS.L.7.2a; CCSS.L.7.1b</t>
  </si>
  <si>
    <t>Module 2: Integrating Quotations</t>
  </si>
  <si>
    <t>Varied Sentence Structure, Redundancy and Clarity</t>
  </si>
  <si>
    <t>CCSS.L.7.4.c</t>
  </si>
  <si>
    <t>Module 8: Varied Sentence Structure; Redundancy and Clarity</t>
  </si>
  <si>
    <t>Edit the Draft Together: Peer Edit: Give and Get Feedback; Varied Sentence Structure; Redundancy and Clarity</t>
  </si>
  <si>
    <t>CCSS.L.7.1; CCSS.L.7.3; CCSS.L.7.3a</t>
  </si>
  <si>
    <t>Module 1: Cause-and-Effect Sentences</t>
  </si>
  <si>
    <t>Sharpen Your Sentences: Creating Cause-and-Effect Sentences</t>
  </si>
  <si>
    <t>Module 2: Sentence Length and Structure</t>
  </si>
  <si>
    <t>Sharpen Your Sentences: Vary Your Sentence Structure</t>
  </si>
  <si>
    <t>CCSS.L.7.4.d; CCSS.L.7.5.b</t>
  </si>
  <si>
    <t>Module 8: Modifiers; Parallelism</t>
  </si>
  <si>
    <t>Edit the Draft Together: Peer Edit: Give and Get Feedback; Modifiers and Parallelism</t>
  </si>
  <si>
    <t>Modifiers and Parallelism</t>
  </si>
  <si>
    <t>Share Your Best Writing Sample</t>
  </si>
  <si>
    <t>CCSS.L.7.1; CCSS.L.7.3; CCSS.L.7.1c</t>
  </si>
  <si>
    <t>Module 1: Coordinate Adjectives</t>
  </si>
  <si>
    <t>Write to Impress: Punctuate Sentences with Coordinate Adjectives: Quill: Two Describing Words</t>
  </si>
  <si>
    <t>Share Your Best Writing Sample: Commas</t>
  </si>
  <si>
    <t>CCSS.L.7.2.a</t>
  </si>
  <si>
    <t>Module 2: Sentence Combining</t>
  </si>
  <si>
    <t>Sharpen Your Sentences: Sentence Combining: Appositives,                         Pronouns, Conjunctions</t>
  </si>
  <si>
    <t>Modifiers</t>
  </si>
  <si>
    <t>CCSS.L.7.1.a; CCSS.L.7.5.c</t>
  </si>
  <si>
    <t>Module 7: Formal and Objective Style</t>
  </si>
  <si>
    <t>Edit the Draft Together: Peer Edit: Give and Get Feedback; Formal and Objective Style</t>
  </si>
  <si>
    <t>Formal and Objective Style</t>
  </si>
  <si>
    <t>CCSS.L.7.1; CCSS.L.7.3; CCSS.L.7.1a; CCSS.L.7.1b</t>
  </si>
  <si>
    <t>Module 1: Comparing Settings</t>
  </si>
  <si>
    <t>Sharpen Your Sentences: Comparing Settings</t>
  </si>
  <si>
    <t>Commas, Varied Sentence Structure</t>
  </si>
  <si>
    <t xml:space="preserve">Module 2: Evidence
</t>
  </si>
  <si>
    <t>Sharpen Your Sentences: Connect Evidence to Claims with Reasoning</t>
  </si>
  <si>
    <t xml:space="preserve">Module 3: Summaries </t>
  </si>
  <si>
    <t xml:space="preserve">Sharpen Your Sentences: Writing Focused Summaries </t>
  </si>
  <si>
    <t xml:space="preserve">Redundancy and Clarity </t>
  </si>
  <si>
    <t>Module 6: Active Versus Passive Language</t>
  </si>
  <si>
    <t>Module 1: Sentence Expansion</t>
  </si>
  <si>
    <t>CCSS.L.8.1.a</t>
  </si>
  <si>
    <t xml:space="preserve">Module 1: Verbals </t>
  </si>
  <si>
    <t>Verbs</t>
  </si>
  <si>
    <t xml:space="preserve">Write to Impress: Use Verbals in Sentences </t>
  </si>
  <si>
    <t>Tense</t>
  </si>
  <si>
    <t>Share Your Best Writing Sample: Verbs</t>
  </si>
  <si>
    <t>Module 2: Active vs. Passive Verbs</t>
  </si>
  <si>
    <t>Write to Impress: Understand Active vs. Passive Verbs: 
Quill: Active Voice</t>
  </si>
  <si>
    <t>Active Versus Passive Voice</t>
  </si>
  <si>
    <t>CCSS.L.8.1; CCSS.L.8.3; CCSS.L.8.2; CCSS.L.8.2a; CCSS.L.8.2b; CCSS.L.8.2c</t>
  </si>
  <si>
    <t>Module 1: Active vs. Passive Voice</t>
  </si>
  <si>
    <t>Verbs (Review)</t>
  </si>
  <si>
    <t>Write to Impress: Understand Active vs. Passive Voice: Quill: Passive Voice</t>
  </si>
  <si>
    <t>Subject-Verb Agreement; Style</t>
  </si>
  <si>
    <t>CCSS.L.8.1.b; CCSS.L.8.1.c; CCSS.L.8.3.a</t>
  </si>
  <si>
    <t>Varied Sentence Structure; Redundancy and Clarity</t>
  </si>
  <si>
    <t>CCSS.L.8.3.a</t>
  </si>
  <si>
    <t>CCSS.L.8.1; CCSS.L.8.3; CCSS.L.8.1a; CCSS.L.8.1b; CCSS.L.8.1c; CCSS.L.8.1d; CCSS.L.8.3a</t>
  </si>
  <si>
    <t>Varied Sentence Structure; Commas</t>
  </si>
  <si>
    <t>CCSS.L.8.2.c</t>
  </si>
  <si>
    <t>Module 2: Spelling Rules</t>
  </si>
  <si>
    <t>CCSS.L.8.1; CCSS.L.8.3; CCSS.L.8.2a</t>
  </si>
  <si>
    <t>Module 2: Integrate Quotations</t>
  </si>
  <si>
    <t>Sharpen Your Sentences: Integrate Quotations Effectively</t>
  </si>
  <si>
    <t>Module 8: Varied Sentence Structure, Redundancy and Clarity</t>
  </si>
  <si>
    <t>CCSS.L.8.1; CCSS.L.8.3;</t>
  </si>
  <si>
    <t>CCSS.L.8.4.d</t>
  </si>
  <si>
    <t>CCSS.L.8.4.d; CCSS.L.8.5.b</t>
  </si>
  <si>
    <t>Module 2: Word Relationships</t>
  </si>
  <si>
    <r>
      <rPr>
        <rFont val="Montserrat"/>
        <color rgb="FFFFFFFF"/>
        <sz val="8.0"/>
      </rPr>
      <t xml:space="preserve">Write to Impress: Use the Relationship Between Words to Understand Meanings
Quill: Using </t>
    </r>
    <r>
      <rPr>
        <rFont val="Montserrat"/>
        <i/>
        <color rgb="FFFFFFFF"/>
        <sz val="8.0"/>
      </rPr>
      <t>Who</t>
    </r>
    <r>
      <rPr>
        <rFont val="Montserrat"/>
        <color rgb="FFFFFFFF"/>
        <sz val="8.0"/>
      </rPr>
      <t xml:space="preserve"> to Add Information About a Person</t>
    </r>
  </si>
  <si>
    <t>Commas, Punctuation</t>
  </si>
  <si>
    <t>Module 8: Modifiers and Parallelism</t>
  </si>
  <si>
    <t>Edit the Draft Together: Peer Edit: Give and Get Feedback;  Modifiers and Parallelism</t>
  </si>
  <si>
    <t>CCSS.L.8.1; CCSS.L.8.3</t>
  </si>
  <si>
    <t>Module 2: Ellipses</t>
  </si>
  <si>
    <t>Write to Impress: Use Ellipses to Indicate Omission</t>
  </si>
  <si>
    <t>CCSS.L.8.2.b</t>
  </si>
  <si>
    <t>Module 3: Punctuation</t>
  </si>
  <si>
    <t>Punctuation (Review)</t>
  </si>
  <si>
    <t>CCSS.L.8.2.a</t>
  </si>
  <si>
    <t>Module 1: Verbs</t>
  </si>
  <si>
    <t>Write to Impress: Use Verbs</t>
  </si>
  <si>
    <t>Mood</t>
  </si>
  <si>
    <t>CCSS.L.8.1.c</t>
  </si>
  <si>
    <t>Sharpen Your Sentences: Making Arguments About Character Traits</t>
  </si>
  <si>
    <t>CCSS.RI.8.4; CCSS.RI.8.10</t>
  </si>
  <si>
    <t xml:space="preserve">Module 2: Connect Evidence
</t>
  </si>
  <si>
    <t>CCSS.L.8.1.d</t>
  </si>
  <si>
    <t xml:space="preserve"> Module 2: Verb Shifts</t>
  </si>
  <si>
    <t>Write to Impress: Recognize and Correct Inappropriate Verb Shifts: Quill: Shifts in Mood</t>
  </si>
  <si>
    <t>Module 3: Sentence Structure</t>
  </si>
  <si>
    <t>Sharpen Your Sentences: Sentence Structures</t>
  </si>
  <si>
    <t>CCSS.L.8.6</t>
  </si>
  <si>
    <t>Module 7: Active Versus Passive Language and Style</t>
  </si>
  <si>
    <t>Edit the Draft Together: Peer Edit: Give and Get Feedback; Active Versus Passive Language and Style</t>
  </si>
  <si>
    <t>Active Versus Passive Language and Style</t>
  </si>
  <si>
    <t>CCSS.L.8.1; CCSS.L.8.3; CCSS.L.8.3a</t>
  </si>
  <si>
    <t>Module 1: Phrases and Clauses</t>
  </si>
  <si>
    <t>Write to Impress: Use Phrases and Clauses: 
Quill: Combining Sentences</t>
  </si>
  <si>
    <t xml:space="preserve">Subjects and Predicates; Varied Sentence Structure </t>
  </si>
  <si>
    <t>Share Your Best Writing Sample: Sentence Structures</t>
  </si>
  <si>
    <t>CCSS.L.9-10.1.b</t>
  </si>
  <si>
    <t xml:space="preserve">Commas; Varied Sentence Structure </t>
  </si>
  <si>
    <t>CCSS.L.9-10.3.a</t>
  </si>
  <si>
    <t>CCSS.L.9-10.1; CCSS.L.9-10.3; CCSS.L.9-10.2; CCSS.L.9-10.2.A; CCSS.L.9-10.2.B; CCSS.L.9-10.2.C; CCSS.L.9-10.3.A</t>
  </si>
  <si>
    <t>Module 1: Citing Evidence</t>
  </si>
  <si>
    <t>Writing According to Style Manuals—MLA</t>
  </si>
  <si>
    <t>Write to Impress: Using Evidence from Sources</t>
  </si>
  <si>
    <t>Share Your Best Writing Sample: Writing According to Style Manuals–MLA</t>
  </si>
  <si>
    <t>CCSS.RI.9-10.4; CCSS.RI.9-10.10; CCSS.L.9-10.3</t>
  </si>
  <si>
    <t>Module 2: Editing Citations According to MLA Guidelines</t>
  </si>
  <si>
    <t>Writing According to Style Manuals—MLA (Review)</t>
  </si>
  <si>
    <t>Write to Impress: Edit Citations</t>
  </si>
  <si>
    <t>Module 7: Subjects and Predicates, Subject-Verb Agreement</t>
  </si>
  <si>
    <t>Subjects and Predicates, Subject-Verb Agreement</t>
  </si>
  <si>
    <t>CCSS.L.9-10.1; CCSS.L.9-10.3; CCSS.L.9-10.3.A</t>
  </si>
  <si>
    <t>Module 1: Figurative Language</t>
  </si>
  <si>
    <t>Figurative Language</t>
  </si>
  <si>
    <t xml:space="preserve">Write to Impress: Use Figurative Language </t>
  </si>
  <si>
    <t>CCSS.L.9-10.4; CCSS.L.9-10.5.a</t>
  </si>
  <si>
    <t>CCSS.L.9-10.2.c</t>
  </si>
  <si>
    <t>Module 2: Spelling</t>
  </si>
  <si>
    <t>CCSS.L.9-10.1; CCSS.L.9-10.3; CCSS.L.9-10.2; CCSS.L.9-10.3.A</t>
  </si>
  <si>
    <t>Module 2: Integrate Quotations Effectively</t>
  </si>
  <si>
    <t>CCSS.L.9-10.4.c</t>
  </si>
  <si>
    <t>CCSS.L.9-10.1; CCSS.L.9-10.3; CCSS.L.9-10.1.B; CCSS.L.9-10.3.A</t>
  </si>
  <si>
    <t>CCSS.L.9-10.4.d; CCSS.L.9-10.1.b</t>
  </si>
  <si>
    <t>Module 9: Modifiers and Parallelism</t>
  </si>
  <si>
    <t>CCSS.L.9-10.1; CCSS.L.9-10.3; CCSS.L.9-10.3.A; CCSS.L.9-10.1.A</t>
  </si>
  <si>
    <t>Module 1: Punctuation</t>
  </si>
  <si>
    <r>
      <rPr>
        <rFont val="Montserrat"/>
        <color rgb="FFFFFFFF"/>
        <sz val="8.0"/>
      </rPr>
      <t xml:space="preserve">Write to Impress: Use Punctuation to Link Ideas: Quill: Connecting Sentences with </t>
    </r>
    <r>
      <rPr>
        <rFont val="Montserrat"/>
        <i/>
        <color rgb="FFFFFFFF"/>
        <sz val="8.0"/>
      </rPr>
      <t>However</t>
    </r>
    <r>
      <rPr>
        <rFont val="Montserrat"/>
        <color rgb="FFFFFFFF"/>
        <sz val="8.0"/>
      </rPr>
      <t xml:space="preserve"> and </t>
    </r>
    <r>
      <rPr>
        <rFont val="Montserrat"/>
        <i/>
        <color rgb="FFFFFFFF"/>
        <sz val="8.0"/>
      </rPr>
      <t>Therefore</t>
    </r>
  </si>
  <si>
    <t>CCSS.L.9-10.2.a</t>
  </si>
  <si>
    <t>CCSS.L.9-10.2.b</t>
  </si>
  <si>
    <t>Module 2: Punctuation</t>
  </si>
  <si>
    <t>Write to Impress: Use Punctuation to Introduce Ideas: Quill: Colons and Commas in a List</t>
  </si>
  <si>
    <t>Module 1: Using Parallel Structure</t>
  </si>
  <si>
    <t>Sentence Structures (Review)</t>
  </si>
  <si>
    <t>Write to Impress: Parallel Structure: Quill: Making Action Words Have The Same Ending</t>
  </si>
  <si>
    <t>Parallelism</t>
  </si>
  <si>
    <t>CCSS.L.9-10.1.a</t>
  </si>
  <si>
    <t>Module 1: Comparative Sentences</t>
  </si>
  <si>
    <t xml:space="preserve">Module 2: Supporting Evidence with Reasoning Sentences
</t>
  </si>
  <si>
    <t>CCSS.L.9-10.3</t>
  </si>
  <si>
    <t xml:space="preserve">Module 3: Making Arguments
</t>
  </si>
  <si>
    <t>Sharpen Your Sentences: Making Arguments About Conflict and Resolution</t>
  </si>
  <si>
    <t>Write to Impress: Use Phrases and Clauses: Quill: Joining Words</t>
  </si>
  <si>
    <t>Edit the Draft Together: Peer Edit: Give and Get Feedback; Capitalization; Spelling</t>
  </si>
  <si>
    <t>Capitalization and Spelling</t>
  </si>
  <si>
    <t>Write to Impress: Cite Evidence from Sources</t>
  </si>
  <si>
    <t>Module 2: Edit Citations</t>
  </si>
  <si>
    <t>Varied Sentence Structure, Commas</t>
  </si>
  <si>
    <t xml:space="preserve">Module 2: Spelling </t>
  </si>
  <si>
    <t xml:space="preserve">Spelling
</t>
  </si>
  <si>
    <t>Write to Impress: Spell Correctly: Quill: Proofreading Commonly Confused Words</t>
  </si>
  <si>
    <t>Module 4: Figurative Language</t>
  </si>
  <si>
    <t xml:space="preserve">Write to Impress: Using Figurative Language </t>
  </si>
  <si>
    <t>Module 2:  Integrate Quotations</t>
  </si>
  <si>
    <t>Varied Sentence Structure, Commas, Formal and Objective Style</t>
  </si>
  <si>
    <t>Module 8: Varied Sentence Structure</t>
  </si>
  <si>
    <t>Edit the Draft Together: Peer Edit: Give and Get Feedback: Varied Sentence Structure; Redundancy and Clarity</t>
  </si>
  <si>
    <t>CCSS.L.9-10.4.a</t>
  </si>
  <si>
    <r>
      <rPr>
        <rFont val="Montserrat"/>
        <color rgb="FFFFFFFF"/>
        <sz val="8.0"/>
      </rPr>
      <t xml:space="preserve">Write to Impress: Use Punctuation to Link Ideas: Quill: Connecting Sentences with </t>
    </r>
    <r>
      <rPr>
        <rFont val="Montserrat"/>
        <i/>
        <color rgb="FFFFFFFF"/>
        <sz val="8.0"/>
      </rPr>
      <t>However</t>
    </r>
    <r>
      <rPr>
        <rFont val="Montserrat"/>
        <color rgb="FFFFFFFF"/>
        <sz val="8.0"/>
      </rPr>
      <t xml:space="preserve"> and </t>
    </r>
    <r>
      <rPr>
        <rFont val="Montserrat"/>
        <i/>
        <color rgb="FFFFFFFF"/>
        <sz val="8.0"/>
      </rPr>
      <t>Therefore</t>
    </r>
  </si>
  <si>
    <t>Sharpen Your Sentences: Sentence Combining: Appositives,                       Pronouns, Conjunctions; Write to Impress: Use Punctuation to Introduce Lists and Quotations</t>
  </si>
  <si>
    <t>Write to Impress: Parallel Structure: Quill: Writing Sentences That Flow</t>
  </si>
  <si>
    <t xml:space="preserve">Parallelism </t>
  </si>
  <si>
    <t>Sharpen Your Sentences:
Analyzing Traditional Tales: Creation Stories</t>
  </si>
  <si>
    <t>Module 6: Active Versus Passive Language and Style</t>
  </si>
  <si>
    <t xml:space="preserve">Module 1: Usage and Conventions </t>
  </si>
  <si>
    <t xml:space="preserve">Correcting Variations from Standard English </t>
  </si>
  <si>
    <t>Write to Impress: Understand How Usage and Conventions Change Over Time: Quill:  Grammar</t>
  </si>
  <si>
    <t xml:space="preserve">Sharpen Your Sentences: Expand the Sentence
</t>
  </si>
  <si>
    <t xml:space="preserve">Commas; Varied Sentence Structure 
</t>
  </si>
  <si>
    <t>CCSS.L.11-12.1.b</t>
  </si>
  <si>
    <t>Module 2: Usage and Conventions</t>
  </si>
  <si>
    <t>Correcting Variations from Standard English  (Review)</t>
  </si>
  <si>
    <t>Write to Impress: Resolve Issues in Usage</t>
  </si>
  <si>
    <t>Formal and Objective Style, Redundancy and Clarity, Style</t>
  </si>
  <si>
    <t>Share Your Best Writing Sample: Correcting Variations of Standard English</t>
  </si>
  <si>
    <t>CCSS.L.11-12.1; CCSS.L.11-12.3; CCSS.L.11-12.1.A; CCSS.L.11-12.2; CCSS.L.11-12.2.A;; CCSS.L.11-12.2.B;</t>
  </si>
  <si>
    <t>Module 1: Syntax</t>
  </si>
  <si>
    <t>Write to Impress: Vary Syntax for Effect: Quill: Sentence Combining</t>
  </si>
  <si>
    <t>CCSS.L.11-12.3.a</t>
  </si>
  <si>
    <t>CCSS.L.11-12.1; CCSS.L.11-12.3</t>
  </si>
  <si>
    <t>Write to Impress: Spell Correctly: Quill: Their, They're, There</t>
  </si>
  <si>
    <t>CCSS.L.11-12.2.b</t>
  </si>
  <si>
    <t>Sharpen Your Sentences: Use an Appositive in a Sentence; Write to Impress: Using Figurative Language</t>
  </si>
  <si>
    <t>CCSS.RI.11-12.4; CCSS.RI.11-12.10, CCSS.L.11-12.4;</t>
  </si>
  <si>
    <t>Tense and Comma</t>
  </si>
  <si>
    <t>CCSS.L.11-12.1; CCSS.L.11-12.3; CCSS.L.11-12.2</t>
  </si>
  <si>
    <t>CCSS.L.11-12.4.c</t>
  </si>
  <si>
    <t>CCSS.L.11-12.1; CCSS.L.11-12.3; CCSS.L.11-12.1.A; CCSS.L.11-12.3.A</t>
  </si>
  <si>
    <t>CCSS.L.11-12.4.a</t>
  </si>
  <si>
    <t>CCSS.SL.11-12.1.d</t>
  </si>
  <si>
    <t>Module 1</t>
  </si>
  <si>
    <t>Write to Impress:: Observe Hyphenation Conventions</t>
  </si>
  <si>
    <t>Sharpen Your Sentences: Sentence Combining: Appositives,                        Pronouns, Conjunctions</t>
  </si>
  <si>
    <t>CCSS.L.11-12.5.b</t>
  </si>
  <si>
    <t>CCSS.L.11-12.1; CCSS.L.11-12.3; CCSS.L.11-12.1.A; CCSS.L.11-12.3.A; CCSS.L.11-12.1.B</t>
  </si>
  <si>
    <t>Module 1: Usage and Conventions</t>
  </si>
  <si>
    <t>Write to Impress: Understand Inconsistent Usage and How Conventions Change</t>
  </si>
  <si>
    <t>CCSS.L.11-12.1.a; CCSS.L.11-12.1.b</t>
  </si>
  <si>
    <t>CCSS.W.11-12.5</t>
  </si>
  <si>
    <t xml:space="preserve">Module 2: Usage
</t>
  </si>
  <si>
    <t>Correcting Variations from Standard English (Review)</t>
  </si>
  <si>
    <t>Write to Impress: Resolve Issues in Usage: Quill: Telling More About a Person or Thing</t>
  </si>
  <si>
    <t>Write to Impress: Vary Syntax for Effect: Quill: Combining two sentences into one.</t>
  </si>
  <si>
    <t>Style, Varied Sentence Structure</t>
  </si>
  <si>
    <t>CCSS.L.11-12.1; CCSS.L.11-12.3;</t>
  </si>
  <si>
    <t>Write to Impress: Spell Correctly: Quill: Describing Actions</t>
  </si>
  <si>
    <t>CCSS.L.11-12.5.a, CCSS.L.11-12.4</t>
  </si>
  <si>
    <t>CCSS.L.11-12.3</t>
  </si>
  <si>
    <t>Module 6: Modifiers and Parallelism</t>
  </si>
  <si>
    <t>CCSS.L.11-12.2.a</t>
  </si>
  <si>
    <t xml:space="preserve">Sharpen Your Sentences: Sentence Combining: Appositives, Pronouns, Conjunctions
</t>
  </si>
  <si>
    <t>W</t>
  </si>
  <si>
    <t>Grade</t>
  </si>
  <si>
    <t>Unit</t>
  </si>
  <si>
    <t>Step/page for POU placement</t>
  </si>
  <si>
    <t>In progress</t>
  </si>
  <si>
    <t>SG Pages Needed</t>
  </si>
  <si>
    <t>Status of Writers</t>
  </si>
  <si>
    <t>Status (Maggie)</t>
  </si>
  <si>
    <t>Preview
Key Concepts
and Skills</t>
  </si>
  <si>
    <r>
      <rPr>
        <rFont val="Arial"/>
        <b/>
        <color theme="1"/>
        <sz val="11.0"/>
      </rPr>
      <t>Show and Tell--Writing Claim Statements:</t>
    </r>
    <r>
      <rPr>
        <rFont val="Arial"/>
        <color theme="1"/>
        <sz val="11.0"/>
      </rPr>
      <t xml:space="preserve"> Show the class how to craft a clear, debatable, and supportable claim using these steps:
1. Model how to write your position in a single declarative statement ("Cities should provide free composting pick up to all residents.")
2. Add a reason or more information ("Everyone will compost and decrease trash in landfills.")
3. Combine the two statements with a comma and conjunction ("Cities should provide free composting pick up services to all residents, so everyone will compost and decrease trash in landfills.")</t>
    </r>
  </si>
  <si>
    <t>Done</t>
  </si>
  <si>
    <r>
      <rPr>
        <rFont val="Arial"/>
        <b/>
        <color theme="1"/>
        <sz val="11.0"/>
      </rPr>
      <t>Show and Tell--Evaluating Evidence:</t>
    </r>
    <r>
      <rPr>
        <rFont val="Arial"/>
        <color theme="1"/>
        <sz val="11.0"/>
      </rPr>
      <t xml:space="preserve"> Give students statements illustrating different types of evidence (example, statistic, fact, anecdote). Include one that isn't a valid evidence model. Discuss each type with the class. Have students write evidence examples based on the discussed models. For daily warm-ups, present paragraphs with claims and reasons, and ask students to identify supporting evidence. Repeat until students grasp identifying evidence for claims.</t>
    </r>
  </si>
  <si>
    <t>Apply your Learning</t>
  </si>
  <si>
    <r>
      <rPr>
        <rFont val="Arial"/>
        <b/>
        <color theme="1"/>
        <sz val="11.0"/>
      </rPr>
      <t>Show and Tell--Paraphrase, Summary, Quote:</t>
    </r>
    <r>
      <rPr>
        <rFont val="Arial"/>
        <color theme="1"/>
        <sz val="11.0"/>
      </rPr>
      <t xml:space="preserve"> Use Paraphrase, Summarize, or Quote handout in the </t>
    </r>
    <r>
      <rPr>
        <rFont val="Arial"/>
        <b/>
        <color theme="1"/>
        <sz val="11.0"/>
      </rPr>
      <t>Language and Style Toolkit</t>
    </r>
    <r>
      <rPr>
        <rFont val="Arial"/>
        <color theme="1"/>
        <sz val="11.0"/>
      </rPr>
      <t>. Have students use with "Apply your Learning."  For warm-up work, have students practice using each of the three methods as they improve their writing practice of this skill.</t>
    </r>
  </si>
  <si>
    <t xml:space="preserve"> Language and Style Toolkit </t>
  </si>
  <si>
    <r>
      <rPr>
        <rFont val="Arial"/>
        <b/>
        <color theme="1"/>
        <sz val="11.0"/>
      </rPr>
      <t>Show and Tell--Practicing Poetic Techniques:</t>
    </r>
    <r>
      <rPr>
        <rFont val="Arial"/>
        <color theme="1"/>
        <sz val="11.0"/>
      </rPr>
      <t xml:space="preserve"> After reviewing imagery, ask students to craft sentences using figurative language, sensory details, and action verbs. For example, have them write a sentence where they practice these poetic techniques: use a simile, an action verb, and smell/scent imagery. Have them practice different sentence types involving all aspects of figurative language, sensory details, and action verbs. Include these in warm-ups for “writer’s craft” practice.</t>
    </r>
  </si>
  <si>
    <r>
      <rPr>
        <rFont val="Arial"/>
        <b/>
        <color theme="1"/>
        <sz val="11.0"/>
      </rPr>
      <t xml:space="preserve">Show and Tell--Practicing Poetic Techniques: </t>
    </r>
    <r>
      <rPr>
        <rFont val="Arial"/>
        <color theme="1"/>
        <sz val="11.0"/>
      </rPr>
      <t>Guide students to practice writing sentences, beginning with explicit information and then progressing to inferred information. Be sure to celebrate exemplars. Use this skill as a warm-up to help students improve their writing. Model: The boy ate the chocolate cookies and immediately felt guilty because his mom told him to wait until after dinner. Crumbs clung to his lips as he stared at the empty cookie jar, glancing nervously toward the kitchen where his mom was preparing dinner.</t>
    </r>
  </si>
  <si>
    <t>Guide students to practice writing sentences, beginning with explicit information and then progressing to inferred information. Be sure to celebrate exemplars. Use this skill as a warm-up to help students improve their writing. Model: The boy ate the chocolate cookies and immediately felt guilty because his mom told him to wait until after dinner. Crumbs clung to his lips as he stared at the empty cookie jar, glancing nervously toward the kitchen where his mom was preparing dinner.</t>
  </si>
  <si>
    <r>
      <rPr>
        <rFont val="Arial"/>
        <b/>
        <color theme="1"/>
        <sz val="11.0"/>
      </rPr>
      <t xml:space="preserve">Show and Tell--Conveying Themes: </t>
    </r>
    <r>
      <rPr>
        <rFont val="Arial"/>
        <color theme="1"/>
        <sz val="11.0"/>
      </rPr>
      <t>Show students examples of universal themes and how an author’s message is conveyed in narrative writing. Afterward, provide two universal themes and have them write an author’s message or lesson learned for each theme. Remind them to consider these ideas when writing their personal narratives.
Examples:
Death: It’s okay for people to process grief differently.
Fear: It’s important to face fears rather than avoid them.
Family:
Kindness:</t>
    </r>
  </si>
  <si>
    <t>Need to find a place for this blurb...might mean squeezing it in after the multimedia and before the first reading. This is a harder facelift. I am hoping to add it to all module 5 and 6 of Unit 1.</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</si>
  <si>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modeling the process with your own question and refining process using the Toolkit.This is a skill that will be useful throughout the course. In this initial attempt, have students explore the biography of any of the authors in the unit beginning with a question that was raised for them. Have them record the topic and research question in the </t>
    </r>
    <r>
      <rPr>
        <rFont val="Arial"/>
        <i/>
        <color theme="1"/>
        <sz val="11.0"/>
      </rPr>
      <t>Inquiry-Driven Research</t>
    </r>
    <r>
      <rPr>
        <rFont val="Arial"/>
        <color theme="1"/>
        <sz val="11.0"/>
      </rPr>
      <t xml:space="preserve"> organizer and search the Internet and read 2-3 sources that relate to the topic. Have them record their research learnings, so they can refer to it later during their Socratic Discussion. As a final step, ask students to refine their research question to make it more narrow and record the new question. Then they should do an additional search to answer the question and prepare a summary of their process and findings to share it the Socratic Discussion. They should summarize their findings, cite their sources, and share their more refined question with peers as part of their Socratic Discussion.
</t>
    </r>
  </si>
  <si>
    <t>Link Research Toolkit at POU in Module</t>
  </si>
  <si>
    <t>6  (In SG)</t>
  </si>
  <si>
    <t>This is just an additional blurb. Hope there is room somewhere in the actual discussion part. I am hoping to add it to all module 6 of Unit 1.</t>
  </si>
  <si>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</si>
  <si>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t>Needed</t>
  </si>
  <si>
    <t>Show and Tell--Vivid Writing: Help students craft vivid paragraphs. Choose a feeling from their personal inventory, like "reflective," and set the scene—a sunny day. To paint a picture, use repetition, synonyms, images, and analogies.  In the bright sunlight, the world seemed like my pallet, but I wasn't sure what to paint. Everything seemed possible, but the direction was unknown as I stood at an intersection in a quiet part of the city.</t>
  </si>
  <si>
    <t>None</t>
  </si>
  <si>
    <t>Preview Key Concepts and Skills</t>
  </si>
  <si>
    <r>
      <rPr>
        <rFont val="Arial"/>
        <b/>
        <color theme="1"/>
        <sz val="11.0"/>
      </rPr>
      <t xml:space="preserve">Show and Tell--Modeling Outlining: </t>
    </r>
    <r>
      <rPr>
        <rFont val="Arial"/>
        <color theme="1"/>
        <sz val="11.0"/>
      </rPr>
      <t>Give students an outline of a well-written argument, including parts like Intro (hook, background, claim), Body, and Conclusion. Provide the words to fill in these sections. After direct instruction on the purpose and organization of arguments, have students complete a model argument outline.</t>
    </r>
  </si>
  <si>
    <r>
      <rPr>
        <rFont val="Arial"/>
        <b/>
        <color theme="1"/>
        <sz val="11.0"/>
      </rPr>
      <t>Show and Tell--Hooks:</t>
    </r>
    <r>
      <rPr>
        <rFont val="Arial"/>
        <color theme="1"/>
        <sz val="11.0"/>
      </rPr>
      <t xml:space="preserve"> After direct instruction, have students practice writing hooks. Give them a topic and have them write a sentence for each type of hook: fact, quote, story, and explanation. They should use simple, compound, complex, and compound-complex sentences.
Topic bees: Fact: Queen bees are made by being fed royal jelly instead of honey! Quote: Albert Einstein is often quoted as saying, “If the bee disappears from the surface of the globe, man would have no more than four years of life to live.”</t>
    </r>
  </si>
  <si>
    <t>Language and Style Resource for Sentence Structure</t>
  </si>
  <si>
    <r>
      <rPr>
        <rFont val="Arial"/>
        <b/>
        <color theme="1"/>
        <sz val="11.0"/>
      </rPr>
      <t>Show and Tell--Integrating Evidence with Effective Word Choices:</t>
    </r>
    <r>
      <rPr>
        <rFont val="Arial"/>
        <color theme="1"/>
        <sz val="11.0"/>
      </rPr>
      <t xml:space="preserve"> Group students and have them brainstorm verbs to introduce a quote, finding synonyms for states (offers, writes, claims, says, etc). After creating a list of verbs, have them make templates for integrating quotes in various ways. For example: "Source states, 'direct quote.'" and "'Direct quote,' states source." Paraphrase, source offers. See how many templates they can create, keeping them for future writing use to incorporate variety in their writing.</t>
    </r>
  </si>
  <si>
    <r>
      <rPr>
        <rFont val="Arial"/>
        <b/>
        <color theme="1"/>
        <sz val="11.0"/>
      </rPr>
      <t>Show and Tell--Transitions</t>
    </r>
    <r>
      <rPr>
        <rFont val="Arial"/>
        <color theme="1"/>
        <sz val="11.0"/>
      </rPr>
      <t>: Give students paragraphs like this to practice using transitions. People debate if students should get homework. 1, homework helps reinforce what students learn in class. 2, it teaches responsibility and time management. 3, too much homework can cause stress and reduce time for other activities. 4, some students may need a better environment at home to complete their work. 5, balancing homework and free time is key for student well-being. 6, finding homework that benefits students without overwhelming them is crucial. Insert: Therefore, Additionally, Finally, First, However, Moreover</t>
    </r>
  </si>
  <si>
    <r>
      <rPr>
        <rFont val="Arial"/>
        <b/>
        <color theme="1"/>
        <sz val="11.0"/>
      </rPr>
      <t xml:space="preserve">Show and Tell--Introducing Counterclaims: </t>
    </r>
    <r>
      <rPr>
        <rFont val="Arial"/>
        <color theme="1"/>
        <sz val="11.0"/>
      </rPr>
      <t>After the counterclaim instruction, have students write a claim about a topic. Then, have them use the sentence stems below to counterclaim and refute it. Example: Some might claim homework is good practice for students, but it is clear that most homework is just busy work for students. Continue this practice as a warm-up activity.
Although some may believe ____, it is clear that ____.
One could see this as ____, but it’s evident that ____.
While opponents might argue ____, the truth is that ____.</t>
    </r>
  </si>
  <si>
    <t>6 (In SG)</t>
  </si>
  <si>
    <r>
      <rPr>
        <rFont val="Arial"/>
        <sz val="11.0"/>
      </rPr>
      <t xml:space="preserve">Prepare for the Debate
Update TB pages.
Update SG pages 
--add  "and credible, properly cited outside research" to student directions "Prepare for Debate".
--Add blurb in "Texts to Analyze and Discuss" 
Outside Sources
Conduct “Inquiry-Driven Research” using the Informal and Formal Research guidance.
Use “Evaluating Sources for Credibility” to finalize and document research to bolster your case. Prepare to share findings with citations during the debate.
See sample </t>
    </r>
    <r>
      <rPr>
        <rFont val="Arial"/>
        <color rgb="FF1155CC"/>
        <sz val="11.0"/>
        <u/>
      </rPr>
      <t>https://docs.google.com/presentation/d/1gAY9niPEotnWGf-__VtwqheJ6uKpf_36uxAb0s8aySc/edit#slide=id.g152c34c9580_3_1</t>
    </r>
    <r>
      <rPr>
        <rFont val="Arial"/>
        <sz val="11.0"/>
      </rPr>
      <t xml:space="preserve">
</t>
    </r>
  </si>
  <si>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After using a search phrase such as "What does research say are the most important ways we can support student learning in schools?"  to gain insight into available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website to ensure students document their research correctly in their arguments. Have students add one to two citations to bolster their arguments and prepare to share it in their debate. </t>
    </r>
  </si>
  <si>
    <t>Build Knowledge Together</t>
  </si>
  <si>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</si>
  <si>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t>Preview
Key Concepts
and Skills/Direct
Instruction</t>
  </si>
  <si>
    <r>
      <rPr>
        <rFont val="Arial"/>
        <b/>
        <color theme="1"/>
        <sz val="11.0"/>
      </rPr>
      <t xml:space="preserve">Show and Tell--Conclusions: </t>
    </r>
    <r>
      <rPr>
        <rFont val="Arial"/>
        <color theme="1"/>
        <sz val="11.0"/>
      </rPr>
      <t>Model writing a concluding paragraph by giving students a claim and three major points for the claim.  Have them write a 3 sentence conclusion which rewards the claim, summarizes the three points, and then gives directions for a call to action. For example: 
Claim: Butterflies are important for helping plants grow and keeping nature healthy, so we need to protect them to keep our ecosystems strong.
Points: pollinate flowers, serve as food for birds, and indicate healthy environment.</t>
    </r>
  </si>
  <si>
    <r>
      <rPr>
        <rFont val="Arial"/>
        <b/>
        <color theme="1"/>
        <sz val="11.0"/>
      </rPr>
      <t>Show and Tell--Character Development:</t>
    </r>
    <r>
      <rPr>
        <rFont val="Arial"/>
        <color theme="1"/>
        <sz val="11.0"/>
      </rPr>
      <t xml:space="preserve"> Demonstrate “build a character, setting, and theme” by having students name a character, describe physical looks, actions, and feelings. Decide the setting (where and when) for the character's adventure using sensory details. Finally, identify the character's change in perspective. Turn this into a paragraph.
Example: Lily: brown hair, wears red sneakers, adventurous, hikes, curious; summer in a small town; surrounded by forest; feels alone but realizes she is never lonely.</t>
    </r>
  </si>
  <si>
    <r>
      <rPr>
        <rFont val="Arial"/>
        <b/>
        <color theme="1"/>
        <sz val="11.0"/>
      </rPr>
      <t>Show and Tell--Endings in Narratives:</t>
    </r>
    <r>
      <rPr>
        <rFont val="Arial"/>
        <color theme="1"/>
        <sz val="11.0"/>
      </rPr>
      <t xml:space="preserve"> Demonstrate different narrative endings and then have students create their own.
Plot: Emma creates a robot for the school science fair. On the day of the fair, the robot starts behaving unexpectedly.
Potential Endings:
The robot malfunctions, but Emma fixes it in time and wins first place.(explicit)
The robot malfunctions, but Emma fixes it in time and appreciates her medal. (implicit)
The robot's unexpected behavior amazes the judges, and Emma gets a special award. (Surprise ending)</t>
    </r>
  </si>
  <si>
    <r>
      <rPr>
        <rFont val="Arial"/>
        <b/>
        <color theme="1"/>
        <sz val="11.0"/>
      </rPr>
      <t xml:space="preserve">Show and Tell--Character Development: </t>
    </r>
    <r>
      <rPr>
        <rFont val="Arial"/>
        <color theme="1"/>
        <sz val="11.0"/>
      </rPr>
      <t>Help students create a character based on a theme or message. Brainstorm qualities that show a character feels alone but realizes they are never lonely:
Looks different from peers
Eats alone at school
Struggles to make friends
Finds solace in nature
Enjoys helping at the local animal shelter
Provide a theme or lesson, such as "taking the easy way often ends up harder," and have students practice crafting their own character to fit that message.</t>
    </r>
  </si>
  <si>
    <t>Direct
Instruction</t>
  </si>
  <si>
    <r>
      <rPr>
        <rFont val="Arial"/>
        <b/>
        <color theme="1"/>
        <sz val="11.0"/>
      </rPr>
      <t>Show and Tell--Endings in Characterization through Dialogue</t>
    </r>
    <r>
      <rPr>
        <rFont val="Arial"/>
        <color theme="1"/>
        <sz val="11.0"/>
      </rPr>
      <t>: As a class, brainstorm synonyms for the word "said" to make dialogue more interesting (whispered, murmured, shouted, exclaimed). Have students copy the list into their notes for future use. Then, create a dialogue between Ariel and Flounder about going to the "sealon," writing four or five sentences. Show different ways to punctuate, ensuring "said" is used only once, and each synonym supports the dialogue's meaning. After the example, students will create their own dialogues between characters.</t>
    </r>
  </si>
  <si>
    <r>
      <rPr>
        <rFont val="Arial"/>
        <b/>
        <color theme="1"/>
        <sz val="11.0"/>
      </rPr>
      <t xml:space="preserve">Show and Tell--Setting: </t>
    </r>
    <r>
      <rPr>
        <rFont val="Arial"/>
        <color theme="1"/>
        <sz val="11.0"/>
      </rPr>
      <t>Create a setting together. Ask students for details about a forest: Highlight using sensory, showing details for what they see, hear, smell, time of day. Suggestions: dark, twisted trees; howling wind; damp, dank earth; rustling leaves; distant owl hoots; scurrying sounds. These indicate a forest at night (dark, owl) and a scary atmosphere (howling, twisted, scurrying) without directly stating it. Have students create their own setting for a beach using sensory details and transitions.</t>
    </r>
  </si>
  <si>
    <r>
      <rPr>
        <rFont val="Arial"/>
        <b/>
        <color theme="1"/>
        <sz val="11.0"/>
      </rPr>
      <t>Show and Tell--Point of View:</t>
    </r>
    <r>
      <rPr>
        <rFont val="Arial"/>
        <color theme="1"/>
        <sz val="11.0"/>
      </rPr>
      <t xml:space="preserve"> To teach point of view and irony, discuss how in fairy tales, the princess kisses the frog to find her prince. As a class, write a story where the girl kisses the frog and she becomes a frog. Write it from the girl's perspective, including dialogue. Then, have students rewrite the story from the frog's perspective, including dialogue. Discuss the irony and how the story changes with different points of view.</t>
    </r>
  </si>
  <si>
    <t>Reading Across Genres</t>
  </si>
  <si>
    <r>
      <rPr>
        <rFont val="Arial"/>
        <b/>
        <color theme="1"/>
        <sz val="11.0"/>
      </rPr>
      <t>Show and Tell--Summarizing, Paraphrasing, and Direct Quotation</t>
    </r>
    <r>
      <rPr>
        <rFont val="Arial"/>
        <color theme="1"/>
        <sz val="11.0"/>
      </rPr>
      <t xml:space="preserve"> using the </t>
    </r>
    <r>
      <rPr>
        <rFont val="Arial"/>
        <b/>
        <color theme="1"/>
        <sz val="11.0"/>
      </rPr>
      <t>Research Toolkit</t>
    </r>
    <r>
      <rPr>
        <rFont val="Arial"/>
        <color theme="1"/>
        <sz val="11.0"/>
      </rPr>
      <t>: Introduce the idea that throughout the inquiry process in research we continuously refine our thinking, evaluate sources for credibility and reliability, and determine whether a summary, a paraphrase, or a direct quotation is best for incorporating into our speaking and writing. Model the process of summarizing, paraphrasing, and pulling direct quotation from the informational texts in this module. Then have students conduct very brief research on Julia Alveraz or another writer in the group and try their hand at summary, paraphrase, and direct quotation with 1-2 sources that illuminate the similarities and differences between her life and her fiction.</t>
    </r>
  </si>
  <si>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 of class research for the unit.</t>
    </r>
  </si>
  <si>
    <t xml:space="preserve">Show and Tell—Narrative Endings: Students will be completing their short story in this unit. Review the Direct Instruction lesson Narrative Endings as a class.  Then, take the story” Sometimes a Dream Needs a Push,” which the class read in Module 2.  In one sentence, rewrite the ending to have the following:
Implicit ending: It already has one.
Plot Twist Ending
Cliff Hangar Ending
Sad Ending
Have the students remember these choices as they write their short story endings.
</t>
  </si>
  <si>
    <r>
      <rPr>
        <rFont val="Arial"/>
        <b/>
        <color theme="1"/>
        <sz val="11.0"/>
      </rPr>
      <t xml:space="preserve">Show and Tell--Inquiry to Research: </t>
    </r>
    <r>
      <rPr>
        <rFont val="Arial"/>
        <color theme="1"/>
        <sz val="11.0"/>
      </rPr>
      <t xml:space="preserve">Demonstrate how to turn a general topic into a research question. Provide a list of five topics. Have students create research questions for each topic and list two sources that might answer each question. Pair students to share and evaluate the questions. For a daily warm-up, have students create a research question from a topic and give two possible sources for researching. Example: Social Media: How can social media be a positive influence for students? Have students use the </t>
    </r>
    <r>
      <rPr>
        <rFont val="Arial"/>
        <b/>
        <color theme="1"/>
        <sz val="11.0"/>
      </rPr>
      <t>Research Toolkit</t>
    </r>
    <r>
      <rPr>
        <rFont val="Arial"/>
        <color theme="1"/>
        <sz val="11.0"/>
      </rPr>
      <t>. The Teacher Resource outlines the process for engaging students in short, informal research projects.</t>
    </r>
  </si>
  <si>
    <r>
      <rPr>
        <rFont val="Arial"/>
        <b/>
        <color theme="1"/>
        <sz val="11.0"/>
      </rPr>
      <t>Show and Tell--Refining Research Thesis Statements:</t>
    </r>
    <r>
      <rPr>
        <rFont val="Arial"/>
        <color theme="1"/>
        <sz val="11.0"/>
      </rPr>
      <t xml:space="preserve"> Demonstrate whole group how to identify a poorly written thesis statement into a powerful one. Ensure it has exactly one idea, a narrow focus, takes a stand, and is specific. Then, provide students with a list of five poorly written thesis statements and have them rewrite them into strong ones. Change your research question warm up activity into this activity, writing one thesis statement per day. Poorly written: Social media rocks. (Too general,) Rewrite: Teens benefit from social media use.</t>
    </r>
  </si>
  <si>
    <r>
      <rPr>
        <rFont val="Arial"/>
        <b/>
        <color theme="1"/>
        <sz val="11.0"/>
      </rPr>
      <t xml:space="preserve">Show and Tell--Connotation: </t>
    </r>
    <r>
      <rPr>
        <rFont val="Arial"/>
        <color theme="1"/>
        <sz val="11.0"/>
      </rPr>
      <t>First, demonstrate the activity. Have students craft a sentence using a word with one connotation, then rewrite the sentence with the same word, changing the connotation. Use this as a warm-up to practice connotative meanings. Example: Adventurous (Positive): Bold, willing to take risks. The adventurous student raised his hand when nobody else was willing. Adventurous (Negative): Reckless, careless. The adventurous student raised his hand to answer the question before the teacher even asked it.</t>
    </r>
  </si>
  <si>
    <r>
      <rPr>
        <rFont val="Arial"/>
        <b/>
        <color theme="1"/>
        <sz val="11.0"/>
      </rPr>
      <t>Show and Tell--Text Structure:</t>
    </r>
    <r>
      <rPr>
        <rFont val="Arial"/>
        <color theme="1"/>
        <sz val="11.0"/>
      </rPr>
      <t xml:space="preserve"> After reviewing text structures with students, provide a list of possible informative texts topics and ask the students to identify the best structure for the purpose of the writing. Demonstrate the example. Topic: Write a informative paragraph to your parents as to how the window got broken. Best structures:Cause/Effect, Sequential order. Then have students do the same with the other topics. Have students present their ideas, arguing their reasoning for making that selection.</t>
    </r>
  </si>
  <si>
    <r>
      <rPr>
        <rFont val="Arial"/>
        <b/>
        <color theme="1"/>
        <sz val="11.0"/>
      </rPr>
      <t>Show and Tell--Paragraphs Across Genres:</t>
    </r>
    <r>
      <rPr>
        <rFont val="Arial"/>
        <color theme="1"/>
        <sz val="11.0"/>
      </rPr>
      <t xml:space="preserve"> First, demonstrate to the whole class how to turn an informational paragraph into a persuasive one and vice versa. Then, give half the class an informational paragraph to rewrite as persuasive and the other half a persuasive paragraph to rewrite as informational. Have students partner up to share their revised paragraphs and discuss. Finally, share some examples with the whole class.
</t>
    </r>
  </si>
  <si>
    <r>
      <rPr>
        <rFont val="Arial"/>
        <b/>
        <sz val="11.0"/>
      </rPr>
      <t>Show and Tell--Paraphrase, Summarize, and Quote:</t>
    </r>
    <r>
      <rPr>
        <rFont val="Arial"/>
        <sz val="11.0"/>
      </rPr>
      <t xml:space="preserve">  </t>
    </r>
    <r>
      <rPr>
        <rFont val="Arial"/>
        <color rgb="FF1155CC"/>
        <sz val="11.0"/>
        <u/>
      </rPr>
      <t>When to Summarize, Paraphrase, and Quote</t>
    </r>
    <r>
      <rPr>
        <rFont val="Arial"/>
        <sz val="11.0"/>
      </rPr>
      <t xml:space="preserve"> Go over page 6 in the Language and Style Toolkit. After reviewing the handout, demonstrate the process. The class offers 3-4 sentences about their favorite season and reasons why. Show how to paraphrase and then summarize the sentences. Next, partners write responses to "What did you do yesterday?" Each partner paraphrases and summarizes their partner's answers. Share exemplars with the class. See the </t>
    </r>
    <r>
      <rPr>
        <rFont val="Arial"/>
        <b/>
        <sz val="11.0"/>
      </rPr>
      <t xml:space="preserve">Research Toolkit </t>
    </r>
    <r>
      <rPr>
        <rFont val="Arial"/>
        <sz val="11.0"/>
      </rPr>
      <t>and accompanying Teacher Guide for additional facilitation notes.</t>
    </r>
  </si>
  <si>
    <t>EM</t>
  </si>
  <si>
    <r>
      <rPr>
        <rFont val="Arial"/>
        <b/>
        <color theme="1"/>
        <sz val="11.0"/>
      </rPr>
      <t xml:space="preserve">Show and Tell--Reviewing the Research Process and Synthesizing Information: </t>
    </r>
    <r>
      <rPr>
        <rFont val="Arial"/>
        <color theme="1"/>
        <sz val="11.0"/>
      </rPr>
      <t>Have students recall that they have already conducted mini-research projects across the course of the year. They are familiar with the inquiry process, the process of evaluating sources for credibility, and integrating summaries, paraphrased material, and direct quotation into their informal and academic writing. Show them that the difference between what they have already done and the research paper is the focus on outside sources and multiple sources.</t>
    </r>
  </si>
  <si>
    <r>
      <rPr>
        <rFont val="Arial"/>
        <b/>
        <color theme="1"/>
        <sz val="11.0"/>
      </rPr>
      <t xml:space="preserve">Show and Tell--Gather Research: </t>
    </r>
    <r>
      <rPr>
        <rFont val="Arial"/>
        <color theme="1"/>
        <sz val="11.0"/>
      </rPr>
      <t>As students kick off research the key to their success will be thinking about how all the pieces fit together and staying organized. They will need to continue to refine thier questions, but once it is appropriately narrow for the topic they are researching, they will also need to start grouping their research into the major sections of the paper, so they should begin documenting the source (bibliography), taking notes (summarizing, paraphrasing, direct quotations), and outlining the main points they will want to make to support their thesis. This whole process begins with a working thesis that is refined throughout the research and note-taking process. As students learn they will also evolve their questions and sort and re-sort information based on the topics that start to emerge as the main topics for the paper. Once that process is complete a more refined thesis statement can be determined.</t>
    </r>
  </si>
  <si>
    <t>6 (in SG)</t>
  </si>
  <si>
    <r>
      <rPr>
        <rFont val="Arial"/>
        <b/>
        <color theme="1"/>
        <sz val="11.0"/>
      </rPr>
      <t>Show and Tell-Talking about Your Research:</t>
    </r>
    <r>
      <rPr>
        <rFont val="Arial"/>
        <color theme="1"/>
        <sz val="11.0"/>
      </rPr>
      <t xml:space="preserve"> Let students know that they have become knowledgable about their topic over time and should begin talking about it with others. Engaging in discussion will help them learn more deeply, refine their understanding, and organizing the large amount of information they have likely gather through the process. This panel discussion is also an opportunity to gather new ideas from peers who have also been researching related topics.</t>
    </r>
  </si>
  <si>
    <r>
      <rPr>
        <rFont val="Arial"/>
        <b/>
        <color theme="1"/>
        <sz val="11.0"/>
      </rPr>
      <t>Show and Tell-Writing the Research Paper:</t>
    </r>
    <r>
      <rPr>
        <rFont val="Arial"/>
        <color theme="1"/>
        <sz val="11.0"/>
      </rPr>
      <t xml:space="preserve"> Let students know that they will need to lay out a clear plan for supporting their thesis or claim. Developing the support is similar to the brief evidence-based writing pieces students have been completing all along. In this phase, they will make subclaims to support the thesis/main claim and develop support for the main claim through these subclaims. The resources in the student guide assist students in selecting the most relavant notes from their research, mapping out the main sections of the paper, and supporting each main point with the evidence from their research. During the drafting phase of the paper, students should complete the writing during class time and frequently check in to receive personalized support. Focus your feedback on what is going well and choosing one area of growth at a time as the drafts evolve.</t>
    </r>
  </si>
  <si>
    <r>
      <rPr>
        <rFont val="Arial"/>
        <b/>
        <color theme="1"/>
        <sz val="11.0"/>
      </rPr>
      <t>Show and Tell--Cause and Effect Analysis:</t>
    </r>
    <r>
      <rPr>
        <rFont val="Arial"/>
        <color theme="1"/>
        <sz val="11.0"/>
      </rPr>
      <t xml:space="preserve"> To illustrate complex writing, create a cause/effect chain as a group. Start with a cause: a character begins an adventure in the forest, leading to effects like tripping and finding a treehouse. This chain might lead to another cause: the character's family worries and searches, becoming lost. Then reverse it: finding a treehouse leads to discovering a lost family member. Discuss how characters, plots, and dialogue create cause/effect relationships in writing.</t>
    </r>
  </si>
  <si>
    <r>
      <rPr>
        <rFont val="Arial"/>
        <b/>
        <color theme="1"/>
        <sz val="11.0"/>
      </rPr>
      <t xml:space="preserve">Show and Tell--Analyzing Causes in Drama: </t>
    </r>
    <r>
      <rPr>
        <rFont val="Arial"/>
        <color theme="1"/>
        <sz val="11.0"/>
      </rPr>
      <t>Help the class outline constructing body paragraphs for a cause/effect essay. Discuss three causes: historical, social, and economic settings impacting characters. Guide them to structure paragraphs focusing on each setting effect on characters (e.g., historical setting impact). Emphasize not using a pattern of cause, cause, cause, and then effect, effect, effect. Discuss the reasoning behind this approach as a class.</t>
    </r>
  </si>
  <si>
    <r>
      <rPr>
        <rFont val="Arial"/>
        <b/>
        <color theme="1"/>
        <sz val="11.0"/>
      </rPr>
      <t>Show and Tell--5Ws:</t>
    </r>
    <r>
      <rPr>
        <rFont val="Arial"/>
        <color theme="1"/>
        <sz val="11.0"/>
      </rPr>
      <t xml:space="preserve"> Your role in guiding students through the topic development process is crucial. This process, which involves answering the five W questions (Who, What, Where, When, Why) with various details, including facts, examples, definitions, and quotations, is a crucial step in their journey to becoming proficient essay writers. Once they have mastered this process, you can then guide them to connect it to their writing of informative essays, helping them to find the details in a text to use as support. Flesh out the idea “solitude.”</t>
    </r>
  </si>
  <si>
    <r>
      <rPr>
        <rFont val="Arial"/>
        <b/>
        <color theme="1"/>
        <sz val="11.0"/>
      </rPr>
      <t>Show and Tell--Cause and Effect Analysis:</t>
    </r>
    <r>
      <rPr>
        <rFont val="Arial"/>
        <color theme="1"/>
        <sz val="11.0"/>
      </rPr>
      <t xml:space="preserve"> Remind students of the six types of conflict. Using previous reading or collective knowledge (like popular movies), create examples as a class for each type of conflict. Then, discuss how each external conflict can lead to internal conflict. Practice three examples together. Students complete the others independently. Example: Character vs. supernatural - Dorothy vs. the Wicked Witch. Dorothy doubted herself in defeating the witch, causing internal conflict. (Other examples might include character v. themselves, character vs. others, character vs. God, character vs. nature.)</t>
    </r>
  </si>
  <si>
    <t xml:space="preserve">Show and Tell—Context Across Mediums: This unit asks students to understand the historical context of plays and compare/contrast pieces of work across genres.  As a class, take an event that most students are familiar with (a birthday party, a camping trip, etc). Write a comparison of the event if it was told in a text message, song, or play.  How might the details change? What might be left in or left out? Once complete, have the students choose a different event from their lives and write the same activity.
</t>
  </si>
  <si>
    <r>
      <rPr>
        <rFont val="Arial"/>
        <b/>
        <color theme="1"/>
        <sz val="11.0"/>
      </rPr>
      <t xml:space="preserve">Show and Tell-- Elements of Performance
</t>
    </r>
    <r>
      <rPr>
        <rFont val="Arial"/>
        <color theme="1"/>
        <sz val="11.0"/>
      </rPr>
      <t>After completing the Direct Instruction lesson, encourage students to research other famous plays and performances, focusing on elements highlighted in the lesson such as stage directions, body language, projection, and eye contact. Explain that while these elements are crucial in written scripts, exploring real performances will deepen their understanding. Demonstrate by finding and showing two performances online, directing students to observe the characters' eye contact, projection, body language, and movements. In small groups, prompt students to brainstorm questions about the performances, such as "Do all characters react the same way when dismayed?" Students should choose two research questions and investigate several performances to find answers. They should summarize their findings and share them within their small groups.</t>
    </r>
  </si>
  <si>
    <t>Choose Your Focus</t>
  </si>
  <si>
    <r>
      <rPr>
        <rFont val="Arial"/>
        <b/>
        <color theme="1"/>
        <sz val="11.0"/>
      </rPr>
      <t xml:space="preserve">Show and Tell-- Additional Research Quetions
</t>
    </r>
    <r>
      <rPr>
        <rFont val="Arial"/>
        <color theme="1"/>
        <sz val="11.0"/>
      </rPr>
      <t>After “Choosing Your Focus,” ask students what their readers might need to know in order to comprehend and accept their claim. Guide students in creating additional research questions such as, “What historical or cultural influences are reflected in the setting of (insert story title)?” Ask each student to jot down 3-5 additional research questions relevant to supporting their claim and evidence. Then, ask them to find and evaluate sources that answer these questions. Remind students to cite any sources they include in their essays. Students can reference the Research Toolkit if they need additional support.</t>
    </r>
  </si>
  <si>
    <r>
      <rPr>
        <rFont val="Arial"/>
        <b/>
        <color theme="1"/>
        <sz val="11.0"/>
      </rPr>
      <t>Show and Tell--Personal Statement Inventories</t>
    </r>
    <r>
      <rPr>
        <rFont val="Arial"/>
        <color theme="1"/>
        <sz val="11.0"/>
      </rPr>
      <t>: Explain the purpose of the personal inventory to each student. This inventory, which includes at least three examples for each category-interests, achievements, goals, motivations, core beliefs, challenges and failures, will serve as a reference point when they are working on their personal statements. As a teacher, model the activity using your own list to help students understand what can be included under each category.</t>
    </r>
  </si>
  <si>
    <t>Direct instruction</t>
  </si>
  <si>
    <r>
      <rPr>
        <rFont val="Arial"/>
        <b/>
        <color theme="1"/>
        <sz val="11.0"/>
      </rPr>
      <t>Show and Tell--Conveying Core Beliefs in Personal Statements:</t>
    </r>
    <r>
      <rPr>
        <rFont val="Arial"/>
        <color theme="1"/>
        <sz val="11.0"/>
      </rPr>
      <t xml:space="preserve"> Remind students what an anecdote is. Demonstrate the following mini-writing activity: using your personal inventory list previously created, select a core belief and write an anecdote showing a time you fought for or held to that belief. Have students do the same with their core beliefs and anecdotes. Encourage detailed, rich writing. Ask for volunteers to share their writing.</t>
    </r>
  </si>
  <si>
    <r>
      <rPr>
        <rFont val="Arial"/>
        <b/>
        <color theme="1"/>
        <sz val="11.0"/>
      </rPr>
      <t>Show and Tell--Flashback and Flashforward:</t>
    </r>
    <r>
      <rPr>
        <rFont val="Arial"/>
        <color theme="1"/>
        <sz val="11.0"/>
      </rPr>
      <t xml:space="preserve"> Remind students about the writing techniques of flashback and flashforward. Demonstrate the following mini-writing activity: Using the personal inventory list, choose a challenge that you have encountered. Starting from today, write a flashback of the challenge, describing the issue; then revert to today and flash forward to how that challenge will help you in the future. Remind students to use rich, detailed language. </t>
    </r>
  </si>
  <si>
    <r>
      <rPr>
        <rFont val="Arial"/>
        <b/>
        <color theme="1"/>
        <sz val="11.0"/>
      </rPr>
      <t xml:space="preserve">Show and Tell--Vivid Writing: </t>
    </r>
    <r>
      <rPr>
        <rFont val="Arial"/>
        <color theme="1"/>
        <sz val="11.0"/>
      </rPr>
      <t>Help students craft vivid paragraphs. Choose a feeling from their personal inventory, like "sad," and set the scene—a rainy day. To paint a picture, use repetition, synonyms, images, and analogies.  In the dim light of dusk, the world seemed draped in a heavy blanket of loneliness. The air stilled, filled with the scent of freshly fallen rain and a sadness that settled like mist over the landscape. The sky now mirrored the grey ache in her heart, echoing the somber melody of unspoken sorrows.</t>
    </r>
  </si>
  <si>
    <r>
      <rPr>
        <rFont val="Arial"/>
        <b/>
        <color theme="1"/>
        <sz val="11.0"/>
      </rPr>
      <t xml:space="preserve">Show and Tell--Supporting Personal Statements with Informational Texts: </t>
    </r>
    <r>
      <rPr>
        <rFont val="Arial"/>
        <color theme="1"/>
        <sz val="11.0"/>
      </rPr>
      <t xml:space="preserve">Have students choose one attribute from their personal inventory. Based on that attribute, what informational text might help provide background information about that attribute?  If one of their motivations is staying in or getting into shape, what informational text would help provide background information about this topic? Have them find three sources that would help support this. Example: Time for kids: The benefit of exercise for kids; KidsHealth.org, “Be a Fit Kid;” and Fitkids.org. </t>
    </r>
  </si>
  <si>
    <t>Compare Pathways</t>
  </si>
  <si>
    <r>
      <rPr>
        <rFont val="Arial"/>
        <b/>
        <color theme="1"/>
        <sz val="11.0"/>
      </rPr>
      <t>Show and Tell– Summarizing and Reflecting on Research</t>
    </r>
    <r>
      <rPr>
        <rFont val="Arial"/>
        <color theme="1"/>
        <sz val="11.0"/>
      </rPr>
      <t xml:space="preserve"> 
After students finish the "Compare Pathways: Informational Text" lesson, guide students to begin additional research around “Growth Mindsets” by asking students where they have heard the term before and what they think it means. Encourage them to research various sources to compile enough information for writing a summary based on their findings. Prompt scholars to describe what it is, where it came from, and how it’s impactful. Invite students to share their summaries with the class. Lastly, facilitate a whole-class or small-group discussion where students reflect on areas in their lives where adopting a growth mindset could be beneficial. What are some of the areas in school they struggle with? What about extracurriculars or in their personal lives? How could reframing the fixed thoughts people have impact their futures?</t>
    </r>
  </si>
  <si>
    <r>
      <rPr>
        <rFont val="Roboto"/>
        <b/>
        <color theme="1"/>
        <sz val="11.0"/>
      </rPr>
      <t xml:space="preserve">Show and Tell– Research to Strengthen a Presentation
</t>
    </r>
    <r>
      <rPr>
        <rFont val="Roboto"/>
        <color theme="1"/>
        <sz val="11.0"/>
      </rPr>
      <t>After students complete the Direct Instruction lesson, ask students to brainstorm a list of what their audience might need to know in order to “buy” their pitches. What background knowledge should their viewers have? Are there any relevant statistics or expert opinions that could help strengthen their pitches? What might be some objections or push back a viewer might pose? Once the class brainstorms some possibilities for additional research, guide students to use their available resources to find the answers needed for those questions. Remind students to cite the sources they use in their presentations.</t>
    </r>
  </si>
  <si>
    <r>
      <rPr>
        <rFont val="Arial"/>
        <b/>
        <color theme="1"/>
        <sz val="11.0"/>
      </rPr>
      <t>Show and Tell--Types of Personal Narrative:</t>
    </r>
    <r>
      <rPr>
        <rFont val="Arial"/>
        <color theme="1"/>
        <sz val="11.0"/>
      </rPr>
      <t xml:space="preserve"> Go over the types of narrative writing with the direct instruction lesson. Model the activity: Have students write a brief statement answering the following: If you wanted your life story to be written, would you want it to be an autobiography, a biography, or a personal narrative?  Give three supporting reasons. This exercise helps students understand the nuances of non-fiction narratives.</t>
    </r>
  </si>
  <si>
    <r>
      <rPr>
        <rFont val="Arial"/>
        <b/>
        <color theme="1"/>
        <sz val="11.0"/>
      </rPr>
      <t>Show and Tell--Summarizing and Paraphrasing:</t>
    </r>
    <r>
      <rPr>
        <rFont val="Arial"/>
        <color theme="1"/>
        <sz val="11.0"/>
      </rPr>
      <t xml:space="preserve"> From the Direct Instruction lesson, review slide eleven as a summarizing and paraphrasing tool. As a class, select a suitable song and display its lyrics. Using the tool, begin by paraphrasing and summarizing the lyrics up to the first chorus together. Then, have students work in pairs to apply these techniques to the remainder of the song. Encourage students to share their interpretations with the class.</t>
    </r>
  </si>
  <si>
    <r>
      <rPr>
        <rFont val="Arial"/>
        <b/>
        <color theme="1"/>
        <sz val="11.0"/>
      </rPr>
      <t xml:space="preserve">Show and Tell--Traditional Tales: </t>
    </r>
    <r>
      <rPr>
        <rFont val="Arial"/>
        <color theme="1"/>
        <sz val="11.0"/>
      </rPr>
      <t>Choose a teenage trait and create a traditional tale about its origin. Example: In a mountain village lived Kavi, a wise storyteller. He told of gods who gave each age unique traits. When teenagers received theirs, they got boundless energy to explore. This energy fueled curiosity and passion for discovery. Teens raced through fields, climbed trees, and danced under the moon, embodying the lively spirit of the gods. Villagers cherished this gift, understanding it guided the young forward.</t>
    </r>
  </si>
  <si>
    <r>
      <rPr>
        <rFont val="Arial"/>
        <b/>
        <color theme="1"/>
        <sz val="11.0"/>
      </rPr>
      <t>Show and Tell--Writing about Character Types:</t>
    </r>
    <r>
      <rPr>
        <rFont val="Arial"/>
        <color theme="1"/>
        <sz val="11.0"/>
      </rPr>
      <t xml:space="preserve"> Choose a traditional fairy tale as a class.  Identify the protagonist, antagonist, sidekick (s), task setters, and magical creatures as a group. Then, have students choose two of these and have them do a Quick Journal about what lessons they helped the main characters learn and why they believe so. Discuss the merits as a whole class. </t>
    </r>
  </si>
  <si>
    <r>
      <rPr>
        <rFont val="Arial"/>
        <b/>
        <color theme="1"/>
        <sz val="11.0"/>
      </rPr>
      <t>Show and Tell—Universal Themes:</t>
    </r>
    <r>
      <rPr>
        <rFont val="Arial"/>
        <color theme="1"/>
        <sz val="11.0"/>
      </rPr>
      <t xml:space="preserve"> Display the following universal themes. Ask students to explain it and what we can learn as humanity from the lesson.
Friendship:
Lesson: True friendship involves trust, loyalty, and support. It teaches us the importance of being there for others and the joy of sharing experiences with someone special.
Courage:
Lesson: Courage is not the absence of fear but the ability to face and overcome it. It shows us that bravery can lead to personal growth.
Have students do the same activity with kindness, perseverance, and respect on their own.</t>
    </r>
  </si>
  <si>
    <t>Read and Analyze Poetry</t>
  </si>
  <si>
    <r>
      <rPr>
        <rFont val="Roboto"/>
        <b/>
        <color theme="1"/>
        <sz val="11.0"/>
      </rPr>
      <t>Show and Tell– Using Research in Poetry</t>
    </r>
    <r>
      <rPr>
        <rFont val="Roboto"/>
        <color theme="1"/>
        <sz val="11.0"/>
      </rPr>
      <t xml:space="preserve"> After "Reading and Analyzing Poetry,” ask students to use their online resources to explore other poets not mentioned in the unit who are known for their unique writing style. Provide them an example: “Robert Frost is well known for having used nature to convey the central ideas and themes of his poems.” Have students share styles and poets that stood out to them. What trends did they notice? Are there any similarities among the styles they discovered? Encourage them to reflect on the unique styles they saw when writing their own poems.</t>
    </r>
  </si>
  <si>
    <t>Reflect on the Discussion</t>
  </si>
  <si>
    <r>
      <rPr>
        <rFont val="Roboto"/>
        <b/>
        <color theme="1"/>
        <sz val="11.0"/>
      </rPr>
      <t>Show and Tell– Researching to Increase Agency</t>
    </r>
    <r>
      <rPr>
        <rFont val="Roboto"/>
        <color theme="1"/>
        <sz val="11.0"/>
      </rPr>
      <t xml:space="preserve"> 
After students reflect on the discussion, ask students to conduct additional research, exploring other socratic seminar topics they have interest in. In small groups, have students jot down a list of potential future topics and rank them from most interested to least interested. For the topic they marked, “Most Interested,” have students complete the sentence stem: Our group is interested in [blank] because [blank].</t>
    </r>
  </si>
  <si>
    <t xml:space="preserve">Show and Tell–Compare and Contrast: In this portfolio, students will analyze two texts and discuss their similarities and differences. To prepare, as a class, complete a writing activity where you model (with class input) one summarizing sentence highlighting the similarities between two different singers and another summarizing sentence pointing out their differences. Then, have them write their own using two actors or actresses.
Example: 
Similarities: Beyoncé and Taylor Swift are both globally renowned singers, and successful songwriters, and have won multiple Grammy Awards.
Differences: Beyoncé's music often features R&amp;B and hip-hop influences, while Taylor Swift's songs have evolved from country to pop; Beyoncé is known for her powerful stage presence, whereas Taylor Swift is recognized for her storytelling lyrics.
</t>
  </si>
  <si>
    <r>
      <rPr>
        <rFont val="Arial"/>
        <b/>
        <color theme="1"/>
        <sz val="11.0"/>
      </rPr>
      <t>Show and Tell--Supporting Claims about Literary Texts:</t>
    </r>
    <r>
      <rPr>
        <rFont val="Arial"/>
        <color theme="1"/>
        <sz val="11.0"/>
      </rPr>
      <t xml:space="preserve"> Throughout this unit as needed, let students know that one of the key skills they will focus on is writing claims about literary texts. Share two claims with students. "The author argues that making friends is important."  and "Making friends is important." Ask where they would need to go to find evidence to prove each of those two different claims. Point out that when writing about texts, we describe the choices and author makes and the impact of those choices. Have students point out the part of the claim that suggests that this is a claim about a text. Have students note the verb, "argues." Explain that when writing about texts students will focus on describing the author's choices. </t>
    </r>
  </si>
  <si>
    <r>
      <rPr>
        <rFont val="Arial"/>
        <b/>
        <color theme="1"/>
        <sz val="11.0"/>
      </rPr>
      <t>Show and Tell--Making Claims:</t>
    </r>
    <r>
      <rPr>
        <rFont val="Arial"/>
        <color theme="1"/>
        <sz val="11.0"/>
      </rPr>
      <t xml:space="preserve"> Ask students to create claim statements about friendship based on the poll in the opening of the unit. Share an example: "Sometimes one has to change in order to make or keep friends." One should never feel that they need to change in order to make or keep real friends." etc. Collect the claim statements and save them digitally or on an anchor chart. Let students know they will revisit the statements after they read the story and select a statement that best captures the author's claim about friendship.</t>
    </r>
  </si>
  <si>
    <t>Develop</t>
  </si>
  <si>
    <r>
      <rPr>
        <rFont val="Arial"/>
        <b/>
        <color theme="1"/>
        <sz val="11.0"/>
      </rPr>
      <t>Show and Tell--Developing Claims about Literary Texts:</t>
    </r>
    <r>
      <rPr>
        <rFont val="Arial"/>
        <color theme="1"/>
        <sz val="11.0"/>
      </rPr>
      <t xml:space="preserve"> Have students pair or square and revisit their claim statements about friendship as a class. Ask, which statements do they think the author, Gary Soto would agree with. Allow students to revise the statement to convey their perception of what Soto, the author would say about friendship. Have students share the revised statements. Provide the help stem, Gary Soto, the author of "Seventh Grade," shows ____. </t>
    </r>
  </si>
  <si>
    <r>
      <rPr>
        <rFont val="Arial"/>
        <b/>
        <color theme="1"/>
        <sz val="11.0"/>
      </rPr>
      <t>Show and Tell--Responding to the Prompt:</t>
    </r>
    <r>
      <rPr>
        <rFont val="Arial"/>
        <color theme="1"/>
        <sz val="11.0"/>
      </rPr>
      <t xml:space="preserve"> Have students record the prompt separately on a piece of paper. Then have them circle the main question they must answer, draw a box around the specific aspects of the main question they must address, breaking the question down into as many parts as necessary. Then 
have students share a precise description of the specific criteria they must meet in order to complete the task of developing a claim about Soto's story effectively.</t>
    </r>
  </si>
  <si>
    <r>
      <rPr>
        <rFont val="Arial"/>
        <b/>
        <color theme="1"/>
        <sz val="11.0"/>
      </rPr>
      <t>Show and Tell--Supporting Claims about Literary Texts with Evidence:</t>
    </r>
    <r>
      <rPr>
        <rFont val="Arial"/>
        <color theme="1"/>
        <sz val="11.0"/>
      </rPr>
      <t xml:space="preserve"> Have one or more students share the claim they are drafting in the Develop step. Display the claim for the whole class and ask students to share examples and direct quotations from the text to support the claim. Record a summary statement about a part of the text that supports the claim. As students generate new examples and evidence, revise the claim to make it more specific based on the support the class has generated. Then have students develop their own claims and evidence in the planning tool.</t>
    </r>
  </si>
  <si>
    <r>
      <rPr>
        <rFont val="Arial"/>
        <b/>
        <color theme="1"/>
        <sz val="11.0"/>
      </rPr>
      <t>Show and Tell--Supporting Claims about Literary Texts with Evidence:</t>
    </r>
    <r>
      <rPr>
        <rFont val="Arial"/>
        <color theme="1"/>
        <sz val="11.0"/>
      </rPr>
      <t xml:space="preserve"> Have students revisit the claim statements they have made and the lessons throughout the module. Model the following questions question protocol. Have I included a phrase in my claim statement that shows that I am writing about the author's beliefs versus my own? Have I included specifics about that belief statement based on the actual examples and evidence I have take from my text? As students analyze their claims, have them try adding a because statement to the end of their claims to make it more specific.  </t>
    </r>
  </si>
  <si>
    <r>
      <rPr>
        <rFont val="Arial"/>
        <b/>
        <color theme="1"/>
        <sz val="11.0"/>
      </rPr>
      <t>Show and Tell--Conveying Themes:</t>
    </r>
    <r>
      <rPr>
        <rFont val="Arial"/>
        <color theme="1"/>
        <sz val="11.0"/>
      </rPr>
      <t xml:space="preserve"> Show students examples of universal themes and how an author’s message is conveyed in narrative writing. Afterward, provide two universal themes and have them write an author’s message or lesson learned for each theme. Remind them to consider these ideas when writing their personal narratives.
Examples:
Family: The definition of family is defined by each person.
Kindness: No act of kindness is ever wasted.</t>
    </r>
  </si>
  <si>
    <r>
      <rPr>
        <rFont val="Arial"/>
        <b/>
        <color theme="1"/>
        <sz val="11.0"/>
      </rPr>
      <t>Show and Tell--Inferences and Reasoning:</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opporutinity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</si>
  <si>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t>Analyze</t>
  </si>
  <si>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thier claim. These reasoning statements help connect the inferences about evidence back to their claim. After modeling a few examples of how to be sure the evidence is fully explained, have students review the writing prompt and work in pairs to flesh thier notes out more fully.</t>
    </r>
  </si>
  <si>
    <r>
      <rPr>
        <rFont val="Arial"/>
        <b/>
        <color theme="1"/>
        <sz val="11.0"/>
      </rPr>
      <t>Show and Tell--Writing Arguments:</t>
    </r>
    <r>
      <rPr>
        <rFont val="Arial"/>
        <color theme="1"/>
        <sz val="11.0"/>
      </rPr>
      <t xml:space="preserve"> Have students use the </t>
    </r>
    <r>
      <rPr>
        <rFont val="Arial"/>
        <b/>
        <color theme="1"/>
        <sz val="11.0"/>
      </rPr>
      <t>Best Practices: Compare Texts</t>
    </r>
    <r>
      <rPr>
        <rFont val="Arial"/>
        <color theme="1"/>
        <sz val="11.0"/>
      </rPr>
      <t xml:space="preserve"> 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recieve based on the criteria. Next, look at the most recent draft in the same area and evaluate the differences in how each compares with the previous level of proficiency. Model the process using your own piece or using an anonymyzed version of one or more students' claims as an example.</t>
    </r>
  </si>
  <si>
    <r>
      <rPr>
        <rFont val="Arial"/>
        <b/>
        <color theme="1"/>
        <sz val="11.0"/>
      </rPr>
      <t>Show and Tell--Creating Imagery and Mood:</t>
    </r>
    <r>
      <rPr>
        <rFont val="Arial"/>
        <color theme="1"/>
        <sz val="11.0"/>
      </rPr>
      <t xml:space="preserve"> Imagery and mood bring stories to life, and they require intentional crafting. Start by pairing an imagery type with a mood. For example, brittle imagery and a anxious mood can translate into: The dry leaves crackled underfoot with every step, their fragile edges echoing the tension in the air. Have students pair up to create their own pairings and sentences. Example: somber imagery with a mournful mood.</t>
    </r>
  </si>
  <si>
    <t>7 (in SG)</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</si>
  <si>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modeling the process with your own question and refining process using the Toolkit.This is a skill that will be useful throughout the course. In this initial attempt, have students explore the biography of any of the authors in the unit begining with a question that was raised for them. Alternatively, have students use the Informational Text topics to spring into additional research. Have them record the topic and research question in the Inquiry-Driven Research organizer and search the Internet and read 2-3 sources that relate to the topic. Have them record their research learnings, so they can refer to it later during their Socratic Discussion. As a final step, ask students to refine thier research question to make it more narrow and record the new question. Then they should do an additional search to answer the question and prepare a summary of their process and findings to share it the Socratic Discussion. They should summarize their findings, cite their sources, and share their more refined question with peers as part of their Socratic Discussion.
</t>
    </r>
  </si>
  <si>
    <t>7 (In SG)</t>
  </si>
  <si>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</si>
  <si>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r>
      <rPr>
        <rFont val="Arial"/>
        <b/>
        <color theme="1"/>
        <sz val="11.0"/>
      </rPr>
      <t>Show and Tell–Brainstorming Feelings:</t>
    </r>
    <r>
      <rPr>
        <rFont val="Arial"/>
        <color theme="1"/>
        <sz val="11.0"/>
      </rPr>
      <t xml:space="preserve"> As a class, list ideas that might help indicate a sense of belonging.  Use the first idea as a model:
Friends: A person ensures you are invited to sit at lunch with them.
Sports:
Teachers:
Family:
Have the students create their own list of times when someone made them feel included.  This activity will help with the final portfolio activity.
</t>
    </r>
  </si>
  <si>
    <t>Preview Key Skills and Concepts</t>
  </si>
  <si>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position on banning junkfood in school: yes, no, yes/no. In their groups, have them briefly discuss thier thinking. Then share arguments across groups. As they debrief to show that there are many sides to all policies and good arguments to support multiple sides of the same issue, such as the shared value of healthy eating. (Example: teaching kids to eat healthy can be done by banning junkfood or by modeling moderation.)</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</si>
  <si>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 audience cares deeply about their economic opportunites, they might want to hear about how public transportation enabled access to better jobs. Alternatively if they care deeply about preserving an historical site that is blocking the development of a new train line, they might not be so convinced. Based on the audience's values, the issues they care about most, an explicit statistic, an illustrative and powerful story, or a famous quotation can make a great hook. Have students think of a recent debate they had with an adult in their life, where they had to appeal to the adult's values to persuade them. Junkfood, staying at a friend's house, etc.What appeal did they make to tap into the person's values?</t>
    </r>
  </si>
  <si>
    <r>
      <rPr>
        <rFont val="Arial"/>
        <b/>
        <color theme="1"/>
        <sz val="11.0"/>
      </rPr>
      <t>Show and Tell--Identifying the Best Evidence:</t>
    </r>
    <r>
      <rPr>
        <rFont val="Arial"/>
        <color theme="1"/>
        <sz val="11.0"/>
      </rPr>
      <t xml:space="preserve">Provide students with these examples.  As a class, discuss the BEST piece of evidence to use for the claim and why. Repeat practice until students have mastered it.
</t>
    </r>
    <r>
      <rPr>
        <rFont val="Arial"/>
        <b/>
        <color theme="1"/>
        <sz val="11.0"/>
      </rPr>
      <t>Claim</t>
    </r>
    <r>
      <rPr>
        <rFont val="Arial"/>
        <color theme="1"/>
        <sz val="11.0"/>
      </rPr>
      <t xml:space="preserve">: Dogs are the best pets for children to have.
1 Dogs can be trained to perform various tasks and tricks, making them both fun and helpful companions. 2 Dogs are known for their loyalty and companionship, which can help their owners develop empathy, responsibility, and a sense of security.
3 Dogs have been popular pets for a long time, which means many people like them.
</t>
    </r>
    <r>
      <rPr>
        <rFont val="Arial"/>
        <b/>
        <color theme="1"/>
        <sz val="11.0"/>
      </rPr>
      <t>Claim</t>
    </r>
    <r>
      <rPr>
        <rFont val="Arial"/>
        <color theme="1"/>
        <sz val="11.0"/>
      </rPr>
      <t xml:space="preserve">: Reading books is a great way to spend your free time.
1 Reading regularly can improve your vocabulary and language skills. 2 Books can transport you to different worlds and times, sparking your imagination. 3 Reading books is something that many people do, so it must be enjoyable.
</t>
    </r>
  </si>
  <si>
    <r>
      <rPr>
        <rFont val="Arial"/>
        <b/>
        <color theme="1"/>
        <sz val="11.0"/>
      </rPr>
      <t>Show and Tell--Linking Claims and Reasoning:</t>
    </r>
    <r>
      <rPr>
        <rFont val="Arial"/>
        <color theme="1"/>
        <sz val="11.0"/>
      </rPr>
      <t xml:space="preserve">Using the claims from Module 2, show how the reasoning explains the relationship between the claim and the evidence. Practice the second claim as a class and provide other examples for further practice.
Claim with reason: Dogs are the best pets for children to have because they have innate qualities that help their owners. 
Evidence: Dogs are known for their loyalty and companionship, which can help their owners develop empathy, responsibility, and a sense of security.
Reasoning: Having a dog as a companion can help children develop the love to care for an animal, which translates to them caring for other beings.
Claim: Reading books is a great way to spend your free time.
Books can transport you to different worlds and times, sparking your imagination.
</t>
    </r>
  </si>
  <si>
    <r>
      <rPr>
        <rFont val="Arial"/>
        <b/>
        <color theme="1"/>
        <sz val="11.0"/>
      </rPr>
      <t xml:space="preserve">Show and Tell--Writing Appeals and Counterclaim: </t>
    </r>
    <r>
      <rPr>
        <rFont val="Arial"/>
        <color theme="1"/>
        <sz val="11.0"/>
      </rPr>
      <t>Discuss this example showing how writers use each type of appeal in arguments. Have students notice how the strongest counterclaim is addressed yet discounted.  Have students pair up and practice with your claims, giving examples of each appeal and counterclaim.
Claim: Dogs are the best pets for children to have.
Logos: Research shows that children who grow up with dogs develop stronger immune systems and are less likely to suffer from allergies.
Pathos: Imagine the joy on a child's face as they come home to their loyal furry friend, always ready to play and offer unconditional love.
Ethos: Veterinarians and child psychologists agree that dogs are excellent companions for children.
Counterargument: 
Although dogs require a significant time commitment and financial investment for their care, training, and medical needs, these sacrifices are minimal compared to the practical reasons to have them.</t>
    </r>
  </si>
  <si>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transportation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</si>
  <si>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</si>
  <si>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r>
      <rPr>
        <rFont val="Arial"/>
        <b/>
        <color theme="1"/>
        <sz val="11.0"/>
      </rPr>
      <t>Show and Tell–Writing a Conclusion:</t>
    </r>
    <r>
      <rPr>
        <rFont val="Arial"/>
        <color theme="1"/>
        <sz val="11.0"/>
      </rPr>
      <t xml:space="preserve"> The conclusion is one of the most essential features of an argument.  In this writing activity, you will guide students on writing the three types of conclusions, so they have practice when they write their own. 
Summary style:
Dogs are the best pets for children because they possess innate qualities that significantly benefit their owners. Their loyalty and companionship provide children with constant emotional support, fostering a sense of security and reducing feelings of loneliness. Additionally, the responsibility of caring for a dog teaches children essential life skills such as empathy, routine, and accountability. Moreover, dogs encourage physical activity and outdoor play, promoting a healthy lifestyle for young owners. All these qualities make dogs invaluable companions and the ideal pets for children.
Stress Main Point:
Dogs are the best pets for children because they have innate qualities that help their owners. Their loyalty and companionship provide emotional support, while the responsibility of caring for a dog teaches essential life skills. Additionally, dogs encourage physical activity and promote a healthy lifestyle, making them ideal companions for children.
Call to Action:
Dogs are the best pets for children because they have innate qualities that help their owners. Their loyalty, companionship, and the responsibility they foster make them invaluable companions for young people. If you're considering a pet for your child, choose a dog and give your family the gift of an affectionate, supportive, and active friend. Visit your local animal shelter today and find the perfect canine companion to enrich your child's life and create lasting memories.
</t>
    </r>
  </si>
  <si>
    <t>Unit Overview Somewhere</t>
  </si>
  <si>
    <r>
      <rPr>
        <rFont val="Arial"/>
        <b/>
        <color theme="1"/>
        <sz val="11.0"/>
      </rPr>
      <t>Show and Tell-Write Literary Analysis</t>
    </r>
    <r>
      <rPr>
        <rFont val="Arial"/>
        <color theme="1"/>
        <sz val="11.0"/>
      </rPr>
      <t xml:space="preserve">: Model for students the way we talk about artists and their choices. Share an example of a movie where the ending that surprised or diappointed you or where an allusion to another movie occurred. (In Pixar's </t>
    </r>
    <r>
      <rPr>
        <rFont val="Arial"/>
        <i/>
        <color theme="1"/>
        <sz val="11.0"/>
      </rPr>
      <t>Toy Story</t>
    </r>
    <r>
      <rPr>
        <rFont val="Arial"/>
        <color theme="1"/>
        <sz val="11.0"/>
      </rPr>
      <t xml:space="preserve">, there is an allusion to Star Wars's Luke Skywalker and Darth Vader when Buzz Lightyear learns that Zurg is his father.) In a world of imagination, the author controls what happens, and the choices they make are intential. They make choices to create meaning. When we do literary analysis we describe these author choices and we share our analysis of the intention behind it. As you conduct literary analysis in the unit, you will be analyzing these choices to apply them in your own writing. </t>
    </r>
  </si>
  <si>
    <r>
      <rPr>
        <rFont val="Arial"/>
        <b/>
        <color theme="1"/>
        <sz val="11.0"/>
      </rPr>
      <t xml:space="preserve">Show and Tell-Choosing Verbs to Describe Author Choices: </t>
    </r>
    <r>
      <rPr>
        <rFont val="Arial"/>
        <color theme="1"/>
        <sz val="11.0"/>
      </rPr>
      <t>As you complete your CERCA remember, your analysis is describing the author's choice and its intended meaning. Sentences sound like a variation on The author [verb] [the item] for humorous effect. "The author made the Star Wars allusion for humorous effect." As you write, you will also describe characters who make choices and so on. Consider the impact of those choices and describe what is the likely intended meaning. This is the basis of literary analysis. It is an interpretation.</t>
    </r>
  </si>
  <si>
    <r>
      <rPr>
        <rFont val="Arial"/>
        <b/>
        <color theme="1"/>
        <sz val="11.0"/>
      </rPr>
      <t>Show and Tell - Dialogue</t>
    </r>
    <r>
      <rPr>
        <rFont val="Arial"/>
        <color theme="1"/>
        <sz val="11.0"/>
      </rPr>
      <t xml:space="preserve">
As a class, review dialogue discriptors and ask students to make a class list (said, questioned, exclaimed, retorted, yelled, i.e., etc). Then, as a class, review the dialogue in Harrison Burgeron. Notice that much of the dialogue in Harrison Burgeron includes "said," with the exception of the key moments when Harrison is at the studio. Discuss why that might be and what Vonnegut wanted to convey to the readers by only using more specific language in certain moments. Then, as a class, focus on the last lines of dialogue after the Bergerons' TV goes out where George and Hazel discuss what happened. Explain that George and Hazel's dialogue only uses "said." Working in pairs, ask students to rewrite the last conversation between George and Hazel without using "said." Then, ask students to explain how the meaning of the conversation changes depending on what dialogue descriptors the students used. </t>
    </r>
  </si>
  <si>
    <r>
      <rPr>
        <rFont val="Arial"/>
        <b/>
        <color theme="1"/>
        <sz val="11.0"/>
      </rPr>
      <t>Show and Tell–Writing Transitions in Narratives:</t>
    </r>
    <r>
      <rPr>
        <rFont val="Arial"/>
        <color theme="1"/>
        <sz val="11.0"/>
      </rPr>
      <t xml:space="preserve"> After reviewing Direct Instruction on Transitions and Linking Words and Phrases, present the paragraph to discuss with the class what role the transition words/phrases play (location, time, relationships.) Ask students to replace them with other transitions and how that might change the meaning of the paragraph. 
After school, Jake raced to the park, where his friends were already gathered by the old oak tree. As he approached, he could see Sarah swinging on the swings. Nearby, Ben and Emma were setting up a game of frisbee on the grassy field. Next to the playground, the younger kids were playing tag around the jungle gym. Jake joined his friends just as the sun descended below the horizon. The group moved to the picnic tables, where they shared stories about their day and made plans for the weekend. As the evening turned to dusk, Jake felt a deep sense of belonging and contentment, knowing he had such great friends.</t>
    </r>
  </si>
  <si>
    <r>
      <rPr>
        <rFont val="Arial"/>
        <b/>
        <color theme="1"/>
        <sz val="11.0"/>
      </rPr>
      <t xml:space="preserve">Show and Tell--Irony
</t>
    </r>
    <r>
      <rPr>
        <rFont val="Arial"/>
        <b val="0"/>
        <color theme="1"/>
        <sz val="11.0"/>
      </rPr>
      <t xml:space="preserve">There are three types of irony that are important for students to know: verbal, situational, and dramatic. As a class, come up with two examples each of verbal, situational, and dramatic irony. To get the ideas going, you can share the definitions and one example: verbal irony is when someone says the opposite of what they mean -- "what a beautiful day" says the weather man as it's pouring and hailing outside. Situational irony is when the outcome is opposite of what is expected -- a dentist who has a lot of cavities-- and dramatic irony is when the audience knows something the characters do not -- the audience knows that someone is hiding in the closet ready to pop out but the character does not. After coming up with two examples as a class, students can work in pairs to create one more example of each type of irony. Ask volunteers to share out with the class and add the examples to the class list. </t>
    </r>
  </si>
  <si>
    <t>Wherever you can find in RAGs</t>
  </si>
  <si>
    <r>
      <rPr>
        <rFont val="Arial"/>
        <b/>
        <color theme="1"/>
        <sz val="11.0"/>
      </rPr>
      <t>Show and Tell--Summarizing, Paraphrasing, and Direct Quotation</t>
    </r>
    <r>
      <rPr>
        <rFont val="Arial"/>
        <color theme="1"/>
        <sz val="11.0"/>
      </rPr>
      <t xml:space="preserve"> using the </t>
    </r>
    <r>
      <rPr>
        <rFont val="Arial"/>
        <b/>
        <color theme="1"/>
        <sz val="11.0"/>
      </rPr>
      <t>Research Toolkit</t>
    </r>
    <r>
      <rPr>
        <rFont val="Arial"/>
        <color theme="1"/>
        <sz val="11.0"/>
      </rPr>
      <t>: Introduce the idea that throughout the inquiry process in research we continuously refine our thinking, evaluate sources for credibility and reliability, and determine whether a summary, a paraphrase, or a direct quotation is best for incorporating into our speaking and writing. Model the process of Summarizing, Paraphrasing, and Pulling Direct Quotation from the informational texts in this module. Then have students conduct brief research on a topic of interest and try their hand at summary, paraphrase, and direct quotation with 1-2 sources.</t>
    </r>
  </si>
  <si>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</si>
  <si>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r>
      <rPr>
        <rFont val="Arial"/>
        <b/>
        <color theme="1"/>
        <sz val="11.0"/>
      </rPr>
      <t>Show and Tell—Narrative Endings</t>
    </r>
    <r>
      <rPr>
        <rFont val="Arial"/>
        <color theme="1"/>
        <sz val="11.0"/>
      </rPr>
      <t xml:space="preserve">: Students will be completing their short story in this unit. Review the Direct Instruction lesson Narrative Endings as a class.  Then, take the story “Rainmaker,” which the class read in Module 3.  In one sentence, rewrite the ending to have the following:
Implicit ending: 
Plot Twist Ending:
Cliff Hangar Ending:
Sad Ending:
Have the students remember these choices as they write their short story endings.
</t>
    </r>
  </si>
  <si>
    <r>
      <rPr>
        <rFont val="Arial"/>
        <b/>
        <color theme="1"/>
        <sz val="11.0"/>
      </rPr>
      <t xml:space="preserve">Show and Tell--Introducing Research Papers: </t>
    </r>
    <r>
      <rPr>
        <rFont val="Arial"/>
        <color theme="1"/>
        <sz val="11.0"/>
      </rPr>
      <t>Assure students set out to engage in a full blown research paper, they can feel confident that the skills they have been honing throughout the year will come into play: Inquiry, refining questions, evaluating credible sources, summarizing, paraphrasing, quoting, and documenting evidence. Frame the project as an opportunity for them to choose what they want to read, write, and talk about. The challenge lies in narrowing the focus.</t>
    </r>
  </si>
  <si>
    <r>
      <rPr>
        <rFont val="Arial"/>
        <b/>
        <color theme="1"/>
        <sz val="11.0"/>
      </rPr>
      <t>Show and Tell--Research a Genunine Question</t>
    </r>
    <r>
      <rPr>
        <rFont val="Arial"/>
        <color theme="1"/>
        <sz val="11.0"/>
      </rPr>
      <t>: As students enter this unit, let them know that this paper is about them. It is an opportunity to put their literacy skills to work to figure out a better way to design their community. Remind them that possible real world applications of this project include improved transportation access for their whole community. They might make the case for a change that can actually be implemented and they should approach the project with that in mind. That is what researchers do with their writing skills.</t>
    </r>
  </si>
  <si>
    <r>
      <rPr>
        <rFont val="Arial"/>
        <b/>
        <color theme="1"/>
        <sz val="11.0"/>
      </rPr>
      <t>Show and Tell--Text Structure:</t>
    </r>
    <r>
      <rPr>
        <rFont val="Arial"/>
        <color theme="1"/>
        <sz val="11.0"/>
      </rPr>
      <t xml:space="preserve"> After reviewing text structures with students, provide a list of possible topics and ask the students to identify the best structure for the writing. Demonstrate the example. Topic: Write an informative paragraph explaining to your parents why your homework wasn’t completed. Best structure types for this topic: Cause/Effect, Sequential order. Then have students do the same with the other topics. Have students present their ideas, arguing their reasoning for making that selection.</t>
    </r>
  </si>
  <si>
    <r>
      <rPr>
        <rFont val="Arial"/>
        <b/>
        <color theme="1"/>
        <sz val="11.0"/>
      </rPr>
      <t xml:space="preserve">Show and Tell--Author Point of View and Purpose: </t>
    </r>
    <r>
      <rPr>
        <rFont val="Arial"/>
        <color theme="1"/>
        <sz val="11.0"/>
      </rPr>
      <t>As a class, discuss how a paragraph written from a parent’s point of view about getting a new puppy might differ from a child’s paragraph about getting a puppy.  The key here is to help students understand how a different point of view affects purpose and structure.  Help students identify both as you work through the process.  Then, give students a topic and pair them up to write through the same process. Discuss the examples students create as a class.
Point of View Parent: 
Inform: Explain how puppies act, explain what puppies need, explain the cost, or compare or contrast different types of puppies.
Convince or Dissuade: Cause/effect of how puppies act, explain the time and responsibility level the child will undertake, or compare/contrast puppy cost with a gerbil cost.
Point of View Child: 
Persuade: explain learning about responsibility and empathy; compare/contrast a puppy cost versus hockey lessons</t>
    </r>
  </si>
  <si>
    <r>
      <rPr>
        <rFont val="Arial"/>
        <b/>
        <color theme="1"/>
        <sz val="11.0"/>
      </rPr>
      <t xml:space="preserve">Show and Tell--Paraphrase, Summarize, and Quote: </t>
    </r>
    <r>
      <rPr>
        <rFont val="Arial"/>
        <color theme="1"/>
        <sz val="11.0"/>
      </rPr>
      <t xml:space="preserve">Review page 6 in the </t>
    </r>
    <r>
      <rPr>
        <rFont val="Arial"/>
        <b/>
        <color theme="1"/>
        <sz val="11.0"/>
      </rPr>
      <t>Language and Style Toolkit under Unit Resources.</t>
    </r>
    <r>
      <rPr>
        <rFont val="Arial"/>
        <color theme="1"/>
        <sz val="11.0"/>
      </rPr>
      <t xml:space="preserve"> After reviewing the resource, display the paragraph.  As a class, summarize it, ensuring all good summary techniques have been used.  Then, paraphrase it.  Have the class note the difference between the two skills.  Give the class a second paragraph.  Have pairs in one half of the class summarize it.  Have paired groups in the other half paraphrase it.  Come together to discuss how they differed.  Debrief.
Example paragraph: Microplastics are tiny pieces of plastic, smaller than 5 millimeters, resulting from more oversized plastic items breaking down. They can be found in many places, including the ocean, soil, and even the air we breathe. Microplastics harm the environment because animals might eat them, mistaking them for food, which can cause health problems or even death. These tiny plastics can also enter the food chain, eventually affecting humans. Reducing plastic use and recycling can help limit the spread of microplastics.
</t>
    </r>
  </si>
  <si>
    <t>Understand Topics: Additional Texts</t>
  </si>
  <si>
    <r>
      <rPr>
        <rFont val="Roboto"/>
        <b/>
        <color theme="1"/>
        <sz val="11.0"/>
      </rPr>
      <t xml:space="preserve">Show and Tell– Fact and Opinion 
</t>
    </r>
    <r>
      <rPr>
        <rFont val="Roboto"/>
        <color theme="1"/>
        <sz val="11.0"/>
      </rPr>
      <t>Once students show their understanding of additional texts, it’s time for them to try researching on their own. Explain to students that some sources have been provided for them, but they will need to find one more source to complement the information from the others. Ask them how they can determine if the information is fact-based or opinion. Then, give them the opportunity to find an additional source that presents facts rather than opinions. Based on teacher discretion, students could have the option to write a paragraph using text evidence to explain how they know the text they chose is fact-based.</t>
    </r>
  </si>
  <si>
    <t>Plan Your Research</t>
  </si>
  <si>
    <r>
      <rPr>
        <rFont val="Arial"/>
        <b/>
        <color theme="1"/>
        <sz val="11.0"/>
      </rPr>
      <t>Show and Tell-- Varying Sources</t>
    </r>
    <r>
      <rPr>
        <rFont val="Arial"/>
        <color theme="1"/>
        <sz val="11.0"/>
      </rPr>
      <t xml:space="preserve">
While researching, encourage students to use a variety of sources and conduct research on all sides of the topic for a well-rounded understanding. Remind students to visit the Research Toolkit for help with citing their sources.</t>
    </r>
  </si>
  <si>
    <t>Show and Tell-Cite Research to Bolster Your Argument: Remind students to include verbal citations of credible research when presenting evidence during their panel discussion.</t>
  </si>
  <si>
    <t>Your Portfolio (I think)</t>
  </si>
  <si>
    <r>
      <rPr>
        <rFont val="Arial"/>
        <b/>
        <color theme="1"/>
        <sz val="11.0"/>
      </rPr>
      <t>Show and Tell-Writing the Research Paper:</t>
    </r>
    <r>
      <rPr>
        <rFont val="Arial"/>
        <color theme="1"/>
        <sz val="11.0"/>
      </rPr>
      <t xml:space="preserve"> Let students know that they will need to lay out a clear plan for supporting their thesis or claim. Developing the support is similar to the brief, evidence-based writing pieces students have been completing all along. In this phase, they will make subclaims to support the thesis/main claim and develop support for the main claim through these subclaims. The resources in the student guide assist students in selecting the most relevant notes from their research, mapping out the main sections of the paper, and supporting each main point with the evidence from their research. During the drafting phase of the paper, students should complete the writing during class time and frequently check in to receive personalized support. Focus your feedback on what is going well and choosing one area of growth at a time as the drafts evolve.</t>
    </r>
  </si>
  <si>
    <t>Key Concepts and Skills</t>
  </si>
  <si>
    <t>Show and Tell--Cause and Effect Analysis: To illustrate complex writing, create a cause/effect chain as a group. Start with a cause: When Emma started at her new school, she felt nervous and unsure of herself. As a result, she hesitated to join any clubs or activities, making it hard to make new friends. Her loneliness led her to spend more time in the library, where she discovered a love for reading. Eventually, she joined the book club, which helped her meet students who shared her interests. This new friendship circle boosted her confidence, encouraging her to participate more in class and other school events. Because of her increased involvement, Emma's grades improved, and she began to feel more at home in her new school. Trace the causes and effects.
 Discuss how characters, plots, and dialogue create cause/effect relationships in writing.
Have the students write their own cause/effect chain from a topic you provide.</t>
  </si>
  <si>
    <t>Show and Tell--Analyzing Causes in Drama: Help the class outline constructing body paragraphs for a cause/effect essay. Discuss three causes: historical, social, and economic settings impacting characters. Guide them to structure paragraphs focusing on each setting effect on characters (e.g., historical setting impact). Emphasize not using a pattern of cause, cause, cause, and then effect, effect, effect. Discuss the reasoning behind this approach as a class.</t>
  </si>
  <si>
    <r>
      <rPr>
        <rFont val="Arial"/>
        <b/>
        <color theme="1"/>
        <sz val="11.0"/>
      </rPr>
      <t>Show and Tell--5Ws:</t>
    </r>
    <r>
      <rPr>
        <rFont val="Arial"/>
        <color theme="1"/>
        <sz val="11.0"/>
      </rPr>
      <t xml:space="preserve"> Your role in guiding students through the topic development process is crucial. This process, which involves answering the five W questions (Who, What, Where, When, Why) with various details, including facts, examples, definitions, and quotations, is a crucial step in their journey to becoming proficient essay writers. Once they have mastered this process, you can guide them in connecting it to their writing of informative essays, helping them find the details in a text to use as support. Flesh out the idea of “Love” in the context of cause/effect relationships and prepare them to write this Unit’s Cause and Effect essay.</t>
    </r>
  </si>
  <si>
    <r>
      <rPr>
        <rFont val="Arial"/>
        <b/>
        <color theme="1"/>
        <sz val="11.0"/>
      </rPr>
      <t xml:space="preserve">Show and Tell--Cause and Effect Transition Words: </t>
    </r>
    <r>
      <rPr>
        <rFont val="Arial"/>
        <color theme="1"/>
        <sz val="11.0"/>
      </rPr>
      <t xml:space="preserve">After reviewing Transition Words in Informational Text, discuss transition words that show cause and transition words that show effect with the class. Remind students that the culminating essay for this unit will be a cause/effect essay, where using these words will help their writing. Demonstrate using one of each type of transition and then have students craft their sentences using the others to demonstrate relationships. 
</t>
    </r>
    <r>
      <rPr>
        <rFont val="Arial"/>
        <b/>
        <color theme="1"/>
        <sz val="11.0"/>
      </rPr>
      <t>Showing Cause Transitions:</t>
    </r>
    <r>
      <rPr>
        <rFont val="Arial"/>
        <color theme="1"/>
        <sz val="11.0"/>
      </rPr>
      <t xml:space="preserve"> Since; For; As; Because (of the fact that)
</t>
    </r>
    <r>
      <rPr>
        <rFont val="Arial"/>
        <b/>
        <color theme="1"/>
        <sz val="11.0"/>
      </rPr>
      <t>Showing Effect Transitions:</t>
    </r>
    <r>
      <rPr>
        <rFont val="Arial"/>
        <color theme="1"/>
        <sz val="11.0"/>
      </rPr>
      <t xml:space="preserve"> Consequently; Therefore; Thus; Accordingly; Because (of this)
</t>
    </r>
    <r>
      <rPr>
        <rFont val="Arial"/>
        <b/>
        <color theme="1"/>
        <sz val="11.0"/>
      </rPr>
      <t>Example:</t>
    </r>
    <r>
      <rPr>
        <rFont val="Arial"/>
        <color theme="1"/>
        <sz val="11.0"/>
      </rPr>
      <t xml:space="preserve"> Since I spent my allowance on snacks; consequently, I need more money for the movie.</t>
    </r>
  </si>
  <si>
    <r>
      <rPr>
        <rFont val="Arial"/>
        <b/>
        <color theme="1"/>
        <sz val="11.0"/>
      </rPr>
      <t>Show and Tell--Word Precision:</t>
    </r>
    <r>
      <rPr>
        <rFont val="Arial"/>
        <color theme="1"/>
        <sz val="11.0"/>
      </rPr>
      <t xml:space="preserve">Show and Tell--Word Precision: Remind students in order to become better writers, they must practice the craft.  Part of practice means crafting the most straightforward sentences using precise language without wordiness.  As a warm-up, display the example and demonstrate (rewrite) how to clarify sentences.  Give them others to do on their own.  
Example:
In </t>
    </r>
    <r>
      <rPr>
        <rFont val="Arial"/>
        <i/>
        <color theme="1"/>
        <sz val="11.0"/>
      </rPr>
      <t>A Midsummer Night's Dream,</t>
    </r>
    <r>
      <rPr>
        <rFont val="Arial"/>
        <color theme="1"/>
        <sz val="11.0"/>
      </rPr>
      <t xml:space="preserve"> William Shakespeare tells the story of four young lovers who run away into a magical forest where they encounter mischievous fairies who play tricks on them. The play also includes a group of amateur actors rehearsing a play, which leads to many funny and confusing situations.
Rewrite:
In </t>
    </r>
    <r>
      <rPr>
        <rFont val="Arial"/>
        <i/>
        <color theme="1"/>
        <sz val="11.0"/>
      </rPr>
      <t>A Midsummer Night's Dream</t>
    </r>
    <r>
      <rPr>
        <rFont val="Arial"/>
        <color theme="1"/>
        <sz val="11.0"/>
      </rPr>
      <t xml:space="preserve">, Shakespeare tells of four young lovers and amateur actors who, in a magical forest, encounter mischievous fairies and experience funny, confusing situations.
</t>
    </r>
  </si>
  <si>
    <t>Show and Tell–Falling Action and Resolution: Authors end their stories positively, negatively, ambiguously, or a combination thereof. In the story of the Three Bears, Goldilocks runs away for a happily ever after ending. Walk the students through rewriting the ending in a negative manner, an ambiguous manner, or a combination of the two. Then, have the students rewrite a fairy tale of their choice, repeating the process.</t>
  </si>
  <si>
    <t>Compare Text to Multimedia</t>
  </si>
  <si>
    <r>
      <rPr>
        <rFont val="Arial"/>
        <b/>
        <color theme="1"/>
        <sz val="11.0"/>
      </rPr>
      <t xml:space="preserve">Show and Tell-- Researching Mediums
</t>
    </r>
    <r>
      <rPr>
        <rFont val="Arial"/>
        <color theme="1"/>
        <sz val="11.0"/>
      </rPr>
      <t>Once you have completed the “Compare Text to Multimedia” lesson with the texts provided, ask students to research other forms of multimedia not covered in the lesson. For example, they could research a sample infographic or photograph. After they have found one, ask them to write a brief 1-paragraph reflection about the benefits and detriments of the medium they have chosen. An example to provide would be that photographs are visual, so they can be easily understood, but there is no supporting text which could lead to misconceptions.</t>
    </r>
  </si>
  <si>
    <t>Prepare for the Performance</t>
  </si>
  <si>
    <r>
      <rPr>
        <rFont val="Arial"/>
        <b/>
        <color theme="1"/>
        <sz val="11.0"/>
      </rPr>
      <t>Show and Tell–Researching the part:</t>
    </r>
    <r>
      <rPr>
        <rFont val="Arial"/>
        <color theme="1"/>
        <sz val="11.0"/>
      </rPr>
      <t xml:space="preserve"> After reviewing the direct instruction lesson and once students are aware of their part to perform, have them research the lines and the words to ensure they understand their role and the character's intent. Have them take notes on those nuances.</t>
    </r>
  </si>
  <si>
    <r>
      <rPr>
        <rFont val="Arial"/>
        <b/>
        <color theme="1"/>
        <sz val="11.0"/>
      </rPr>
      <t xml:space="preserve">Show and Tell–Conclusions in Cause/Effect Writing: </t>
    </r>
    <r>
      <rPr>
        <rFont val="Arial"/>
        <color theme="1"/>
        <sz val="11.0"/>
      </rPr>
      <t xml:space="preserve">After reviewing the direct instruction lesson, help students recognize there is no call to action in Cause and Effect.  Therefore, they will need to write either a summarizing conclusion or a central point conclusion.  Take the students through the activity of writing a conclusion.
Summary Style Cause/Effect Concluding Paragraph:
Staying up late causes students to feel tired and unfocused the next day. This exhaustion directly leads to lower grades and difficulty concentrating in class, as their ability to process and retain information is compromised. Maintaining a regular sleep schedule is essential for students to stay alert, perform academically, and fully engage in their learning experiences.
Main Point Style Concluding Paragraph:
Staying up late causes students to feel tired and unfocused the next day, leading to lower grades and difficulty concentrating in class. To avoid these negative consequences, students should prioritize consistent and sufficient sleep to remain attentive and successful in their academic pursuits.
</t>
    </r>
  </si>
  <si>
    <t>Preview Concepts and Skills</t>
  </si>
  <si>
    <r>
      <rPr>
        <rFont val="Arial"/>
        <b/>
        <color theme="1"/>
        <sz val="11.0"/>
      </rPr>
      <t>Show and Tell--Personal Statement Inventories:</t>
    </r>
    <r>
      <rPr>
        <rFont val="Arial"/>
        <color theme="1"/>
        <sz val="11.0"/>
      </rPr>
      <t xml:space="preserve"> Explain the purpose of the personal inventory to each student. This inventory, which includes at least three examples for each category- interests, achievements, goals, motivations, core beliefs, challenges, and failures- will be a reference point when students work on their personal statements. As a teacher, model the activity using your own list to help students understand what they might include under each category.</t>
    </r>
  </si>
  <si>
    <r>
      <rPr>
        <rFont val="Arial"/>
        <b/>
        <color theme="1"/>
        <sz val="11.0"/>
      </rPr>
      <t xml:space="preserve">Show and Tell—Using Flash Forward Techniques with Anecdotes: </t>
    </r>
    <r>
      <rPr>
        <rFont val="Arial"/>
        <color theme="1"/>
        <sz val="11.0"/>
      </rPr>
      <t>Remind students what an anecdote is. Demonstrate the following mini-writing activity: Using your personal inventory list previously created, select one of your interests. Using the technique of flash forward, imagine doing that activity in the future, having become an expert at it. Write an anecdote of that future moment. Have students do the same with their interests. Encourage detailed, rich writing. Ask for volunteers to share their writing.</t>
    </r>
  </si>
  <si>
    <r>
      <rPr>
        <rFont val="Arial"/>
        <b/>
        <color theme="1"/>
        <sz val="11.0"/>
      </rPr>
      <t xml:space="preserve">Show and Tell—Connecting Ideas and Developing Events: </t>
    </r>
    <r>
      <rPr>
        <rFont val="Arial"/>
        <color theme="1"/>
        <sz val="11.0"/>
      </rPr>
      <t>After reviewing both Direct Instruction lessons, help students develop a paragraph that uses setting and character traits to create the tension. Note the development of detailed events while connecting the ideas.  After, give them another example to write on their own: Use the example below to model:
Setting: Two bowls of food
Characters: Two hungry cats
Conflict: Jealousy
Paragraph:
Two bowls of food sat on the kitchen floor, each filled to the brim with delicious, fragrant cat food. The first bowl contained a mix of tender chicken and savory gravy, while the second had a hearty salmon and tuna blend. Two hungry cats, their eyes wide with anticipation, approached the bowls. Whiskers twitching and tails flicking, they hesitated, each eyeing the other's meal with envy. A low growl escaped one cat's throat as both prepared to pounce, not on their own meal but their sibling's, creating a standoff over the coveted dishes.</t>
    </r>
  </si>
  <si>
    <r>
      <rPr>
        <rFont val="Arial"/>
        <b/>
        <color theme="1"/>
        <sz val="11.0"/>
      </rPr>
      <t>Show and Tell—Choosing Details and Creating Suspense:</t>
    </r>
    <r>
      <rPr>
        <rFont val="Arial"/>
        <color theme="1"/>
        <sz val="11.0"/>
      </rPr>
      <t xml:space="preserve"> Display the example paragraph after reviewing both Direct Instruction lessons. Note which details the author uses and why. How does the paragraph build suspense? How does the last sentence create irony, and what type? After, give them another example to write on their own. Use the example below to model:
Paragraph:
Two bowls sat on the kitchen floor, each filled with delicious, fragrant food. The first bowl contained a mix of tender chicken and savory gravy, while the second had a hearty salmon and tuna blend. Two hungry cats, their eyes wide with anticipation, approached the bowls. Whiskers twitching and tails flicking, they hesitated, each eyeing the other's meal with envy. A low growl escaped one cat's throat as both prepared to pounce, not on their own meal but their sibling's, creating a standoff over the coveted dishes. Neither one noticed the two dogs ready to circumvent their path.</t>
    </r>
  </si>
  <si>
    <r>
      <rPr>
        <rFont val="Arial"/>
        <b/>
        <color theme="1"/>
        <sz val="11.0"/>
      </rPr>
      <t xml:space="preserve">Show and Tell—Choosing Words and Images: </t>
    </r>
    <r>
      <rPr>
        <rFont val="Arial"/>
        <color theme="1"/>
        <sz val="11.0"/>
      </rPr>
      <t>After reviewing the Direct Instruction lesson, display the paragraph and ask which words and images the author uses to demonstrate personality traits. Ask students to write a paragraph about their best friend’s personality traits, being very specific about word choice and images. Ask students to share their writing.
Paragraph:
Jessica's vibrant personality lit up every room she entered, her infectious laughter and genuine smile effortlessly drawing people in. Her empathy was unparalleled; she always knew when someone needed a comforting word or a listening ear. Jessica's determination was evident in her tackling challenges head-on, never shying away from hard work. However, her unwavering optimism truly set her apart, a trait that inspired those around her to see the brighter side of any situation, no matter how bleak it seemed.</t>
    </r>
  </si>
  <si>
    <t>Extended Learning: Career Exploration</t>
  </si>
  <si>
    <r>
      <rPr>
        <rFont val="Roboto"/>
        <b/>
        <color theme="1"/>
        <sz val="11.0"/>
      </rPr>
      <t>Show and Tell- Researching for a Well-Rounded Understanding</t>
    </r>
    <r>
      <rPr>
        <rFont val="Roboto"/>
        <color theme="1"/>
        <sz val="11.0"/>
      </rPr>
      <t xml:space="preserve">
After students have completed the “Extend Learning: Career Exploration,” tell students that, while one interview was provided for them, they will now have the opportunity to research others. Ask students to reflect on the list of careers they explored in the previous lesson and conduct research to find other interviews with professionals that are more aligned with their interests. For example, if a student is interested in cooking or baking, they could conduct research to find interviews of famous chefs. Ask students to note any significant differences in the responses of interviewees.</t>
    </r>
  </si>
  <si>
    <r>
      <rPr>
        <rFont val="Arial"/>
        <color theme="1"/>
        <sz val="11.0"/>
      </rPr>
      <t xml:space="preserve">Show and Tell–Researching Your Pitch
Let students know your criteria for selecting their pitch deck topics. It may be helpful to provide students with a prompt for their decks, e.g. </t>
    </r>
    <r>
      <rPr>
        <rFont val="Arial"/>
        <i/>
        <color theme="1"/>
        <sz val="11.0"/>
      </rPr>
      <t xml:space="preserve">What is the best career field for you? </t>
    </r>
    <r>
      <rPr>
        <rFont val="Arial"/>
        <color theme="1"/>
        <sz val="11.0"/>
      </rPr>
      <t xml:space="preserve">or </t>
    </r>
    <r>
      <rPr>
        <rFont val="Arial"/>
        <i/>
        <color theme="1"/>
        <sz val="11.0"/>
      </rPr>
      <t xml:space="preserve">Why should you be hired for your chosen job? </t>
    </r>
    <r>
      <rPr>
        <rFont val="Arial"/>
        <color theme="1"/>
        <sz val="11.0"/>
      </rPr>
      <t xml:space="preserve">Encourage them to search for multiple sources when researching their question or perhaps, set a requirement for the number of sources they need to use. As students accumulate information on their career possibilities, ensure the information is grounded in research, such as education required or job possibilities. </t>
    </r>
  </si>
  <si>
    <t xml:space="preserve">Show and Tell–Fleshing out a Topic
Have students return to their Personal Inventories from the first module. Ask them to identify three areas of interest in which they lose track of time when participating. Encourage students to share one reason why they get “lost in the moment” using rich, detailed imagery. This will jump-start their culminating activity.
 Example: playing video games.
Reason: I get focused while playing video games because the vibrant graphics, exciting sound effects, and challenging levels pull me into another world, making me lose track of time. Additionally, the sense of accomplishment from completing missions or achieving high scores provides a rush of satisfaction, motivating me to keep going. </t>
  </si>
  <si>
    <r>
      <rPr>
        <rFont val="Arial"/>
        <b/>
        <color theme="1"/>
        <sz val="11.0"/>
      </rPr>
      <t>Show and Tell--Types of Narrative Writing:</t>
    </r>
    <r>
      <rPr>
        <rFont val="Arial"/>
        <color theme="1"/>
        <sz val="11.0"/>
      </rPr>
      <t xml:space="preserve"> Introduce students to different types of narrative writing like historical fiction, fantasy, and biography, providing brief descriptions and examples of each. For historical fiction, explain it involves fictional characters and events set in the past. Fantasy includes magic and mythical creatures, while biography shares real people's lives with factual details. After discussing the various types, students can work in groups to choose one. Using a graphic organizer, list key characteristics of the chosen type and brainstorm fictional elements to create conflict. For example, in historical fiction about the American Revolutionary War, they might focus on details like Patriots and British soldiers, describe colonial settings, and create a story about a young Patriot torn between family loyalty and supporting the Revolution.</t>
    </r>
  </si>
  <si>
    <t>Show and Tell--Plot and Its Impact on Theme: Explore how themes are shown through stories using the Frog Prince as an example. Begin by discussing how the theme of transformation is shown in the Frog Prince tale. Then, ask students to discuss alternate themes such as friendship or perseverance. Using the new theme, students will create a new story plot about the frog prince as the main character. They will plan out the beginning, middle, and end of the story to show how the theme develops through the plot. Finally, students will write a paragraph explaining how their chosen theme is shown through the frog's journey and interactions with others.</t>
  </si>
  <si>
    <r>
      <rPr>
        <rFont val="Arial"/>
        <b/>
        <color theme="1"/>
        <sz val="11.0"/>
      </rPr>
      <t>Show and Tell--Compare and Contrast Texts across Genres and Themes:</t>
    </r>
    <r>
      <rPr>
        <rFont val="Arial"/>
        <color theme="1"/>
        <sz val="11.0"/>
      </rPr>
      <t xml:space="preserve"> Provide a list of common themes (e.g., love, courage, friendship, betrayal). Have students select one theme to explore using two genres (e.g., poetry and short story). Using a Venn diagram, students will show how they will develop the theme for each genre. For example, in a short story, they may sketch a quick beginning, middle, and end, while in a poem, they may include figurative language with examples. In the middle of the diagram, students will illustrate how they will create the theme similarly in both genres.</t>
    </r>
  </si>
  <si>
    <r>
      <rPr>
        <rFont val="Arial"/>
        <b/>
        <color theme="1"/>
        <sz val="11.0"/>
      </rPr>
      <t>Show and Tell--How Authors Use Real Events to Create Conflict in Fiction:</t>
    </r>
    <r>
      <rPr>
        <rFont val="Arial"/>
        <color theme="1"/>
        <sz val="11.0"/>
      </rPr>
      <t xml:space="preserve"> Provide a list of significant news stories (e.g., natural disasters, social movements, personal struggles). Have students select one event to explore. Using a T-chart, students will list key details of the real event on one side and fictional elements they can add to create conflict on the other. For example, if the event is a natural disaster, they might add a character's personal struggle to survive. In the middle of the T-chart, students will write a brief summary of how they will blend the real event with fictional conflict.</t>
    </r>
  </si>
  <si>
    <r>
      <rPr>
        <rFont val="Arial"/>
        <b/>
        <color theme="1"/>
        <sz val="11.0"/>
      </rPr>
      <t>Show and Tell--Analyzing Poetic Structure:</t>
    </r>
    <r>
      <rPr>
        <rFont val="Arial"/>
        <color theme="1"/>
        <sz val="11.0"/>
      </rPr>
      <t xml:space="preserve"> Provide a list of historical events or themes (e.g., love, nature, conflict). Have students select one event or theme to explore. Using this event or theme, students will practice writing it in two different poetic forms, focusing on structural elements such as rhythm, meter, and rhyme scheme. For example: “Landing on the Moon”
Rhythm: "The moon landing was a giant leap, Humans touched the stars, forever to keep."
Rhyme: "On the moon they stood, brave and grand, Changing history with their footprint in the sand."
</t>
    </r>
  </si>
  <si>
    <t xml:space="preserve">Show and Tell--Preparing for Socratic Discussion: 
Encourage students to start their research within the unit texts on the "Texts to Analyze and Discuss" page of the student guide. Drawing evidence for the Socratic will also help them select evidence for their portfolio piece. As they complete the "Prepare for Discussion" page, encourage students to reflect on differences in the ways historical events are presented in the fictional representations vs. the non-fiction representations. 
If students struggle to form enough reasons or identify evidence for the discussion, you might allow them to research outside sources for the discussion. </t>
  </si>
  <si>
    <t>Preview Key Concepts and Skills/Direct Instruction</t>
  </si>
  <si>
    <t xml:space="preserve">Show and Tell–Historical Point of View Across Texts: For the culminating activity in this portfolio, students will identify similarities and differences in how two texts present a similar historical event. To help practice the skill, model how a male and a female (or an athlete versus a band member) might recount adventures at a school dance differently.  Highlight both the similarities and the differences. 
</t>
  </si>
  <si>
    <r>
      <rPr>
        <rFont val="Arial"/>
        <b/>
        <color theme="1"/>
        <sz val="11.0"/>
      </rPr>
      <t>Show and Tell-Purpose of Personal Narrative:</t>
    </r>
    <r>
      <rPr>
        <rFont val="Arial"/>
        <color theme="1"/>
        <sz val="11.0"/>
      </rPr>
      <t xml:space="preserve"> Practice writing a personal narrative using the first-person point of view. Explain first-person narrative using "I" and "me." Provide a short third-person narrative about an important issue, like: "Jamie felt nervous about the first day of school. The new environment seemed intimidating, and making new friends was always a challenge. Jamie's heart raced as they walked through the school doors." Have students rewrite it in the first person: "I felt nervous about the first day of school. The new environment seemed intimidating, and making new friends was always a challenge. My heart raced as I walked through the school doors." Discuss how the first-person perspective changes the story's emotional impact.</t>
    </r>
  </si>
  <si>
    <r>
      <rPr>
        <rFont val="Arial"/>
        <b/>
        <color theme="1"/>
        <sz val="11.0"/>
      </rPr>
      <t xml:space="preserve">Show and Tell--Supporting Claims about Literary Texts with Evidence: </t>
    </r>
    <r>
      <rPr>
        <rFont val="Arial"/>
        <color theme="1"/>
        <sz val="11.0"/>
      </rPr>
      <t>Share a sample claim of your own or have students share a few sample claims for the whole group. Give students 1-2 minutes to generate  one example of direct quotation from the text to support the claim or provide an alternate viewpoint or even a challenge for the writer, to assist the writer in thinking through the validity of their claim or evidence. Revise the claim to make it more specific based on the support the group has generated. Repeat this 1-2 times. Then have students continue developing their own claims and evidence in the planning tool.</t>
    </r>
  </si>
  <si>
    <r>
      <rPr>
        <rFont val="Arial"/>
        <b/>
        <color theme="1"/>
        <sz val="11.0"/>
      </rPr>
      <t>Show and Tell--Supporting Claims about Literary Texts with Evidence:</t>
    </r>
    <r>
      <rPr>
        <rFont val="Arial"/>
        <color theme="1"/>
        <sz val="11.0"/>
      </rPr>
      <t xml:space="preserve"> Have students revisit the claim statements they have made and the lessons throughout the module. Model the following questions question protocol. Have I included a phrase in my claim statement that shows that I am writing about the author's beliefs versus my own? Have I included specifics about that a life lesson that could be universally applicable to all humans? Is the claim valid based on the actual examples and evidence taken from my text? As students analyze their claims, have them try adding a because statement to the end of their claims to make it more specific.  </t>
    </r>
  </si>
  <si>
    <r>
      <rPr>
        <rFont val="Arial"/>
        <b/>
        <color theme="1"/>
        <sz val="11.0"/>
      </rPr>
      <t>Show and Tell--Conveying Themes:</t>
    </r>
    <r>
      <rPr>
        <rFont val="Arial"/>
        <color theme="1"/>
        <sz val="11.0"/>
      </rPr>
      <t xml:space="preserve"> Show students examples of universal themes and how an author’s message is conveyed in narrative writing. Afterward, provide two universal themes and have them write an author’s message or lesson learned for each theme. Remind them to consider these ideas when writing their personal narratives.
Examples:
Self Confidence: You cannot hate your way into change.
Self Awareness: Being honest about oneself is the starting place of growth.</t>
    </r>
  </si>
  <si>
    <r>
      <rPr>
        <rFont val="Arial"/>
        <b/>
        <color theme="1"/>
        <sz val="11.0"/>
      </rPr>
      <t>Show and Tell--Writing Arguments:</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opporutinity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</si>
  <si>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thier claim. These reasoning statements help connect the inferences about the meaning of words and phrases back to their claim. After modeling a few examples of how to be sure the evidence is fully explained, have students review the writing prompt and work in pairs to flesh thier notes out more fully.</t>
    </r>
  </si>
  <si>
    <r>
      <rPr>
        <rFont val="Arial"/>
        <b/>
        <color theme="1"/>
        <sz val="11.0"/>
      </rPr>
      <t>Show and Tell--Writing Arguments:</t>
    </r>
    <r>
      <rPr>
        <rFont val="Arial"/>
        <color theme="1"/>
        <sz val="11.0"/>
      </rPr>
      <t xml:space="preserve"> Have students use the </t>
    </r>
    <r>
      <rPr>
        <rFont val="Arial"/>
        <b/>
        <color theme="1"/>
        <sz val="11.0"/>
      </rPr>
      <t xml:space="preserve">Best Practices: Compare Texts </t>
    </r>
    <r>
      <rPr>
        <rFont val="Arial"/>
        <color theme="1"/>
        <sz val="11.0"/>
      </rPr>
      <t>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recieve based on the criteria. Next, look at the most recent draft in the same area and evaluate the differences in how each compares with the previous level of proficiency. Model the process using your own piece or using an anonymyzed version of one or more students' claims as an example.</t>
    </r>
  </si>
  <si>
    <r>
      <rPr>
        <rFont val="Arial"/>
        <b/>
        <color theme="1"/>
        <sz val="11.0"/>
      </rPr>
      <t>Show and Tell--Creating Imagery and Mood:</t>
    </r>
    <r>
      <rPr>
        <rFont val="Arial"/>
        <color theme="1"/>
        <sz val="11.0"/>
      </rPr>
      <t xml:space="preserve"> Imagery and mood bring stories to life, and they require intentional crafting. Start by pairing an imagery type with a mood.  Dark imagery and somber mood would translate: The moonless night enveloped the abandoned house, its shadowy silhouette a silent testament to forgotten sorrows. Have students pair up to create their own pairings and sentences. Example: colorful imagery with a whimsical mood.</t>
    </r>
  </si>
  <si>
    <t>8 (in SG)</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</si>
  <si>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modeling the process with your own question and refining process using the Toolkit.This is a skill that will be useful throughout the course. In this initial attempt, have students explore the biography of any of the authors in the unit begining with a question that was raised for them. Alternatively, have students use the Informational Text topics to spring into additional research. Have them record the topic and research question in the Inquiry-Driven Research organizer and search the Internet and read 2-3 sources that relate to the topic. Have them record their research learnings, so they can refer to it later during their Socratic Discussion. As a final step, ask students to refine thier research question to make it more narrow and record the new question. Then they should do an additional search to answer the question and prepare a summary of their process and findings to share it the Socratic Discussion. They should summarize their findings, cite their sources, and share their more refined question with peers as part of their Socratic Discussion.
</t>
    </r>
  </si>
  <si>
    <t>8 (In SG)</t>
  </si>
  <si>
    <r>
      <rPr>
        <rFont val="Arial"/>
        <b/>
        <color theme="1"/>
        <sz val="11.0"/>
      </rPr>
      <t xml:space="preserve">Show and Tell--Share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</si>
  <si>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t>Map Your Personal Narrative</t>
  </si>
  <si>
    <t>Show and Tell–Hooking Your Audience in a Personal Narrative: Students will write about a memory that changed them.  Have them brainstorm the event with possible hooks: anecdote, fact, or a question that will grab the reader’s attention.  Additionally, they need to identify any characters to introduce.</t>
  </si>
  <si>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answer to this question: Would you be in favor of rolling blackouts if it could reduce energy pollution by a significant percent? yes, never, it depends. In their groups, have them discuss. Then share arguments across groups. As they debrief to show that there are many sides to all policies and good arguments to support multiple sides of the same issue, such as the shared value of a healthy and sustainable planet (Example: teaching people to save enery can be done by government imposed blackouts or by modeling moderate use of energy.)</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</si>
  <si>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 audience cares deeply about their economic opportunites, they might want to hear about how public transportation enabled access to better jobs. Alternatively if they care deeply about preserving an historical site that is blocking the development of a new train line, they might not be so convinced. Based on the audience's values, the issues they care about most, an explicit statistic, an illustrative and powerful story, or a famous quotation can make a great hook. Have students think of a recent debate they had with an adult in their life, where they had to appeal to the adult's values to persuade them. Junkfood, staying at a friend's house, etc.What appeal did they make to tap into the person's values?</t>
    </r>
  </si>
  <si>
    <r>
      <rPr>
        <rFont val="Arial"/>
        <b/>
        <color theme="1"/>
        <sz val="11.0"/>
      </rPr>
      <t xml:space="preserve">Show and Tell--Choosing the Best Evidence: </t>
    </r>
    <r>
      <rPr>
        <rFont val="Arial"/>
        <color theme="1"/>
        <sz val="11.0"/>
      </rPr>
      <t xml:space="preserve">Provide students with these examples.  As a class, discuss the BEST piece of evidence to use for the claim and why. Repeat practice until students have mastered it.
Claim: Pizza is one of the most popular and versatile foods.
1 Pizza can be customized with a wide variety of toppings, allowing people to create their favorite combinations. 2 Pizza is widely available and convenient to order or make at home, making it a go-to choice for meals. 3 Many people enjoy eating pizza, indicating its popularity as a food option.
Claim: Music is essential for personal development and enjoyment.
1 Listening to music has been shown to reduce stress and improve mood, providing emotional relief. 2 Playing a musical instrument can enhance cognitive abilities such as memory and problem-solving skills. 3 Many people listen to music every day, suggesting its widespread appeal and importance in daily life.
</t>
    </r>
  </si>
  <si>
    <r>
      <rPr>
        <rFont val="Arial"/>
        <b/>
        <color theme="1"/>
        <sz val="11.0"/>
      </rPr>
      <t>Show and Tell--Linking Claims and Reasoning:</t>
    </r>
    <r>
      <rPr>
        <rFont val="Arial"/>
        <color theme="1"/>
        <sz val="11.0"/>
      </rPr>
      <t xml:space="preserve">
Discuss this example showing how writers use each type of appeal in arguments. Have students notice how the strongest counterclaim is addressed yet discounted.  Have students pair up and practice with their claims, giving examples of each appeal and counterclaim.
Claim: Music is essential for personal development and enjoyment because it is good for one's health.
Logos Appeal
Studies have shown that learning and playing music enhances cognitive development, improves memory, and increases IQ levels.
Pathos Appeal
Imagine the feeling of playing your favorite song on an instrument, the joy of singing along with friends, or the emotional release of listening to a beautiful melody.
Renowned educators and psychologists, such as Howard Gardner, emphasize the importance of music in personal development.
Counterclaim
Although some might suggest that individuals have diverse interests and strengths and don’t need music to grow, music never hurts anyone, so everyone should include music in their lives.
</t>
    </r>
  </si>
  <si>
    <r>
      <rPr>
        <rFont val="Arial"/>
        <b/>
        <color theme="1"/>
        <sz val="11.0"/>
      </rPr>
      <t>Show and Tell--Writing Appeals and Counterclaims:</t>
    </r>
    <r>
      <rPr>
        <rFont val="Arial"/>
        <color theme="1"/>
        <sz val="11.0"/>
      </rPr>
      <t xml:space="preserve">Discuss this example showing how writers use each type of appeal in arguments. Have students notice how the strongest counterclaim is addressed yet discounted.  Have students pair up and practice with their claims, giving examples of each appeal and counterclaim.
Claim: Music is essential for personal development and enjoyment because it is good for one's health.
Logos Appeal
Studies have shown that learning and playing music enhances cognitive development, improves memory, and increases IQ levels.
Pathos Appeal
Imagine the feeling of playing your favorite song on an instrument, the joy of singing along with friends, or the emotional release of listening to a beautiful melody.
Renowned educators and psychologists, such as Howard Gardner, emphasize the importance of music in personal development.
Counterclaim Although some might suggest that individuals have diverse interests and strengths and don’t need music to grow, music never hurts anyone, so everyone should include music in their lives.
</t>
    </r>
  </si>
  <si>
    <t>Move rationale up on visual sources page and make room for a writing sticker with research</t>
  </si>
  <si>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energy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</si>
  <si>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t>Debate</t>
  </si>
  <si>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</si>
  <si>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t>Preview Key Concepts/Direct Instruction</t>
  </si>
  <si>
    <r>
      <rPr>
        <rFont val="Arial"/>
        <b/>
        <color theme="1"/>
        <sz val="11.0"/>
      </rPr>
      <t xml:space="preserve">Show and Tell–Writing a Conclusion: </t>
    </r>
    <r>
      <rPr>
        <rFont val="Arial"/>
        <color theme="1"/>
        <sz val="11.0"/>
      </rPr>
      <t xml:space="preserve">Students need to understand the structure of conclusions in argumentative writing to complete their portfolio.  They need to have practice on each type of conclusion: a summary, a focus on the main point, or a call to action. Model each type of concluding work by demonstrating how an author would write a conclusion based on the claim, “ People should eat at home more often.”
Summary:
In conclusion, people should eat at home more often for several compelling reasons. First, home-cooked meals are typically healthier and more nutritious. Second, preparing food at home is usually more cost-effective. Additionally, cooking and eating together at home can strengthen family bonds and create meaningful shared experiences. Lastly, reducing the frequency of eating out can minimize the environmental impact.
Call to Action:
In conclusion, people should eat at home more often. Not only are home-cooked meals healthier and more nutritious, but they are also more cost-effective and can strengthen family bonds. I encourage everyone to start planning more meals at home to enjoy these benefits. Try cooking with family members or setting aside a few days a week for homemade dinners. This small change can improve your health, save money, and create lasting memories with your loved ones.
Main Points:
In conclusion, people should eat at home more often. Home-cooked meals are generally healthier and more nutritious, which supports better overall health. Additionally, preparing home food is cost-effective, saving families money. Cooking together also strengthens family bonds and creates valuable shared experiences. Finally, eating at home reduces environmental impact by reducing restaurant waste and packaging. These main points highlight the numerous benefits of dining at home more frequently.
</t>
    </r>
  </si>
  <si>
    <t>None needed</t>
  </si>
  <si>
    <r>
      <rPr>
        <rFont val="Arial"/>
        <b/>
        <color theme="1"/>
        <sz val="11.0"/>
      </rPr>
      <t>Show and Tell-Authors' Choices:</t>
    </r>
    <r>
      <rPr>
        <rFont val="Arial"/>
        <color theme="1"/>
        <sz val="11.0"/>
      </rPr>
      <t xml:space="preserve"> Share with students that the Imagination is a powerful tool that helps fiction writers manipulate reality for their own storytelling purposes. Highlight that one story takes place in a seemingly modern city where everyone can see everyone else's ghosts. To build both literary analysis skills and to learn from the poetic techniques of award-winning authors, students will describe the author's choices and their impact. Demonstrate by sharing the Mark Twain quote, "The difference between the right word and the almost right word is the difference between lightening and a lightening bug." Ask students to share sentences begining with the following stem: "Mark Twain uses the image of ____ to express that _____ is _____ in comparison to _____ which he compares to ____. </t>
    </r>
  </si>
  <si>
    <t>Show and Tell--Describing a Description: Vivid language is the key to great narrative writing. "The Ingredients" is a celebration of both description and of imagination. Preview the story by mentioning that the teens are hungry after a day of swimming and paint vivi pictures for each other of all the foods they would love to eat. Have students take a stab at such description. Model an example: "The orange sprayed just all over my hands as I peeled the strong peel off of the cold clean fruit that burst with flavor."</t>
  </si>
  <si>
    <r>
      <rPr>
        <rFont val="Arial"/>
        <b/>
        <color theme="1"/>
        <sz val="11.0"/>
      </rPr>
      <t>Show and Tell - Dialogue to Advance Character Development</t>
    </r>
    <r>
      <rPr>
        <rFont val="Arial"/>
        <color theme="1"/>
        <sz val="11.0"/>
      </rPr>
      <t xml:space="preserve">
Review dialogue tags with the class and brainstorm a list. As you list dialogue tags, discuss the feelings each tag evokes and how it impacts the reader's understanding of the character speaking the lines. As a class, choose a character from the text and trace their dialogue throughout the text. How does the dialogue help the reader to understand the character? How does the dialogue show character development and change over the course of the text? Finally, ask students to practice writing their own dialogue to show character development between two characters who initially distrust one another. At the end of the short scene, their dialogue should convey to the reader that they are beginning to trust one another. </t>
    </r>
  </si>
  <si>
    <r>
      <rPr>
        <rFont val="Arial"/>
        <b/>
        <color theme="1"/>
        <sz val="11.0"/>
      </rPr>
      <t xml:space="preserve">Show and Tell–Writing Transitions in Narratives: </t>
    </r>
    <r>
      <rPr>
        <rFont val="Arial"/>
        <color theme="1"/>
        <sz val="11.0"/>
      </rPr>
      <t>After reviewing Direct Instruction on Transitions and Linking Words and Phrases model sentence writing, ask students to write original sentences using the transitions that serve the same purpose.
Location: We found the snakes under the bridge.
Time: We will get together afterward to view your photos of them.
Adding information: Additionally, we will put together a collage of the photos.
Clarifying: In other words, let’s complete the project together.</t>
    </r>
  </si>
  <si>
    <r>
      <rPr>
        <rFont val="Arial"/>
        <b/>
        <color theme="1"/>
        <sz val="11.0"/>
      </rPr>
      <t xml:space="preserve">Show and Tell - Point of View
</t>
    </r>
    <r>
      <rPr>
        <rFont val="Arial"/>
        <b val="0"/>
        <i/>
        <color theme="1"/>
        <sz val="11.0"/>
      </rPr>
      <t>Tiger Mending</t>
    </r>
    <r>
      <rPr>
        <rFont val="Arial"/>
        <b val="0"/>
        <color theme="1"/>
        <sz val="11.0"/>
      </rPr>
      <t xml:space="preserve"> by Amiee Bender is a short story told through the narrator's poing of view. With your students, discuss what the reader knows about the narrator, her sister, and the situation. Knowing that it all from the narrator's perspective, discuss how this impacts the reader's understanding. After reading the text, ask students, in pairs, to rewrite three critical paragraphs from the sister's point of view, starting with "It was unlike my sister..." until "ones to instill fear." How does the reading of the short story change from the sister's poing of view? Have partners swap their writing with another partner pair to compare responses. Ask for volunteers to share with the class when finished. </t>
    </r>
  </si>
  <si>
    <r>
      <rPr>
        <rFont val="Arial"/>
        <b/>
        <color theme="1"/>
        <sz val="11.0"/>
      </rPr>
      <t>Show and Tell--Research Traditional Stories:</t>
    </r>
    <r>
      <rPr>
        <rFont val="Arial"/>
        <color theme="1"/>
        <sz val="11.0"/>
      </rPr>
      <t xml:space="preserve">
After guiding students through the Direct Instruction Lesson, explain that, in addition to informational texts informing fiction, fictional texts can also influence other fiction. Brainstorm a list of literary devices, such as series of events, archetypes, and themes from myths and fairy tales. Start with examples like, “In many classical stories, there’s often a wise old woman and a damsel in distress. I also remember that many main characters had to ‘beat the clock’ to gain freedom. What are some other stories involving a race against time?” After brainstorming, explain that students will choose a classical tale and research a modern story with similar elements. Say, “For example, I will focus on the wise old woman in (insert story). Now, I’ll find a more recent story with a similar character.” Ask students to write 1-2 paragraphs showing the similarities between a character, theme, or events from the classical and modern stories they chose using text evidence. Ask volunteers to share their ideas when finished. Remind students to gather salient quotes and to cite their sources.
</t>
    </r>
  </si>
  <si>
    <r>
      <rPr>
        <rFont val="Arial"/>
        <b/>
        <color theme="1"/>
        <sz val="11.0"/>
      </rPr>
      <t xml:space="preserve">Show and Tell-Share Your Research: </t>
    </r>
    <r>
      <rPr>
        <rFont val="Arial"/>
        <b val="0"/>
        <color theme="1"/>
        <sz val="11.0"/>
      </rPr>
      <t>Have students share their analyses of ancient and modern texts based on their own research. As the discussion unfolds, open ask, "What did your research tell you about the nature of the archetypes or typical characters? How might this influence or be a product of our society's values?"</t>
    </r>
  </si>
  <si>
    <r>
      <rPr>
        <rFont val="Arial"/>
        <b/>
        <color theme="1"/>
        <sz val="11.0"/>
      </rPr>
      <t xml:space="preserve">Show and Tell—Narrative Endings: </t>
    </r>
    <r>
      <rPr>
        <rFont val="Arial"/>
        <b val="0"/>
        <color theme="1"/>
        <sz val="11.0"/>
      </rPr>
      <t>Students will be completing their short story in this unit. Review the Direct Instruction lesson Narrative Endings as a class. Then, take the story “The Attack,” which the class read in Module 2. In one sentence, rewrite the ending to have the following:
Implicit ending:
Plot Twist Ending:
Cliff Hangar Ending:
Sad Ending:
Have the students remember these choices as they write their short story endings.</t>
    </r>
    <r>
      <rPr>
        <rFont val="Arial"/>
        <b/>
        <color theme="1"/>
        <sz val="11.0"/>
      </rPr>
      <t xml:space="preserve">
</t>
    </r>
  </si>
  <si>
    <t>Research People this one too</t>
  </si>
  <si>
    <r>
      <rPr>
        <rFont val="Arial"/>
        <b/>
        <color theme="1"/>
        <sz val="11.0"/>
      </rPr>
      <t xml:space="preserve">Show and Tell--Introducing Research Papers: 
</t>
    </r>
    <r>
      <rPr>
        <rFont val="Arial"/>
        <color theme="1"/>
        <sz val="11.0"/>
      </rPr>
      <t xml:space="preserve">Ensure students feel confident in the research skills they have been honing throughout the year: Inquiry, refining questions, evaluating credible sources, summarizing, paraphrasing, quoting, and documenting evidence. Review any skills when necessary. 
Frame the project as an opportunity for them to explore questions they may have surrounding the topic. The challenge lies in narrowing the focus. You may come up with a sample topic as you explicitly guide the class through the expectations for this unit and model how to form a research question and begin researching. For example, if the topic is travel, come up with three possible research questions for that topic as a class. Model searching the question and scanning results for students from your computer. </t>
    </r>
  </si>
  <si>
    <r>
      <rPr>
        <rFont val="Arial"/>
        <b/>
        <color theme="1"/>
        <sz val="11.0"/>
      </rPr>
      <t>Show and Tell: Research Isn't Boring--</t>
    </r>
    <r>
      <rPr>
        <rFont val="Arial"/>
        <b val="0"/>
        <color theme="1"/>
        <sz val="11.0"/>
      </rPr>
      <t>With the development of AI and other technologies, research has never been easier. At the same time, discerning between what is valid and reliable and what is simply not true has been even more challenging. Remind students that generative AI is capable of synthesizing a lot of information quickly and providing a great deal of information in a digestible format quickly, but one should ask the source for citations for the information provided and the source cite should also be reviewed.</t>
    </r>
  </si>
  <si>
    <r>
      <rPr>
        <rFont val="Arial"/>
        <b/>
        <color theme="1"/>
        <sz val="11.0"/>
      </rPr>
      <t>Show and Tell--Text Structure:</t>
    </r>
    <r>
      <rPr>
        <rFont val="Arial"/>
        <color theme="1"/>
        <sz val="11.0"/>
      </rPr>
      <t xml:space="preserve"> After reviewing text structures with students, provide a list of possible topics and ask the students to identify the best structure for the writing. Demonstrate the example. Topic: Write an informative paragraph to your parents explaining why you want to switch from one extracurricular activity to another. Best structure types for this topic: Compare/Contrast, Question/Answer. Then, have students do the same with the other topics. Have students present their ideas, arguing their reasoning for making that selection.</t>
    </r>
  </si>
  <si>
    <r>
      <rPr>
        <rFont val="Arial"/>
        <b/>
        <color theme="1"/>
        <sz val="11.0"/>
      </rPr>
      <t>Show and Tell--Author Point of View and Purpose:</t>
    </r>
    <r>
      <rPr>
        <rFont val="Arial"/>
        <color theme="1"/>
        <sz val="11.0"/>
      </rPr>
      <t xml:space="preserve"> As a class, discuss how a paragraph about cell phone use differs from a parent’s versus a teacher’s perspective. The key here is to help students understand how a different point of view affects purpose and structure.  Help students identify both as you work through the process.  Then, give students a topic and pair them up to write through the same process. Discuss the examples students create as a class.
Point of View Parent: 
Explain: need to get ahold of students (persuasive)
Compare/Contrast: cell phone cost versus computer cost (persuasive).          (Cause/Effect: Having a cell phone keeps peer pressure down (neutral)
Point of View Teacher : 
Explain: cell phone's various uses in class (neutral)
Compare/Contrast: cell phone availability versus computer availability (neutral)
Cause/Effect: cell phones cause distractions (persuasive)</t>
    </r>
  </si>
  <si>
    <r>
      <rPr>
        <rFont val="Arial"/>
        <b/>
        <color theme="1"/>
        <sz val="11.0"/>
      </rPr>
      <t xml:space="preserve">Show and Tell--Paraphrase, Summarize, and Quote: </t>
    </r>
    <r>
      <rPr>
        <rFont val="Arial"/>
        <color theme="1"/>
        <sz val="11.0"/>
      </rPr>
      <t xml:space="preserve">Review page 6 in the </t>
    </r>
    <r>
      <rPr>
        <rFont val="Arial"/>
        <b/>
        <color theme="1"/>
        <sz val="11.0"/>
      </rPr>
      <t xml:space="preserve">Language and Style Toolkit under Unit Resources. </t>
    </r>
    <r>
      <rPr>
        <rFont val="Arial"/>
        <color theme="1"/>
        <sz val="11.0"/>
      </rPr>
      <t>After reviewing the resource, display the paragraph.  As a class, summarize it, ensuring all good summary techniques have been used.  Then, paraphrase it.  Have the class note the difference between the two skills.  Give the class a second paragraph.  Have pairs in one half of the class summarize it.  Have paired groups in the other half paraphrase it.  Come together to discuss how they differed.  Debrief.
Example paragraph: Chicago's mass transit system, primarily managed by the Chicago Transit Authority (CTA), includes buses and trains that serve millions of residents and visitors. The CTA operates the "L" train system, with eight lines covering the city and some surrounding suburbs. Buses run on extensive routes, providing convenient access to different neighborhoods. The Metra commuter rail and Pace suburban bus service further enhance connectivity. This network helps reduce traffic congestion, lowers pollution, and provides an affordable transportation option for many people in the Chicago area.</t>
    </r>
  </si>
  <si>
    <r>
      <rPr>
        <rFont val="Roboto"/>
        <b/>
        <color theme="1"/>
        <sz val="11.0"/>
      </rPr>
      <t xml:space="preserve">Show and Tell– Fact and Opinion 
</t>
    </r>
    <r>
      <rPr>
        <rFont val="Roboto"/>
        <color theme="1"/>
        <sz val="11.0"/>
      </rPr>
      <t>Once students show their understanding of additional texts, it’s time for them to try researching on their own. Explain to students that some sources have been provided for them, but they will need to find one more source to complement the information from the others. Ask them how they can determine if the information is fact-based or opinion. Then, give them the opportunity to find an additional source that presents facts rather than opinions. Based on teacher discretion, students could have the option to write a paragraph using text evidence to explain how they know the text they chose is fact-based.</t>
    </r>
  </si>
  <si>
    <t>Plan your Research- Step 2</t>
  </si>
  <si>
    <r>
      <rPr>
        <rFont val="Arial"/>
        <b/>
        <color theme="1"/>
        <sz val="11.0"/>
      </rPr>
      <t>Show and Tell-- Researching for Fact-based Information</t>
    </r>
    <r>
      <rPr>
        <rFont val="Arial"/>
        <color theme="1"/>
        <sz val="11.0"/>
      </rPr>
      <t xml:space="preserve">
While guiding students through research, remind students that sources containing facts will be more effective in supporting their ideas. As a class, recall key terms that may indicate something is a fact rather than opinion.</t>
    </r>
  </si>
  <si>
    <r>
      <rPr>
        <rFont val="Arial"/>
        <b/>
        <color theme="1"/>
        <sz val="11.0"/>
      </rPr>
      <t>Show and Tell--Purpose of Cause and Effect Informative-Writing:</t>
    </r>
    <r>
      <rPr>
        <rFont val="Arial"/>
        <color theme="1"/>
        <sz val="11.0"/>
      </rPr>
      <t xml:space="preserve"> Start by reviewing cause and effect. Provide a list of topics (e.g., technological advancements, environmental changes, historical events) and have students select one. Using a cause and effect graphic organizer, students list key details of the topic (cause) and their effects. Then, expand on these effects by describing how they could impact characters, conflicts, themes, and settings. Finally, students will complete a Quick Journal that incorporates the cause and its effects, showing the relationships between different story elements.</t>
    </r>
  </si>
  <si>
    <r>
      <rPr>
        <rFont val="Arial"/>
        <b/>
        <color theme="1"/>
        <sz val="11.0"/>
      </rPr>
      <t>Show and Tell-Understanding the Importance of Setting in a Drama:</t>
    </r>
    <r>
      <rPr>
        <rFont val="Arial"/>
        <color theme="1"/>
        <sz val="11.0"/>
      </rPr>
      <t xml:space="preserve"> Help students understand the importance of setting by discussing the difference between utopian and dystopian societies. Focus on dystopian society. Begin by discussing how settings like dystopian societies influence plot events, characters' behaviors, and themes in stories like The Hunger Games. Students will then create a specific scene for a dystopian drama, identifying key elements such as government control or restricted freedoms. They will discuss and write about how these elements may impact the story's development, characters' decisions, and the exploration of themes like survival, social identity, and freedom.</t>
    </r>
  </si>
  <si>
    <r>
      <rPr>
        <rFont val="Arial"/>
        <b/>
        <color theme="1"/>
        <sz val="11.0"/>
      </rPr>
      <t xml:space="preserve">Show and Tell--5Ws: </t>
    </r>
    <r>
      <rPr>
        <rFont val="Arial"/>
        <color theme="1"/>
        <sz val="11.0"/>
      </rPr>
      <t>Your role in guiding students through the topic development process is crucial. This process, which involves answering the five W questions (Who, What, Where, When, Why) with various details, including facts, examples, definitions, and quotations, is a crucial step in their journey to becoming proficient essay writers. Once they have mastered this process, you can guide them in connecting it to their writing of informative essays, helping them find the details in a text to use as support. Flesh out the idea of “Legacy” in the context of cause/effect relationships and prepare them to write this Unit’s Cause and Effect essay.</t>
    </r>
  </si>
  <si>
    <r>
      <rPr>
        <rFont val="Arial"/>
        <b/>
        <color theme="1"/>
        <sz val="11.0"/>
      </rPr>
      <t>Show and Tell--Cause and Effect Transition Words:</t>
    </r>
    <r>
      <rPr>
        <rFont val="Arial"/>
        <color theme="1"/>
        <sz val="11.0"/>
      </rPr>
      <t xml:space="preserve"> After reviewing Transition Words in Informational Text, discuss transition words that show cause and transition words that show effect with the class. Remind students that the culminating essay for this unit will be a cause/effect essay, where using these words will help their writing.
Showing Cause Transitions: Since; For; As; Because (of the fact that)
Showing Effect Transitions: Consequently; Therefore; Thus; Accordingly; Because (of this) 
Use this example from the play.
“Every night she twists and turns. I don’t sleep. I spend half my night shushing her. And now it’s nightmares.”
 A cause/effect relationship exists, but the author chose not to use any. Discuss why not.  Now, demonstrate adding transitions.  Discuss the difference.
Have students craft one sentence using the author’s model without transitions and then rewrite it with transitions.  Have students discuss the strengths of each.</t>
    </r>
  </si>
  <si>
    <r>
      <rPr>
        <rFont val="Arial"/>
        <b/>
        <color theme="1"/>
        <sz val="11.0"/>
      </rPr>
      <t>Show and Tell--Word Precision:</t>
    </r>
    <r>
      <rPr>
        <rFont val="Arial"/>
        <color theme="1"/>
        <sz val="11.0"/>
      </rPr>
      <t xml:space="preserve"> Remind students in order to become better writers, they must practice the craft.  Part of practice means crafting the most straightforward sentences using precise language without wordiness.  As a warm-up, display the example and demonstrate (rewrite) how to clarify sentences.  Give themothers to do on their own.  
Example:
Anne Frank was a young Jewish girl who went into hiding during World War II to escape the Nazis. She kept a detailed diary of her experiences, thoughts, and feelings while she was in hiding. Her diary was published after the war and has become one of the most famous and poignant accounts of the Holocaust.
Rewrite:
Anne Frank, a young Jewish girl who went into hiding during World War II to escape the Nazis, kept a detailed diary of her experiences, thoughts, and feelings, which was published after the war and has become one of the most famous and poignant accounts of the Holocaust.
</t>
    </r>
  </si>
  <si>
    <t>After Writing Sample</t>
  </si>
  <si>
    <r>
      <rPr>
        <rFont val="Arial"/>
        <b/>
        <color theme="1"/>
        <sz val="11.0"/>
      </rPr>
      <t xml:space="preserve">Show and Tell– Researching Themes
</t>
    </r>
    <r>
      <rPr>
        <rFont val="Arial"/>
        <color theme="1"/>
        <sz val="11.0"/>
      </rPr>
      <t>After completing the writing sample, ask students to conduct some brief research about other texts, videos, or songs that include similar themes to The Diary of Anne Frank. Engage students in a thoughtful discussion around their research. Some starter questions to consider may be: Are the two texts regarding similar topics? Or do they focus on different topics but result in the same message?</t>
    </r>
  </si>
  <si>
    <t>Compare Text to MultiMedia</t>
  </si>
  <si>
    <r>
      <rPr>
        <rFont val="Arial"/>
        <b/>
        <color theme="1"/>
        <sz val="11.0"/>
      </rPr>
      <t>Show and Tell--Comparing and Contrasting Mediums:</t>
    </r>
    <r>
      <rPr>
        <rFont val="Arial"/>
        <color theme="1"/>
        <sz val="11.0"/>
      </rPr>
      <t xml:space="preserve"> In this module, students heard “Anne’s Voice” at the live play's closing versus reading the play's words.  Brainstorm with the class the students’ reflections on their reactions to how different the two mediums made them feel.  Note the similarities and the differences.  Ask students to write one sentence that sums up those feelings.
</t>
    </r>
  </si>
  <si>
    <r>
      <rPr>
        <rFont val="Arial"/>
        <b/>
        <color theme="1"/>
        <sz val="11.0"/>
      </rPr>
      <t xml:space="preserve">Show and Tell–Researching the part: </t>
    </r>
    <r>
      <rPr>
        <rFont val="Arial"/>
        <color theme="1"/>
        <sz val="11.0"/>
      </rPr>
      <t>After reviewing the direct instruction lesson and once students are aware of their part to perform, have them research the lines and the words to ensure they understand their role and the character's intent. Have them take notes on those nuances.</t>
    </r>
  </si>
  <si>
    <r>
      <rPr>
        <rFont val="Arial"/>
        <b/>
        <color theme="1"/>
        <sz val="11.0"/>
      </rPr>
      <t>Show and Tell--Conclusions in Informational Texts:</t>
    </r>
    <r>
      <rPr>
        <rFont val="Arial"/>
        <color theme="1"/>
        <sz val="11.0"/>
      </rPr>
      <t xml:space="preserve"> When students write their portfolio, they will write a conclusion based on the legacy of Anne Frank’s words.  Although there are many ways to construct a conclusion, have the students practice writing a “call to action” conclusion, making a statement about humanity.  Brainstorm with the class what types of sentences will be appropriate for sentence starters for this final activity.
</t>
    </r>
  </si>
  <si>
    <r>
      <rPr>
        <rFont val="Arial"/>
        <b/>
        <color theme="1"/>
        <sz val="11.0"/>
      </rPr>
      <t>Show and Tell--Personal Statement Inventories:</t>
    </r>
    <r>
      <rPr>
        <rFont val="Arial"/>
        <color theme="1"/>
        <sz val="11.0"/>
      </rPr>
      <t xml:space="preserve"> Explain the purpose of the personal inventory to each student. This inventory, which includes at least three examples for each category- interests, achievements, goals, motivations, core beliefs, challenges, and failures- will be a reference point when students work on their personal statements. As a teacher, model the activity using your own list to help students understand what they might include under each category.</t>
    </r>
  </si>
  <si>
    <r>
      <rPr>
        <rFont val="Arial"/>
        <b/>
        <color theme="1"/>
        <sz val="11.0"/>
      </rPr>
      <t>Show and Tell—Using Flash Forward Techniques with Anecdotes:</t>
    </r>
    <r>
      <rPr>
        <rFont val="Arial"/>
        <color theme="1"/>
        <sz val="11.0"/>
      </rPr>
      <t xml:space="preserve"> Remind students what an anecdote is. Demonstrate the following mini-writing activity: Using your personal inventory list previously created, select one of your current challenges. Using the flash-forward technique, imagine your life in the future, having overcome the challenge. Write an anecdote of that future moment. Have students do the same with their interests. Encourage detailed, rich writing. Ask for volunteers to share their writing.</t>
    </r>
  </si>
  <si>
    <r>
      <rPr>
        <rFont val="Arial"/>
        <b/>
        <color theme="1"/>
        <sz val="11.0"/>
      </rPr>
      <t xml:space="preserve">Show and Tell—Choosing Details Developing Events: </t>
    </r>
    <r>
      <rPr>
        <rFont val="Arial"/>
        <color theme="1"/>
        <sz val="11.0"/>
      </rPr>
      <t>After reviewing both Direct Instruction lessons, help students develop a paragraph that uses setting and character traits to create tension. Note which details the author used and why.  After, give them another example to write on their own. Use the example below to model:
Setting: A unit test
Characters: An unprepared student
Conflict: Internal
Paragraph:
The classroom was silent, save for the faint rustle of papers and the steady ticking of the clock. Desks were arranged in neat rows; each topped with a crisp, white final unit test and a sharpened pencil. The fluorescent lights cast a harsh glare on the printed questions. In the middle of the room sat Alex, an unprepared student, beads of sweat forming on his forehead. His eyes darted anxiously from one question to the next, unable to focus as panic set in. The conflict within him grew as the weight of the looming deadline clashed with his unpreparedness, creating a palpable tension in the air.</t>
    </r>
  </si>
  <si>
    <t>DIrect Instruction</t>
  </si>
  <si>
    <r>
      <rPr>
        <rFont val="Arial"/>
        <b/>
        <color theme="1"/>
        <sz val="11.0"/>
      </rPr>
      <t xml:space="preserve">Show and Tell—Choosing Details and Creating Suspense: </t>
    </r>
    <r>
      <rPr>
        <rFont val="Arial"/>
        <color theme="1"/>
        <sz val="11.0"/>
      </rPr>
      <t xml:space="preserve">Display the example paragraph after reviewing both Direct Instruction lessons. Note which words the author uses and why. How does the paragraph build suspense? How does the last sentence create irony, and what type? After, give them another example to write on their own. Use the example below to model:
Paragraph:
The classroom was silent, save for the faint rustle of papers and the steady ticking of the clock. Desks were arranged in neat rows; each topped with a crisp, white final unit test and a sharpened pencil. The fluorescent lights cast a harsh glare on the printed questions. In the middle of the room sat Alex, an unprepared student, beads of sweat forming on his forehead. His eyes darted anxiously from one question to the next, unable to focus as panic set in. The conflict within him grew as the weight of the looming deadline clashed with his unpreparedness, creating a palpable tension in the air. And then, as if mocking his turmoil, the first question on the test was on a topic Alex had confidently bragged he didn't need to study.
</t>
    </r>
  </si>
  <si>
    <r>
      <rPr>
        <rFont val="Arial"/>
        <b/>
        <color theme="1"/>
        <sz val="11.0"/>
      </rPr>
      <t xml:space="preserve">Show and Tell--Making Connections: </t>
    </r>
    <r>
      <rPr>
        <rFont val="Arial"/>
        <color theme="1"/>
        <sz val="11.0"/>
      </rPr>
      <t xml:space="preserve">Authors use several ways to help explain ideas.  Discuss how “shyness” can be demonstrated by explanation, anecdote, and analogy.  Then, have students use another character trait and write, using the model as a guide:
Example of a student being shy:
Hannah sat at the back of the classroom, avoiding eye contact and barely speaking above a whisper when called upon.
Analogy about shyness:
Shyness is like a thick fog that obscures the vibrant colors of a sunrise, hiding the beauty within.
Anecdote about being shy:
In elementary school, Maurice once hid behind his mother at a birthday party, too shy to join the other kids in singing "Happy Birthday."
</t>
    </r>
  </si>
  <si>
    <t>After College Intro Search</t>
  </si>
  <si>
    <r>
      <rPr>
        <rFont val="Roboto"/>
        <b/>
        <color theme="1"/>
        <sz val="11.0"/>
      </rPr>
      <t xml:space="preserve">Show and Tell-- Research to Broaden Perspective
</t>
    </r>
    <r>
      <rPr>
        <rFont val="Roboto"/>
        <color theme="1"/>
        <sz val="11.0"/>
      </rPr>
      <t>Upon completion of their college intro search, ask students to conduct additional research about alternatives to traditional schooling, such as vocations. Explain to them that there are career paths that emphasize hands-on learning through apprenticeships and offer opportunities to earn certifications and licenses, rather than following a traditional academic route. Once they have gathered information, ask students to share their findings and engage in a discussion about the pros and cons of vocations versus college. Remind them to stay rooted in their research and use facts to support their ideas.</t>
    </r>
  </si>
  <si>
    <t>After Reflect on the Pitch Deck</t>
  </si>
  <si>
    <r>
      <rPr>
        <rFont val="Arial"/>
        <b/>
        <color theme="1"/>
        <sz val="11.0"/>
      </rPr>
      <t xml:space="preserve">Show and Tell-- Research to Extend Learning
</t>
    </r>
    <r>
      <rPr>
        <rFont val="Arial"/>
        <color theme="1"/>
        <sz val="11.0"/>
      </rPr>
      <t>After students complete their pitch decks, ask them to conduct additional research in order to evaluate the effectiveness of quantitative data. Ask students a variety of questions to prompt discussion or arrange them into small groups to discuss. What is it? What are the benefits to this type of data? What are the drawbacks? When is quantitative data the most useful? Remind students to refer back to their research to effectively support their ideas.</t>
    </r>
  </si>
  <si>
    <r>
      <rPr>
        <rFont val="Arial"/>
        <b/>
        <color theme="1"/>
        <sz val="11.0"/>
      </rPr>
      <t xml:space="preserve">Show and Tell: Introducing a Personal Statement: </t>
    </r>
    <r>
      <rPr>
        <rFont val="Arial"/>
        <color theme="1"/>
        <sz val="11.0"/>
      </rPr>
      <t xml:space="preserve">There are several ways to introduce a Personal Statement. Help students practice hooks as a class, using the example as a model. Then, before writing the Personal Statement, have students revisit their Personal Inventory, choose an educational challenge they have overcome, and repeat this activity.
Ask: Where would I be if I never faced that challenge?
Anecdote: The day I faced the challenge head-on was when I knew I could succeed.
Analogy: Challenges are like mountains; they may seem intimidating and difficult to climb at first, but reaching the top gives you a sense of accomplishment and a better view of the world.
</t>
    </r>
  </si>
  <si>
    <r>
      <rPr>
        <rFont val="Arial"/>
        <b/>
        <color theme="1"/>
        <sz val="11.0"/>
      </rPr>
      <t>Show and Tell-Types of Narrative Writing:</t>
    </r>
    <r>
      <rPr>
        <rFont val="Arial"/>
        <color theme="1"/>
        <sz val="11.0"/>
      </rPr>
      <t xml:space="preserve"> Guide students through exploring different types of narratives like science fiction (stories set in futuristic or speculative settings), mystery (stories involving puzzles or crime solving), and adventure (stories with exciting journeys or quests). Discuss how these stories are structured and the techniques authors use to create them (such as suspenseful plot twists, intriguing characters, and thematic exploration). Ask students to choose one type and create a detailed plan, creating a narrative arc, developing characters (like creating personalities and relationships), and exploring themes (such as important ideas or messages). Encourage them to think about how these techniques shape the story's impact and to explain the main ideas. For example, in a science fiction story set on a distant planet, challenge students to explore ethical dilemmas or futuristic societal issues</t>
    </r>
  </si>
  <si>
    <r>
      <rPr>
        <rFont val="Arial"/>
        <b/>
        <color theme="1"/>
        <sz val="11.0"/>
      </rPr>
      <t>Show and Tell–Analyzing Traditional Tales: Fairy Tales:</t>
    </r>
    <r>
      <rPr>
        <rFont val="Arial"/>
        <color theme="1"/>
        <sz val="11.0"/>
      </rPr>
      <t xml:space="preserve"> Guide students through analyzing traditional fairy tales by identifying common elements such as heroes, villains, sidekicks, obstacles, magic, and the theme of good vs. evil. Start by selecting a well-known fairy tale, such as "Cinderella" or "Beauty and the Beast." Discuss the key elements of the chosen tale. Then, using a graphic organizer, have students brainstorm how they could modernize the story or create a fractured version by altering characters, settings, or plot points to reflect contemporary times. For example, students might turn "Cinderella" into a story set in a modern city with technology-based obstacles.</t>
    </r>
  </si>
  <si>
    <t>Jackie</t>
  </si>
  <si>
    <r>
      <rPr>
        <rFont val="Arial"/>
        <b/>
        <color theme="1"/>
        <sz val="11.0"/>
      </rPr>
      <t xml:space="preserve">Show and Tell - Plot and Its Impact on Theme
</t>
    </r>
    <r>
      <rPr>
        <rFont val="Arial"/>
        <color theme="1"/>
        <sz val="11.0"/>
      </rPr>
      <t xml:space="preserve">Plot is critical to advancing the theme and allowing the reader to uncover the underlying message from the author. After reading </t>
    </r>
    <r>
      <rPr>
        <rFont val="Arial"/>
        <i/>
        <color theme="1"/>
        <sz val="11.0"/>
      </rPr>
      <t>Bee-Man</t>
    </r>
    <r>
      <rPr>
        <rFont val="Arial"/>
        <color theme="1"/>
        <sz val="11.0"/>
      </rPr>
      <t xml:space="preserve"> by Alice Moore Dunbar-Nelson ask students to map the plot across the narrative arc (this can be hand drawn, digitally drawn, or simply listed with the plot stages). Remind students that the plot stages are: exposition, rising action, climax, falling action, and resolution. Once students have mapped the narrative arc, determine the themes in the text. Then, as a class, identify the moments of the plot when the theme becomes clearer. At what point does the reader understand the message the author is trying to convey? There may be one moment in particular, and there may be a series of moments across the narrative, which is important to teach students. </t>
    </r>
  </si>
  <si>
    <r>
      <rPr>
        <rFont val="Arial"/>
        <b/>
        <color theme="1"/>
        <sz val="11.0"/>
      </rPr>
      <t xml:space="preserve">Show and Tell--Compare and Contrast Texts across Genres and Themes
</t>
    </r>
    <r>
      <rPr>
        <rFont val="Arial"/>
        <color theme="1"/>
        <sz val="11.0"/>
      </rPr>
      <t>Provide a list of common themes (e.g., love, courage, friendship, betrayal). Have students select one theme to explore using two genres (e.g., poetry and short story). Using a Venn diagram, students will show how they will develop the theme for each genre. For example, in a short story, they may sketch a quick beginning, middle, and end, while in a poem, they may include figurative language with examples. In the middle of the diagram, students will illustrate how they will create the theme similarly in both genres.</t>
    </r>
  </si>
  <si>
    <r>
      <rPr>
        <rFont val="Arial"/>
        <b/>
        <color theme="1"/>
        <sz val="11.0"/>
      </rPr>
      <t xml:space="preserve">Show and Tell - Symbolism
</t>
    </r>
    <r>
      <rPr>
        <rFont val="Arial"/>
        <b val="0"/>
        <color theme="1"/>
        <sz val="11.0"/>
      </rPr>
      <t xml:space="preserve">Expand students' knowledge of symbolism by explicitly sharing the definition of symbolism and then making a class list of common symbols that represent every day ideas / themes (e.g., love, courage, friendship, betrayal). Then, ask students to choose a character from one of the texts in the unit so far or a theme from one of the text so far, and choose 5-6 symbols that represent the character or theme. They could make a collage (digitial or on paper) or simply write a list or illustrate the symbols.  Students can work in pairs or independently. Ask for volunteers to share. For those who chose the same theme or character, compare symbols chosen. Are they similar or different? Why might that be? </t>
    </r>
  </si>
  <si>
    <t>After Quick Journal</t>
  </si>
  <si>
    <r>
      <rPr>
        <rFont val="Arial"/>
        <b/>
        <color theme="1"/>
        <sz val="11.0"/>
      </rPr>
      <t xml:space="preserve">Show and Tell-- Researching to Understand Perspective
</t>
    </r>
    <r>
      <rPr>
        <rFont val="Arial"/>
        <b val="0"/>
        <color theme="1"/>
        <sz val="11.0"/>
      </rPr>
      <t xml:space="preserve">Once students are finished with their Quick Journals, arrange them into groups of 3-4. Ask each group to use online tools to research various optical illusions or "Perception Images." Tell students their task will be to explore resources and choose an optical illusion that initially appears one way, but reveals more after closer examination or reading a description. They should select an optical illusion to challenge the class and engage in a discussion about how perceptions changed once they knew the alternative image or concept.
</t>
    </r>
  </si>
  <si>
    <r>
      <rPr>
        <rFont val="Arial"/>
        <b/>
        <color theme="1"/>
        <sz val="11.0"/>
      </rPr>
      <t xml:space="preserve">Show and Tell--Preparing for Socratic Discussion: </t>
    </r>
    <r>
      <rPr>
        <rFont val="Arial"/>
        <color theme="1"/>
        <sz val="11.0"/>
      </rPr>
      <t xml:space="preserve">
Encourage students to start their research within the unit texts on the "Texts to Analyze and Discuss" page of the student guide. Drawing evidence for the Socratic will also help them select evidence for their portfolio piece. As they complete the "Prepare for Discussion" page, practice determining which sources might contain relevant information and which to rule out. Remind them to pull evidence from multiple sources to support their discussion claim. If students struggle to form enough reasons or identify evidence for the discussion, you might allow them to research outside sources for the discussion. </t>
    </r>
  </si>
  <si>
    <r>
      <rPr>
        <rFont val="Arial"/>
        <b/>
        <color theme="1"/>
        <sz val="11.0"/>
      </rPr>
      <t xml:space="preserve">Show and Tell–Allegory: </t>
    </r>
    <r>
      <rPr>
        <rFont val="Arial"/>
        <color theme="1"/>
        <sz val="11.0"/>
      </rPr>
      <t xml:space="preserve">A modern movie, Inside Out, is an allegory that explores the emotions and feelings of a young girl named Riley. Show a clip on YouTube that introduces the emotions.  Explain how the movie is an allegory, like that of Plato’s The Cave, and how characters represent something else.  Ask students to pair up and find other films, stories, etc, which are allegories.  Discuss as a class. </t>
    </r>
  </si>
  <si>
    <t xml:space="preserve">High School </t>
  </si>
  <si>
    <r>
      <rPr>
        <rFont val="Arial"/>
        <b/>
        <color theme="1"/>
        <sz val="11.0"/>
      </rPr>
      <t xml:space="preserve">Show and Tell–Personal Narrative:  </t>
    </r>
    <r>
      <rPr>
        <rFont val="Arial"/>
        <color theme="1"/>
        <sz val="11.0"/>
      </rPr>
      <t>Discuss with students the structure of a personal narrative, including how to use descriptive language, dialogue, and reflection to convey a meaningful message or lesson. Students will practice designing elements of a personal narrative. Have students start by choosing a meaningful message or lesson they want to convey, such as perseverance or kindness. Then, students will outline key events or experiences that illustrate this message and think about narrative techniques like vivid descriptions and engaging dialogue. Students will write a brief outline or paragraph that includes their message, key events, and chosen techniques, helping them prepare for writing a longer personal narrative.</t>
    </r>
  </si>
  <si>
    <t>Read</t>
  </si>
  <si>
    <r>
      <rPr>
        <rFont val="Arial"/>
        <b/>
        <color theme="1"/>
        <sz val="11.0"/>
      </rPr>
      <t xml:space="preserve">Show and Tell--Describing Literary Techniques: </t>
    </r>
    <r>
      <rPr>
        <rFont val="Arial"/>
        <b val="0"/>
        <color theme="1"/>
        <sz val="11.0"/>
      </rPr>
      <t>After leading students through the Direct Instruction Lesson (Sentence Structure), and the steps leading up to the reading, share the following statement: "E. B. White, the famous writer and grammarian, varies his sentence patterns in the opening paragraph of his essay..." Then count off into groups of four and have the ones look at the first sentence, the twos look at the second sentence, and so on. Have each group present only the basic subject and predicate with all other the adjective and adverb phrases stripped out. As a bonus, read the paragraph out loud or play the recording and have the class construct a single additional detail to the statement you shared. Ask the class to read the simple version of the paragraph then discuss the differences between the two versions. What more do we know about the narrator and his family as a result of these descriptive phrases? Which types of phrases does he use most? Adjective phrases, adverb phrases, appositives, prepositional phrases?</t>
    </r>
  </si>
  <si>
    <r>
      <rPr>
        <rFont val="Arial"/>
        <b/>
        <color theme="1"/>
        <sz val="11.0"/>
      </rPr>
      <t>Show and Tell--Making Claims:</t>
    </r>
    <r>
      <rPr>
        <rFont val="Arial"/>
        <color theme="1"/>
        <sz val="11.0"/>
      </rPr>
      <t xml:space="preserve"> Ask students to create claim statements based on the prompt. Have 2-3 students offer to workshop their claims. Have students record the prompt separately on a piece of paper. Then have them circle the main question they must answer, draw a box around the specific aspects of the main question they must address, breaking the question down into as many parts as necessary. In pairs, have students list all the questions or tasks outlined in the prompt then review them as a class. Model the checklist with several of the claims. Then have students revise their claims and continue to develop.</t>
    </r>
  </si>
  <si>
    <r>
      <rPr>
        <rFont val="Arial"/>
        <b/>
        <color theme="1"/>
        <sz val="11.0"/>
      </rPr>
      <t>Show and Tell--Citing Evidence About Author's Choices:</t>
    </r>
    <r>
      <rPr>
        <rFont val="Arial"/>
        <color theme="1"/>
        <sz val="11.0"/>
      </rPr>
      <t xml:space="preserve"> Have students review the evidence they selected to support their claims. Have 2-3 students share their claim and a direct quotation to support it. Model 3 ways to integrate the claim effectively. [Sample: White [describes, suggests, illustrates, implies, etc. when he uses the [word, phrase, image, etc.] to show readers...] Have students look at their integration of evidence and play around with the verbs they might use to introduce the quotation. Also model and have them play with the variation of starting with the quotation versus starting with the introductory stem. Have students complete revisions on their quote integration with attention to using the introductory stems to convey their interpretations versus the generic, "the text states."</t>
    </r>
  </si>
  <si>
    <r>
      <rPr>
        <rFont val="Arial"/>
        <b/>
        <color theme="1"/>
        <sz val="11.0"/>
      </rPr>
      <t>Show and Tell--Creating Imagery and Mood</t>
    </r>
    <r>
      <rPr>
        <rFont val="Arial"/>
        <color theme="1"/>
        <sz val="11.0"/>
      </rPr>
      <t>: Imagery and mood bring stories to life, and they require intentional crafting. Start by pairing an imagery type with a mood. For example, bright imagery and a happy mood can translate into: "Golden sunlight streamed through the vibrant canopy of autumn leaves, casting a warm, cheerful glow on the children laughing and playing in the park." Have students pair up to create their own pairings and sentences. Example: dingy imagery with a somber mood.</t>
    </r>
  </si>
  <si>
    <r>
      <rPr>
        <rFont val="Arial"/>
        <b/>
        <color theme="1"/>
        <sz val="11.0"/>
      </rPr>
      <t>Show and Tell--Writing Arguments:</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opporutinity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</si>
  <si>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thier claim. These reasoning statements help connect the inferences about the meaning of words and phrases back to their claim. After modeling a few examples of how to be sure the evidence is fully explained, have students review the writing prompt and work in pairs to flesh thier notes out more fully.</t>
    </r>
  </si>
  <si>
    <r>
      <rPr>
        <rFont val="Arial"/>
        <b/>
        <color theme="1"/>
        <sz val="11.0"/>
      </rPr>
      <t>Show and Tell--Writing Arguments:</t>
    </r>
    <r>
      <rPr>
        <rFont val="Arial"/>
        <color theme="1"/>
        <sz val="11.0"/>
      </rPr>
      <t xml:space="preserve"> Have students use the </t>
    </r>
    <r>
      <rPr>
        <rFont val="Arial"/>
        <b/>
        <color theme="1"/>
        <sz val="11.0"/>
      </rPr>
      <t xml:space="preserve">Best Practices: Compare Texts </t>
    </r>
    <r>
      <rPr>
        <rFont val="Arial"/>
        <color theme="1"/>
        <sz val="11.0"/>
      </rPr>
      <t>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recieve based on the criteria. Next, look at the most recent draft in the same area and evaluate the differences in how each compares with the previous level of proficiency. Model the process using your own piece or using an anonymyzed version of one or more students' claims as an example.</t>
    </r>
  </si>
  <si>
    <r>
      <rPr>
        <rFont val="Arial"/>
        <b/>
        <color theme="1"/>
        <sz val="11.0"/>
      </rPr>
      <t>Show and Tell--Crafting Author's Message</t>
    </r>
    <r>
      <rPr>
        <rFont val="Arial"/>
        <color theme="1"/>
        <sz val="11.0"/>
      </rPr>
      <t>: Review sentence: As the distant thunder rumbled, the child's tight grip on her blanket revealed a world of unseen fears. Discuss what author’s message can be identified.
Have students pair up and talk about two more model sentences:
In the quiet library, the untouched books gathered dust, each one a reminder of adventures never begun.
The neglected diary, its pages yellowed and brittle, held stories of dreams deferred and hopes abandoned.
Have students craft their own sentences which convey the author’s message.</t>
    </r>
  </si>
  <si>
    <t>9 (In SG)</t>
  </si>
  <si>
    <t>Reading across Genres</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</si>
  <si>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asking the question, "what was happening where I'm from the year I was born?" As students begin research, they should focus on the local community, ideally, but when that is difficult to research they should apply the research to the region or even a national experience. Their goal will be to capture the three top facts about what was happening where they are from. (Major local or national events that made the news, particularities about industries or innovations, and popular culture of the time. By the end of the unit, students should prepare a 3-5 slide presentation about themselves: Name, location, birth year, and top 3 facts.) They should cite sources for their research. Details from their research can also be incorporated into thier own "Where I'm From" poem.
</t>
    </r>
  </si>
  <si>
    <r>
      <rPr>
        <rFont val="Arial"/>
        <b/>
        <color theme="1"/>
        <sz val="11.0"/>
      </rPr>
      <t xml:space="preserve">Show and Tell--Share Research: </t>
    </r>
    <r>
      <rPr>
        <rFont val="Arial"/>
        <color theme="1"/>
        <sz val="11.0"/>
      </rPr>
      <t>As students engage in their Socratic preparation, they should plan to discuss the brief research on their "Where I'm From Research Project." They can incorporate that information and research into a key comment and verbally cite the source before submitting it to a shared folder or they can share it via their original "Where I'm From" poem.</t>
    </r>
  </si>
  <si>
    <r>
      <rPr>
        <rFont val="Arial"/>
        <b/>
        <color theme="1"/>
        <sz val="11.0"/>
      </rPr>
      <t xml:space="preserve">Show and Tell–Narrative Introductions: </t>
    </r>
    <r>
      <rPr>
        <rFont val="Arial"/>
        <color theme="1"/>
        <sz val="11.0"/>
      </rPr>
      <t>Students will be writing their personal narratives in this module.  Their topic is, “Write a personal narrative that illustrates a moment within a specific place and time that impacts who you are becoming.” In order to help them begin, review Narrative Beginnings Direct Instruction and then, with you as a model, show them several techniques to begin the narrative. As a class, have them develop these with rich details that would round out a narrative beginning.  Then, have them start their own narrative beginning, which will answer the portfolio’s question.
Answer the question directly: I am becoming a person others can trust.
Introduce characters: My sister is the one who has helped me develop into the person I am becoming.
Introduce setting: The moment we ran out of gas on the side of the road, I started the journey of becoming the best version of myself.
Introduce the dialogue: “It’s not like you were going to keep that teddy bear forever.” 
Help them note the interest these create, acting as a hook and an introduction.</t>
    </r>
  </si>
  <si>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position on banning social media during school hours: yes, no, yes/no. In their groups, have them briefly discuss their thinking. Then share arguments across groups. As they debrief to show that there are many sides to all policies and good arguments to support multiple sides of the same issue, such as the shared value of healthy use of social media. (Example: teaching kids to use social media healthily can be done by banning it or by modeling and explicitly teaching ways to moderate usage.)</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</si>
  <si>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 audience cares deeply about their online community of friends and supporters, they might want to hear about how social media enables access to a larger community of supporters, friends, and fellow hobbyists. Alternatively if they care deeply about the rising mental health crises being attributed to social media, they might not be so convinced. Based on the audience's values, the issues they care about most, an explicit statistic, an illustrative and powerful story, or a famous quotation can make a great hook. Have students think of a recent debate they had with an adult or friend in their life, where they had to appeal to the other person's values to persuade them. Health issues, car ownership, permission to do something, etc.What appeal did they make to tap into the person's values?</t>
    </r>
  </si>
  <si>
    <r>
      <rPr>
        <rFont val="Arial"/>
        <b/>
        <color theme="1"/>
        <sz val="11.0"/>
      </rPr>
      <t xml:space="preserve">Show and Tell--Choosing the Best Evidence: </t>
    </r>
    <r>
      <rPr>
        <rFont val="Arial"/>
        <color theme="1"/>
        <sz val="11.0"/>
      </rPr>
      <t>Provide students with these examples.  As a class, discuss the BEST piece of evidence to use for the claim and why. Repeat practice until students have mastered it.
Claim: Skateboarding is a beneficial activity for teenagers.
1 Skateboarding improves balance, coordination, and agility, contributing to overall physical fitness. 2 Skateboarding fosters creativity and self-expression through tricks and personal style. 3 Many teenagers enjoy skateboarding, indicating its popularity as a recreational activity.
Claim: Using a GoPro enhances outdoor adventures and captures memorable experiences effectively.
1 GoPro cameras are durable and waterproof, allowing users to capture footage in various weather conditions and environments. 2 The wide-angle lens of a GoPro provides a unique perspective, capturing immersive and dynamic footage. 3 Many outdoor enthusiasts use GoPro cameras, indicating their popularity for adventure activities.</t>
    </r>
  </si>
  <si>
    <r>
      <rPr>
        <rFont val="Arial"/>
        <b/>
        <color theme="1"/>
        <sz val="11.0"/>
      </rPr>
      <t>Show and Tell--Linking Claims and Reasoning:</t>
    </r>
    <r>
      <rPr>
        <rFont val="Arial"/>
        <color theme="1"/>
        <sz val="11.0"/>
      </rPr>
      <t xml:space="preserve"> Using the claims from Module 2, show how the reasoning explains the relationship between the claim and the evidence. Practice the second claim as a class and provide other examples for further practice.
Claim with reason: Skateboarding benefits teenagers because it improves their overall health.
Evidence: Skateboarding improves balance, coordination, and agility, contributing to overall physical fitness. 
Reasoning: Skateboarding activates the entire body, requiring all muscles and brain power to be engaged.
Claim with reason: Using a GoPro enhances outdoor adventures and captures memorable experiences effectively because it can be used in various ways.
Evidence: GoPro cameras are durable and waterproof, allowing users to capture footage in various weather conditions and environments. </t>
    </r>
  </si>
  <si>
    <r>
      <rPr>
        <rFont val="Arial"/>
        <b/>
        <color theme="1"/>
        <sz val="11.0"/>
      </rPr>
      <t xml:space="preserve">Show and Tell--Writing Appeals and Counterclaims: </t>
    </r>
    <r>
      <rPr>
        <rFont val="Arial"/>
        <color theme="1"/>
        <sz val="11.0"/>
      </rPr>
      <t>Discuss this example showing how writers use each type of appeal in arguments. Have students notice how the strongest counterclaim is addressed yet discounted.  Have students pair up and practice with their claims, giving examples of each appeal and counterclaim.
Claim: Skateboarding benefits teenagers
Logos Appeal
Studies indicate that skateboarding improves physical fitness by enhancing balance, coordination, and cardiovascular health.
Pathos Appeal
Imagine the exhilaration a teenager feels when they finally master a difficult trick after weeks of practice. 
Ethos Appeal
The American Academy of Pediatrics acknowledges the physical and mental health benefits of skateboarding, endorsing it as a positive and engaging form of exercise.
Counterclaim
Even though skateboarding poses a significant risk of injury, including fractures, sprains, and concussions, its benefits outweigh any risks.</t>
    </r>
  </si>
  <si>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debates around social media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</si>
  <si>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t>Build knowledge together</t>
  </si>
  <si>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</si>
  <si>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r>
      <rPr>
        <rFont val="Arial"/>
        <b/>
        <color theme="1"/>
        <sz val="11.0"/>
      </rPr>
      <t>Show and Tell–Writing a Conclusion:</t>
    </r>
    <r>
      <rPr>
        <rFont val="Arial"/>
        <color theme="1"/>
        <sz val="11.0"/>
      </rPr>
      <t xml:space="preserve"> Students must understand the structure of conclusions in argumentative writing to complete their portfolio.  They need to have practice on each type of conclusion: a summary, a focus on the main point, or a call to action. Model each type of concluding work by demonstrating how an author would write a conclusion based on the claim, “Parents should monitor their children’s social media.”
Summary Conclusion:
In conclusion, parents should monitor their children's social media to ensure their safety, protect their privacy, and guide them in making responsible online choices. By staying informed about their child's online activities, parents can help prevent exposure to inappropriate content, cyberbullying, and potential online predators. Overall, parental oversight is essential in fostering a secure and positive online environment for children.
Call to Action Conclusion:
Parents should monitor their children's social media accounts to safeguard their well-being and ensure responsible online behavior. They need to be more involved in their children's digital lives by regularly checking their social media accounts, discussing potential dangers, and setting clear guidelines for online use. By taking these proactive steps, parents can create a safer and more positive online environment for their children, helping them navigate the digital world responsibly and securely.
Main Points:
Parents should monitor their child's social media for several vital reasons. First, it helps protect children from harmful content and online predators. Second, it allows parents to guide their children in making responsible choices online. Finally, monitoring social media use can prevent issues like cyberbullying and invasion of privacy. By taking these steps, parents can ensure their child's safety and well-being in the digital world.</t>
    </r>
  </si>
  <si>
    <r>
      <rPr>
        <rFont val="Arial"/>
        <b/>
        <color theme="1"/>
        <sz val="11.0"/>
      </rPr>
      <t>Show and Tell–Types of Narrative:</t>
    </r>
    <r>
      <rPr>
        <rFont val="Arial"/>
        <color theme="1"/>
        <sz val="11.0"/>
      </rPr>
      <t xml:space="preserve"> Begin by discussing the structure of a narrative (introduction, rising action, climax, falling action, conclusion) and review techniques like descriptive language, dialogue, and reflection. Have students choose a type of narrative (short story, drama, etc.) and a difficult decision they or a character might face (e.g., choosing between two friends, standing up for what is right, or making a life-changing move). Encourage them to think about how narrative techniques can make the story impactful, emphasizing the narrator's perspective. Ask students to create a narrative arc that includes the difficult decision, key events leading up to and following the decision, and the narrative techniques they could use to enhance their storytelling. This will help students prepare for their final portfolio piece.</t>
    </r>
  </si>
  <si>
    <r>
      <rPr>
        <rFont val="Arial"/>
        <b/>
        <color theme="1"/>
        <sz val="11.0"/>
      </rPr>
      <t>Show and Tell–Developing Characters in Fiction:</t>
    </r>
    <r>
      <rPr>
        <rFont val="Arial"/>
        <color theme="1"/>
        <sz val="11.0"/>
      </rPr>
      <t xml:space="preserve"> Introduce students to how authors develop characters in fiction, focusing on details that reveal characters' thoughts, feelings, actions, and conflicts. Provide a list of common themes (e.g., love, courage, friendship, betrayal). As a class, choose one theme and select two characters from a story read recently. Using a T-chart, students will work in groups to list each character's actions and how these actions reveal their thoughts and feelings on one side. On the other side, they will explore the conflicts between the characters and their motivations. Individually, students will write a brief paragraph summarizing how these details help develop the characters and enhance the theme.</t>
    </r>
  </si>
  <si>
    <r>
      <rPr>
        <rFont val="Arial"/>
        <b/>
        <color theme="1"/>
        <sz val="11.0"/>
      </rPr>
      <t xml:space="preserve">Show and Tell - Setting
</t>
    </r>
    <r>
      <rPr>
        <rFont val="Arial"/>
        <color theme="1"/>
        <sz val="11.0"/>
      </rPr>
      <t xml:space="preserve">Sarah Orne Jewett is a talented writer, gited at making her reader feel as if they are right there in the setting. She does this through descriptive language. As a class, examing the fourth paragraph of the text and explicitly note how Jewett describes the woods. What descriptive language and vivid language is used? How does that impact the reader's experience and understanding of the text? After examining Jewett's description of setting, ask students, in partners, to create their own setting (one paragraph). Ask them to describe a location close to their homes and to strive to avoid telling the reader exactly the setting they're describing. After each pair has done this, ask for volunteers to share their setting and to have the class guess the location. After the pair shares, discuss as a class what word choices and descriptive language made the students' paragraph effective. </t>
    </r>
  </si>
  <si>
    <r>
      <rPr>
        <rFont val="Arial"/>
        <b/>
        <color theme="1"/>
        <sz val="11.0"/>
      </rPr>
      <t xml:space="preserve">Show and Tell–Transitions and Linking Words in Narrative Writing: </t>
    </r>
    <r>
      <rPr>
        <rFont val="Arial"/>
        <color theme="1"/>
        <sz val="11.0"/>
      </rPr>
      <t>Begin by discussing types of transitions and linking words with students. Using the text "The Paper Menagerie," identify where the author employs transition words and discuss how they enhance readability and understanding. For example, in the passage "She pleated, packed, tucked, rolled, and twisted until the paper disappeared between her cupped hands. Then she lifted the folded-up paper packet to her mouth and blew into it, like a balloon," the transition "Then" supports time sequence, showing the order of actions. Ask students to identify other types of transitions and explain their significance. After modeling, assign groups passages from "The Paper Menagerie" to analyze transitions indicating time sequence, cause and effect, clarification, and conclusion. Each group will rewrite a portion with or without transitions and compare with the original to understand their impact on narrative flow and clarity. For instance, removing the transition “then” might alter the sequence or clarity of events. Groups will present their revised excerpts, discussing how transitions enhance storytelling by guiding readers through the narrative structure. Encourage students to articulate differences between passages with and without transitions, emphasizing their role in improving readability and understanding.</t>
    </r>
  </si>
  <si>
    <r>
      <rPr>
        <rFont val="Arial"/>
        <b/>
        <color theme="1"/>
        <sz val="11.0"/>
      </rPr>
      <t xml:space="preserve">Show and Tell–Irony in Narrative Writing: </t>
    </r>
    <r>
      <rPr>
        <rFont val="Arial"/>
        <color theme="1"/>
        <sz val="11.0"/>
      </rPr>
      <t>Read the excerpt provided from "St. Lucy’s Home for Girls Raised by Wolves" and identify examples of dramatic, situational, and verbal irony using a graphic organizer. As you read, note where characters say something opposite to their true meaning (verbal irony), where outcomes differ from what is expected (situational irony), and where readers know more than the characters (dramatic irony). An example the teacher may share of situational irony is when the nuns, expecting calm and compliance from the girls, instead witness chaotic and destructive behavior immediately upon their arrival at St. Lucy's. Ask students to explain why this is situational irony. Have them find evidence from the text to support their response. Students can then complete the graphic organizer with examples and explanations for types of irony. After completing the organizer, as a class, discuss why each example is ironic and how it contributes to the story's themes and character development.</t>
    </r>
  </si>
  <si>
    <t>Enhance Understanding</t>
  </si>
  <si>
    <r>
      <rPr>
        <rFont val="Arial"/>
        <b/>
        <color theme="1"/>
        <sz val="11.0"/>
      </rPr>
      <t xml:space="preserve">Show and Tell-Researching for Clarification:
</t>
    </r>
    <r>
      <rPr>
        <rFont val="Arial"/>
        <color theme="1"/>
        <sz val="11.0"/>
      </rPr>
      <t>Highlight examples of literary allusion in the unit texts for students (e.g. Zaroff reading Marcus Aurelius or the dog's name, Lazarus, in "The Most Dangerous Game", the reference to the China's Cultural Revolution in "The Paper Menagerie"). Lead students through a brief discussion on why authors might draw from other literary works for their own fictional writing. How can that help or hinder the reader? Ask students to research one or two examples of popular fictional pieces that allude to other literary works (i.e. "Ten Things I Hate About You") and decide whether the allusion supports the overall theme or distracts from. Have students share their results with a partner or as a whole-class.</t>
    </r>
  </si>
  <si>
    <r>
      <rPr>
        <rFont val="Arial"/>
        <b/>
        <color theme="1"/>
        <sz val="11.0"/>
      </rPr>
      <t xml:space="preserve">Show and Tell–Socratic Discussion: </t>
    </r>
    <r>
      <rPr>
        <rFont val="Arial"/>
        <color theme="1"/>
        <sz val="11.0"/>
      </rPr>
      <t>Remind students to integrate examples of fantasy and otherworldly elements when discussing how stories address questions about human behavior and society during Socratic discussions. Encourage them to practice stating, "In [fantasy story], the portrayal of [element] sheds light on [human behavior/societal issue]," or "The use of [fantasy element] in [author's] work challenges us to consider [impact on human behavior/societal norms]." Guide students to actively listen for opportunities to connect these elements to broader themes and issues. Conclude with a reflection on how effectively using fantasy elements enriched their discussions and how they can apply this approach to explore similar themes in different contexts.</t>
    </r>
  </si>
  <si>
    <r>
      <rPr>
        <rFont val="Arial"/>
        <b/>
        <color theme="1"/>
        <sz val="11.0"/>
      </rPr>
      <t>Show and Tell–Using Concrete, Sensory Details in Narrative Writing</t>
    </r>
    <r>
      <rPr>
        <rFont val="Arial"/>
        <color theme="1"/>
        <sz val="11.0"/>
      </rPr>
      <t>: Remind students why concrete and sensory details are essential in narrative writing to make stories more engaging. Review the following excerpt from the student exemplar: “The tree looked to be barely a sapling. The sunlight bounced off the crystal-like water, shining light onto the new, spring flowers dotted around the opening." Discuss how these details create vivid visuals for the reader. Next, students should examine their drafts or outlines, focusing on where they can incorporate specific sensory (sight, sound, touch, taste, smell) and concrete (objects, actions, settings) details into two key scenes. If time permits, pair students for peer feedback on their revisions, discussing how effectively the added details enhance their narratives.</t>
    </r>
  </si>
  <si>
    <r>
      <rPr>
        <rFont val="Arial"/>
        <b/>
        <color theme="1"/>
        <sz val="11.0"/>
      </rPr>
      <t xml:space="preserve">Show and Tell--Introducing Research Papers: 
</t>
    </r>
    <r>
      <rPr>
        <rFont val="Arial"/>
        <color theme="1"/>
        <sz val="11.0"/>
      </rPr>
      <t xml:space="preserve">Ensure students feel confident in the research skills they have been honing throughout the year: Inquiry, refining questions, evaluating credible sources, summarizing, paraphrasing, quoting, and documenting evidence. Review any skills when necessary. 
After students complete </t>
    </r>
    <r>
      <rPr>
        <rFont val="Arial"/>
        <b/>
        <color theme="1"/>
        <sz val="11.0"/>
      </rPr>
      <t>The Purpose of Research Writing</t>
    </r>
    <r>
      <rPr>
        <rFont val="Arial"/>
        <color theme="1"/>
        <sz val="11.0"/>
      </rPr>
      <t>, frame the project as an opportunity for them to explore questions they may have surrounding the topic. The challenge lies in narrowing the focus. You may come up with a sample topic as you explicitly guide the class through the expectations for this unit and model how to form a research question and begin researching. For example, if the topic is travel, come up with three possible research questions for that topic as a class. Model the process for determining which sources are viable by searching the question and scanning results for students from your computer.</t>
    </r>
  </si>
  <si>
    <r>
      <rPr>
        <rFont val="Arial"/>
        <b/>
        <color theme="1"/>
        <sz val="11.0"/>
      </rPr>
      <t>Show and Tell–Determining the Meaning of Words and Phrases:</t>
    </r>
    <r>
      <rPr>
        <rFont val="Arial"/>
        <color theme="1"/>
        <sz val="11.0"/>
      </rPr>
      <t xml:space="preserve"> Begin with a brief explanation of denotation (literal meaning) and connotation (emotional or cultural meaning), using examples like "home" (literal: a place to live; emotional: warmth, family). Then, divide students into small groups and give each group a short passage on sustainability (e.g., solar power). Example passage: "Using solar power can significantly reduce our carbon footprint. While the initial cost may seem high, the long-term benefits for the environment and personal savings are substantial. Solar energy is not just a sustainable choice; it is a revolutionary step towards a cleaner future." Have students highlight words related to sustainability, discuss their denotation and connotation, and identify words with multiple meanings (power, footprint, cost, savings, etc.). As a class, share findings and discuss how connotations influence perception. Provide a list of words with multiple meanings (e.g., "green," "power") and have students write two sentences for each, demonstrating different meanings based on context. Conclude by summarizing the importance of understanding word meanings and their impact on writing.</t>
    </r>
  </si>
  <si>
    <t>Apply Your Learning</t>
  </si>
  <si>
    <r>
      <rPr>
        <rFont val="Arial"/>
        <b/>
        <color theme="1"/>
        <sz val="11.0"/>
      </rPr>
      <t xml:space="preserve">Show and Tell- Researching Cause-and-Effect Structures
</t>
    </r>
    <r>
      <rPr>
        <rFont val="Arial"/>
        <color theme="1"/>
        <sz val="11.0"/>
      </rPr>
      <t>After students have applied their learning, challenge them to conduct research and create their own text triangulation. Have students find two other texts (print or non-print) that use a cause-and-effect structure, and compare the central ideas and reference materials used in each.</t>
    </r>
  </si>
  <si>
    <r>
      <rPr>
        <rFont val="Arial"/>
        <b/>
        <color theme="1"/>
        <sz val="11.0"/>
      </rPr>
      <t xml:space="preserve">Show and Tell- Researching Opposing Arguments: 
</t>
    </r>
    <r>
      <rPr>
        <rFont val="Arial"/>
        <b val="0"/>
        <color theme="1"/>
        <sz val="11.0"/>
      </rPr>
      <t xml:space="preserve">Once students have completed their written responses for the Close Reading &amp; Writing prompt, remind them that it's important for a writer to be versed on both sides of an argument to create a strong claim. Give students time to identify a source that details the cons of lab-grown meat and read the text. Tell students to look for instances of the author using ideas and examples to express their point of view. Once students have found multiple examples, discuss as a whole-class or in pairs the similarities and differences of how point of view is expressed on both sides of an argument. </t>
    </r>
    <r>
      <rPr>
        <rFont val="Arial"/>
        <b/>
        <color theme="1"/>
        <sz val="11.0"/>
      </rPr>
      <t xml:space="preserve">
</t>
    </r>
  </si>
  <si>
    <t>Research Team</t>
  </si>
  <si>
    <r>
      <rPr>
        <rFont val="Arial"/>
        <b/>
        <color theme="1"/>
        <sz val="11.0"/>
      </rPr>
      <t xml:space="preserve">Show and Tell- Summarizing Research:
</t>
    </r>
    <r>
      <rPr>
        <rFont val="Arial"/>
        <b val="0"/>
        <color theme="1"/>
        <sz val="11.0"/>
      </rPr>
      <t xml:space="preserve">After students complete </t>
    </r>
    <r>
      <rPr>
        <rFont val="Arial"/>
        <b/>
        <color theme="1"/>
        <sz val="11.0"/>
      </rPr>
      <t>Summarizing Informational Texts</t>
    </r>
    <r>
      <rPr>
        <rFont val="Arial"/>
        <b val="0"/>
        <color theme="1"/>
        <sz val="11.0"/>
      </rPr>
      <t xml:space="preserve">, give some time to do a quick search on a narrowed topic (e.g. sustainability in schools). Ask students to select a source from their results and scan the text for the central idea and most important details to include in a summary. Allow students to share out their results and discuss their process for selecting the key information. Depending on your students' comfort levels with selecting appropriate sources and summarizing, you may modify this practice by modeling the process for students or doing it together as a whole class with a single topic and source. </t>
    </r>
  </si>
  <si>
    <t>Show and Tell-- Researching for Clarification
Once students have received direct instruction, ask them to conduct brief research comparing and contrasting sentence stems or transitions that differentiate summarizing and paraphrasing. Pose the questions, “How might we tell if a writer is paraphrasing someone else’s research? What might be the 'tell-tale' signs of paraphrasing?" Have students share their research findings.</t>
  </si>
  <si>
    <t xml:space="preserve"> (In SG)</t>
  </si>
  <si>
    <r>
      <rPr>
        <rFont val="Arial"/>
        <b/>
        <color theme="1"/>
        <sz val="11.0"/>
      </rPr>
      <t xml:space="preserve">Show and Tell-- Researching for Fact-Based Sources
</t>
    </r>
    <r>
      <rPr>
        <rFont val="Arial"/>
        <color theme="1"/>
        <sz val="11.0"/>
      </rPr>
      <t>As students begin planning their research, remind them to hone in on fact-based sources to effectively support their thinking.</t>
    </r>
  </si>
  <si>
    <r>
      <rPr>
        <rFont val="Arial"/>
        <b/>
        <color theme="1"/>
        <sz val="11.0"/>
      </rPr>
      <t xml:space="preserve">Show and Tell-- Including Outside Sources:
</t>
    </r>
    <r>
      <rPr>
        <rFont val="Arial"/>
        <b val="0"/>
        <color theme="1"/>
        <sz val="11.0"/>
      </rPr>
      <t xml:space="preserve">Give students time to briefly search outside sources and identify evidence they can use for their discussion. This can be done before or after they draw evidence from the unit texts, depending on how comfortable students are with the prompt. It will be helpful to set an expectation for the number of outside sources they should include. After students have had time to begin their search, guide students through the process of evaluating a source's credibility. Does the source include sufficient reasoning? Is the evidence relevant and fact-based? Are all sources cited appropriately? Evaluating an argument can be challenging for students, especially when they don't feel like experts on the topic. It's important to provide ample modeling as students develop this skill. </t>
    </r>
  </si>
  <si>
    <t>Write it and Cite It: Direct Instruction</t>
  </si>
  <si>
    <r>
      <rPr>
        <rFont val="Arial"/>
        <b/>
        <color theme="1"/>
        <sz val="11.0"/>
      </rPr>
      <t xml:space="preserve">Show and Tell-- Researching to Compile Resources
</t>
    </r>
    <r>
      <rPr>
        <rFont val="Arial"/>
        <color theme="1"/>
        <sz val="11.0"/>
      </rPr>
      <t xml:space="preserve">As students write, remind them that paraphrasing and summarizing research serve different purposes as learned in previous units. While they should vary their use of paraphrasing and direct quotations, they must cite their sources regardless of the method used. Students should refer to the </t>
    </r>
    <r>
      <rPr>
        <rFont val="Arial"/>
        <b/>
        <color theme="1"/>
        <sz val="11.0"/>
      </rPr>
      <t xml:space="preserve">Research Toolkit </t>
    </r>
    <r>
      <rPr>
        <rFont val="Arial"/>
        <color theme="1"/>
        <sz val="11.0"/>
      </rPr>
      <t>for additional support.</t>
    </r>
  </si>
  <si>
    <r>
      <rPr>
        <rFont val="Arial"/>
        <b/>
        <color theme="1"/>
        <sz val="11.0"/>
      </rPr>
      <t>Show and Tell–Cause and Effect Informative Writing:</t>
    </r>
    <r>
      <rPr>
        <rFont val="Arial"/>
        <color theme="1"/>
        <sz val="11.0"/>
      </rPr>
      <t xml:space="preserve"> Start by reviewing the concept of cause and effect with the class, providing an example like "The invention of the internet (cause) has led to significant changes in how we communicate and access information (effect)." Teacher can model by discussing the effects and impacts such as: instant global communication through platforms like social media, email, and video conferencing (effect) and connect and collaborate across continents in real-time, transcending geographical boundaries and time zones (impact). Present a list of topics (e.g., global warming, water shortage, childhood obesity) or have students brainstorm ideas. Working in pairs, students select one. Distribute cause and effect graphic organizers for students to list key details of their chosen topic (cause) and its effects. Have students expand on one effect, describing how it could change the characters’ behaviors, motivations, or development; create or intensify conflicts within the story; or contribute to the story’s central themes or messages. In pairs, students will write a short paragraph or two incorporating their cause and its effects, showing the relationships between different story elements. Conclude by inviting a few students to share their Quick Journals and discussing how identifying cause and effect relationships can enhance their writing.</t>
    </r>
  </si>
  <si>
    <r>
      <rPr>
        <rFont val="Arial"/>
        <b/>
        <color theme="1"/>
        <sz val="11.0"/>
      </rPr>
      <t>Show and Tell–Shakespearean Language:</t>
    </r>
    <r>
      <rPr>
        <rFont val="Arial"/>
        <color theme="1"/>
        <sz val="11.0"/>
      </rPr>
      <t xml:space="preserve"> Students must understand Shakespearean language to prepare for "Romeo and Juliet." Start by selecting a short, familiar piece of writing or a common topic (e.g., a social media post or a short dialogue) and provide this to the students. Spend the first 5 minutes reviewing some key features of Shakespearean language, such as vocabulary, sentence structure, and common phrases. Then, in pairs or small groups, have students spend 10 minutes translating the modern text into Shakespearean language, using dictionaries or online resources if needed. Each group will then write their translation on a piece of paper or a whiteboard. Conclude the activity by inviting a few groups to share their translations with the class, discussing how they adapted the modern language to fit the Shakespearean style.</t>
    </r>
  </si>
  <si>
    <r>
      <rPr>
        <rFont val="Arial"/>
        <b/>
        <color theme="1"/>
        <sz val="11.0"/>
      </rPr>
      <t xml:space="preserve">Show and Tell–Direct and Indirect Characterization: </t>
    </r>
    <r>
      <rPr>
        <rFont val="Arial"/>
        <color theme="1"/>
        <sz val="11.0"/>
      </rPr>
      <t>Students will work in pairs or small groups to analyze characterization in "Romeo and Juliet." Start by explaining direct (explicit) and indirect (implicit) characterization briefly. Provide a direct characterization phrase like "Romeo is impulsive and passionate" and ask students to transform it into an example of indirect characterization showing these traits through actions or dialogue. Instead of "Romeo is impulsive and passionate," students might write, "Romeo rushed to marry Juliet the day after meeting her, professing his love fervently." Assign each pair or group one character from the play. Students will identify examples of direct characterization such as "Juliet is naive and innocent" or "Mercutio is witty and sarcastic," finding quotes that illustrate these traits. Then, each pair or group will write a short paragraph (3-4 sentences) using indirect characterization to describe their chosen character, incorporating specific examples from the text. Conclude by having several pairs or groups share their paragraphs and discuss how these techniques enhance their understanding of "Romeo and Juliet."</t>
    </r>
  </si>
  <si>
    <r>
      <rPr>
        <rFont val="Arial"/>
        <b/>
        <color theme="1"/>
        <sz val="11.0"/>
      </rPr>
      <t>Show and Tell–Types of Conflict in Literature:</t>
    </r>
    <r>
      <rPr>
        <rFont val="Arial"/>
        <color theme="1"/>
        <sz val="11.0"/>
      </rPr>
      <t xml:space="preserve"> Students will learn about different types of conflict in literature, relating them to themes in "Romeo and Juliet." Divide students into six groups, assigning each one a type of conflict: Character vs. Character, Character vs. Self, Character vs. Society, Character vs. Nature, Character vs. Supernatural (Fate/Destiny), and Character vs. Technology. Discuss examples from "Romeo and Juliet" that illustrate these conflict types (such as the feud between the Montagues and Capulets, Romeo's inner conflict with his love for Juliet, etc.). Each group will then create a short scenario (2-3 sentences) depicting their assigned type of conflict as a side event in the play. Groups will share their scenarios with the class, discussing how understanding these conflicts enhances their grasp of literature and can be applied in their own writing to add depth and tension.</t>
    </r>
  </si>
  <si>
    <r>
      <rPr>
        <rFont val="Arial"/>
        <b/>
        <color theme="1"/>
        <sz val="11.0"/>
      </rPr>
      <t>Show and Tell–Developing Dramatic Action in Scenes:</t>
    </r>
    <r>
      <rPr>
        <rFont val="Arial"/>
        <color theme="1"/>
        <sz val="11.0"/>
      </rPr>
      <t xml:space="preserve"> Students will learn to develop dramatic action through storyboard creation. Explain flashback, flashforward, and parallel plot structure briefly. Divide students into pairs or small groups and assign each group a scenario or prompt. Have students create a storyboard with three panels: one depicting a flashback scene revealing background information, another showing a flashforward scene hinting at a future event, and a third illustrating a parallel plot structure with two related storylines. Teachers may use an example of a flashforward to model. Example: In a flashforward, we see Tony, a hardworking factory worker, struggling to support his family. His innovative product idea catches the attention of a wealthy investor, and we glimpse Tony in a fancy office, closing lucrative business deals. It ends with Tony presenting his new product idea to his family. Provide materials for storyboarding and allow 10-12 minutes for sketching and writing scene descriptions.Have groups share their storyboards, discussing how these techniques enrich storytelling and can be applied to their own writing for added depth and suspense.</t>
    </r>
  </si>
  <si>
    <r>
      <rPr>
        <rFont val="Arial"/>
        <b/>
        <color theme="1"/>
        <sz val="12.0"/>
      </rPr>
      <t>Show and Tell–Developing Characters in Drama:</t>
    </r>
    <r>
      <rPr>
        <rFont val="Arial"/>
        <color theme="1"/>
        <sz val="12.0"/>
      </rPr>
      <t xml:space="preserve"> Discuss how characters change in response to events, their beliefs, and values in the course of the story. For example, Emily, a shy 17-year-old who enjoys solving puzzles and mysteries, moves to a new town where she struggles to make friends. However, her passion for puzzles boosts her confidence, leading her to participate in a local competition to prove herself. Model how Emily might evolve in a monologue: "Standing here today, I realize moving was daunting. But puzzles taught me—every challenge is a mystery to solve. Winning isn't just proving myself; it's showing everyone, and me, that I can succeed." In pairs or small groups, students will create fictional character profiles (like Emily’s profile). Each student will then write a 5-7 sentence monologue from their character's perspective, reflecting on their growth and motivations. Share these monologues to explore how character development enriches storytelling.</t>
    </r>
  </si>
  <si>
    <r>
      <rPr>
        <rFont val="Arial"/>
        <b/>
        <color theme="1"/>
        <sz val="11.0"/>
      </rPr>
      <t xml:space="preserve">Show and Tell–Determining Themes in Drama: </t>
    </r>
    <r>
      <rPr>
        <rFont val="Arial"/>
        <color theme="1"/>
        <sz val="11.0"/>
      </rPr>
      <t>Begin by discussing how setting, plot events, and character actions shape themes in drama. Provide a list of common themes or generate one together as a class. Model for students how setting can play a role in theme using the following example from Romeo and Juliet. Setting: The Capulet’s ball, a lavish private event, contrasts with the public street brawls, highlighting the theme of love clashing with family loyalty. Explain how the theme evolves as Romeo and Juliet's secret love clashes with their families' feud, leading to tragic events. Settings like Juliet's balcony and the public square highlight the tension between private love and public conflict. In pairs or small groups, students choose a theme and brainstorm how it might evolve in a play, focusing on setting details, plot events, and character interactions. Assign each student within the group a specific focus: setting details, plot events, or character interactions. Each group collaboratively writes a short paragraph (3-5 sentences) imagining how their chosen theme unfolds in a dramatic scene. Groups ensure these elements intertwine cohesively. Select groups to share their paragraphs, highlighting diverse approaches to theme development in dramatic writing.</t>
    </r>
  </si>
  <si>
    <t>After Build Context</t>
  </si>
  <si>
    <r>
      <rPr>
        <rFont val="Arial"/>
        <b/>
        <color theme="1"/>
        <sz val="12.0"/>
      </rPr>
      <t>Show and Tell-- Researching Mediums</t>
    </r>
    <r>
      <rPr>
        <rFont val="Arial"/>
        <color theme="1"/>
        <sz val="12.0"/>
      </rPr>
      <t xml:space="preserve">
After students analyze the mediums in the unit, explain that they will independently research a new medium to complement the ones already provided. Have students discuss the benefits and drawbacks of each of the mediums to determine which better suits their learning styles.</t>
    </r>
  </si>
  <si>
    <r>
      <rPr>
        <rFont val="Arial"/>
        <b/>
        <color theme="1"/>
        <sz val="11.0"/>
      </rPr>
      <t>Show and Tell–Performance:</t>
    </r>
    <r>
      <rPr>
        <rFont val="Arial"/>
        <color theme="1"/>
        <sz val="11.0"/>
      </rPr>
      <t xml:space="preserve"> Introduce tableau as a technique where students freeze in poses to vividly depict scenes from literature. Provide students with everyday event cards with phrases (such as a family dinner or a walk in the park) to interpret into tableau scenes. Divide students into small groups and instruct them to write an outline detailing their tableau, focusing on selecting key moments, poses, and expressions that effectively convey the scene. Encourage groups to discuss and plan how they will transition between poses if needed. Each group performs their tableau for the class, and classmates identify the specific scene depicted. Facilitate a discussion on how this activity will help further develop students’ writing.</t>
    </r>
  </si>
  <si>
    <r>
      <rPr>
        <rFont val="Arial"/>
        <b/>
        <color theme="1"/>
        <sz val="11.0"/>
      </rPr>
      <t>Show and Tell–Conclusions in Informative Writing:</t>
    </r>
    <r>
      <rPr>
        <rFont val="Arial"/>
        <color theme="1"/>
        <sz val="11.0"/>
      </rPr>
      <t xml:space="preserve"> Using the story of "The Three Little Pigs," discuss cause and effect in literature. Provide factors like preparation, decision-making, and perseverance that influence the pigs' outcomes with the Big Bad Wolf. Teacher can share and example of decision-making, "In 'The Three Little Pigs,' the pigs' decision to build their houses from different materials directly affects their encounters with the Big Bad Wolf. The pig who built with bricks demonstrated foresight and preparation, leading to a secure shelter that withstood the wolf's huffing and puffing. Reflecting on their choices prompts us to consider how planning ahead can influence outcomes in our own decisions." Students will then choose one factor and write a paragraph exploring its impact on the story, connecting it to specific events or decisions. Emphasize concluding with a strong summary that reflects on the factor's importance. Discuss adding a thought-provoking question (e.g., "Could different choices have changed the outcome?"). Revise conclusions to include a question. Share and discuss conclusions, highlighting how a strong conclusion enhances storytelling impact.</t>
    </r>
  </si>
  <si>
    <r>
      <rPr>
        <rFont val="Arial"/>
        <b/>
        <color theme="1"/>
        <sz val="11.0"/>
      </rPr>
      <t>Show and Tell–Personal Statement:</t>
    </r>
    <r>
      <rPr>
        <rFont val="Arial"/>
        <color theme="1"/>
        <sz val="11.0"/>
      </rPr>
      <t xml:space="preserve"> Encourage students to reflect on their strengths and insights for writing a personal statement by identifying interests, achievements, and goals in academics, career, or personal life. They should consider their motivations and define their core beliefs. As a teacher, model one aspect of your journey. For example, "Reflecting on my academic journey, I've found that my motivation for learning comes from a deep curiosity about how things work. This curiosity has guided me through challenges, like mastering complex concepts, and has shaped my goal to pursue a career in science."Students should also explore challenges they've overcome and acknowledge any failures, reflecting on the lessons learned. To organize their thoughts, students will complete a graphic organizer to logically depict this information and show connections between insights. The teacher will model this process by sharing examples and guiding students through reflections, demonstrating a thoughtful approach through a think aloud.</t>
    </r>
  </si>
  <si>
    <r>
      <rPr>
        <rFont val="Arial"/>
        <b/>
        <color theme="1"/>
        <sz val="11.0"/>
      </rPr>
      <t>Show and Tell–Using Examples and Anecdotes to Explain Ideas:</t>
    </r>
    <r>
      <rPr>
        <rFont val="Arial"/>
        <color theme="1"/>
        <sz val="11.0"/>
      </rPr>
      <t xml:space="preserve"> Introduce the concept of using examples and anecdotes to clarify and support ideas in writing. Explain that examples provide concrete instances that illustrate abstract concepts, while anecdotes offer personal or fictional stories that add context and engagement. Provide students with a prompt or topic relevant to personal experience (e.g., "Describe a memorable learning experience" or "Explain the importance of teamwork"). Provide an example of what a doctor may say: "During my college years, I had a memorable learning experience when I interned at a local hospital. Witnessing surgeries firsthand not only deepened my understanding of medical procedures but also sparked my passion for healthcare." As a class, create the anecdote to describe the doctor's experience with the surgery. In pairs or individually, have students brainstorm and share examples or anecdotes that could effectively explain their topic. Encourage them to focus on specificity and relevance. After brainstorming, each student should write a brief paragraph (5-7 sentences) incorporating one example or anecdote to explain their idea. Allow time for sharing and discussing how using examples and anecdotes enhance clarity and persuasiveness in writing.</t>
    </r>
  </si>
  <si>
    <r>
      <rPr>
        <rFont val="Arial"/>
        <b/>
        <color theme="1"/>
        <sz val="11.0"/>
      </rPr>
      <t>Show and Tell–Using Time as a Storytelling Technique:</t>
    </r>
    <r>
      <rPr>
        <rFont val="Arial"/>
        <color theme="1"/>
        <sz val="11.0"/>
      </rPr>
      <t xml:space="preserve"> Introduce using time as a storytelling tool with flashback and flashforward techniques. Explain that flashbacks revisit past events for context or character backstory, while flashforwards project into the future for suspense or hinting at outcomes. Model a flashback with an example: 'Imagine discovering a family journal in your grandmother's attic, revealing a secret that changes your understanding of your family history forever.' Provide students with a scenario (e.g., 'Describe a significant moment in your life') to brainstorm and outline a narrative using either flashback or flashforward. Then, have them write a brief comic strip narrative (5-7 sentences) applying their chosen time technique. Discuss how these techniques enhance storytelling by adding depth, suspense, or context.</t>
    </r>
  </si>
  <si>
    <r>
      <rPr>
        <rFont val="Arial"/>
        <b/>
        <color theme="1"/>
        <sz val="11.0"/>
      </rPr>
      <t>Show and Tell–Connotation and Denotation:</t>
    </r>
    <r>
      <rPr>
        <rFont val="Arial"/>
        <color theme="1"/>
        <sz val="11.0"/>
      </rPr>
      <t xml:space="preserve"> Remind students about the difference between connotation (emotional associations) and denotation (literal meaning) in language. Ask students to think of a scenario related to their goals, such as reflecting on a past academic achievement or anticipating a future career milestone. First, have students describe the event using neutral, factual language focused on denotation (e.g., "I completed a challenging project," "I am preparing for a job interview"). Then, instruct them to rewrite their description to change the tone or mood by selecting words with different connotations (e.g., "I triumphed over a demanding project," "I am eagerly anticipating a career-defining interview"). Have students exchange papers with a partner and identify the shifts in tone or mood. Discuss as a group how these word choices impact emotions, emphasizing the role of connotation in shaping tone and mood in writing.</t>
    </r>
  </si>
  <si>
    <r>
      <rPr>
        <rFont val="Arial"/>
        <b/>
        <color theme="1"/>
        <sz val="11.0"/>
      </rPr>
      <t>Show and Tell–Analyzing Connections in Informational Text:</t>
    </r>
    <r>
      <rPr>
        <rFont val="Arial"/>
        <color theme="1"/>
        <sz val="11.0"/>
      </rPr>
      <t xml:space="preserve"> Introduce different types of connections authors use in writing, like cause and effect, compare and contrast, and problem and solution. Start with examples from informational texts: how rising global temperatures increase natural disasters, the efficiency of hydroponic systems versus traditional farming in water usage and crop yields, and why stricter emissions regulations are needed to reduce air pollution. Ask students: How do these connections deepen our understanding of the issues discussed? After discussing, students will reflect on a personal experience related to one of these connections and write a short paragraph explaining it and its broader implications. For instance, they might discuss how learning a new language improved communication skills and created new career opportunities. Lead a class discussion where students share their paragraphs, exploring how these connections improve their grasp of informational writing, encouraging critical thinking and deeper engagement with texts.</t>
    </r>
  </si>
  <si>
    <t>After Extend Learning: Benefits of Extracurricular Activities</t>
  </si>
  <si>
    <r>
      <rPr>
        <rFont val="Arial"/>
        <b/>
        <color theme="1"/>
        <sz val="11.0"/>
      </rPr>
      <t>Show and Tell-- Using Research to Gain Understanding</t>
    </r>
    <r>
      <rPr>
        <rFont val="Arial"/>
        <color theme="1"/>
        <sz val="11.0"/>
      </rPr>
      <t xml:space="preserve">
After students complete their extended learning activity, ask students to conduct brief research on a few colleges that interest them. What do their findings reveal about what colleges look for in applications? What can they do now to prepare for their future schooling or careers?</t>
    </r>
  </si>
  <si>
    <t>After Create Your Pitch Deck</t>
  </si>
  <si>
    <r>
      <rPr>
        <rFont val="Arial"/>
        <b/>
        <color theme="1"/>
        <sz val="11.0"/>
      </rPr>
      <t xml:space="preserve">Show and Tell-- Researching Transitions
</t>
    </r>
    <r>
      <rPr>
        <rFont val="Arial"/>
        <color theme="1"/>
        <sz val="11.0"/>
      </rPr>
      <t>After students determine what to include in their pitch decks, ask them to research effective methods for seamlessly incorporating text evidence and paraphrasing through transitions.</t>
    </r>
  </si>
  <si>
    <t xml:space="preserve">Done </t>
  </si>
  <si>
    <r>
      <rPr>
        <rFont val="Arial"/>
        <b/>
        <color theme="1"/>
        <sz val="11.0"/>
      </rPr>
      <t xml:space="preserve">Show and Tell–Personal Statement: </t>
    </r>
    <r>
      <rPr>
        <rFont val="Arial"/>
        <color theme="1"/>
        <sz val="11.0"/>
      </rPr>
      <t>Students will explore and select anecdotes to enhance a personal statement that celebrates an aspect of themselves. Teacher will share one example and have students help develop it, such as:  imagine a student reflecting on their journey overcoming stage fright before a school play. They could describe the initial nervousness, the steps taken to prepare, and the ultimate triumph of delivering their lines confidently. Students will begin by revisiting their self-interest reflection notes from the start of the unit and brainstorming three different scenarios or examples for their chosen topic. Students will write brief descriptions of these anecdotes. Place students in partners for a quick peer review, sharing their anecdotes and discussing which one best illustrates the quality they want to celebrate. Finally, students will use this feedback to enhance their final draft of the personal statement.</t>
    </r>
  </si>
  <si>
    <r>
      <rPr>
        <rFont val="Arial"/>
        <b/>
        <color theme="1"/>
        <sz val="11.0"/>
      </rPr>
      <t xml:space="preserve">Show and Tell–Literary Analysis: </t>
    </r>
    <r>
      <rPr>
        <rFont val="Arial"/>
        <color theme="1"/>
        <sz val="11.0"/>
      </rPr>
      <t>Students will learn how literary analysis examines the author's craft and elements such as character development, setting, plot, and theme. Start with a brief discussion on literary analysis and the intentional choices authors make. Show a short video clip from the ending of Toy Story 3, highlighting its emotional depth as Andy says goodbye to his toys, especially Woody. Provide students with guiding questions, such as: What choices did the writers make regarding character development? How did the setting of Andy leaving for college affect the scene's emotional tone? How does this scene resolve the main plot of the Toy Story series? What themes are conveyed through Andy's decision to give his toys to Bonnie? What might have been the writer's’ intention behind this ending? In small groups, students will discuss the author's choices and intentions, focusing on craft and elements. Have groups share their insights and reflect on how understanding these choices can enhance their own writing. Students will apply this analysis throughout the unit.</t>
    </r>
  </si>
  <si>
    <r>
      <rPr>
        <rFont val="Arial"/>
        <b/>
        <color theme="1"/>
        <sz val="11.0"/>
      </rPr>
      <t xml:space="preserve">Show and Tell–Traditional Tales-Mythology: </t>
    </r>
    <r>
      <rPr>
        <rFont val="Arial"/>
        <color theme="1"/>
        <sz val="11.0"/>
      </rPr>
      <t xml:space="preserve">Students will explore elements of traditional tales and mythology through Disney's Hercules. Begin with a brief discussion about myths, focusing on key elements like gods and goddesses, heroes and heroines, supernatural events, moral lessons, and explanations of natural or human phenomena. Introduce Hercules as a modern interpretation of ancient Greek mythology, highlighting its portrayal of characters like Hercules, Zeus, and Hades, and its incorporation of mythical themes. Watch a short clip from Hercules and discuss it, prompting students to identify these elements. Divide students into small groups to brainstorm ideas for their own modern myth inspired by Hercules, considering a main character, a supernatural event or power, a moral lesson, and a setting. Each group will then craft a brief summary of their myth and share it with the class. </t>
    </r>
  </si>
  <si>
    <r>
      <rPr>
        <rFont val="Arial"/>
        <b/>
        <color theme="1"/>
        <sz val="11.0"/>
      </rPr>
      <t>Show and Tell–Character Traits and Differences:</t>
    </r>
    <r>
      <rPr>
        <rFont val="Arial"/>
        <color theme="1"/>
        <sz val="11.0"/>
      </rPr>
      <t xml:space="preserve"> Students will explore how character actions reveal morals and values by analyzing Simba's decision to reclaim his kingdom in The Lion King and comparing it to Scar's motivations. The teacher will discuss how characters' decisions reflect their ethical beliefs, using literary devices like symbolism or foreshadowing for analysis. For example: In a think aloud, discuss Simba's pivotal decision, where he struggles with a moral dilemma about his duty to his pride, in contrast to Scar's pursuit of power. "I notice how Simba has conflicting feelings of duty to his pride and personal desires for freedom.  Teacher models a monologue (Example Monologue as Scar: (with confidence and malice) You know, power isn't just about being in charge; It's about shaping your own destiny! Simba thinks he's all noble with his duty to the pride, but why limit yourself to what's expected? Pride Rock is there for the taking, and I'm not going to let the past hold me back. (with a smirk and snide tone) Simba's all about guilt and regrets, letting his mistakes define him. But me? I see opportunities everywhere. Every challenge is a chance to prove what I'm capable of. Why settle for less when you can reach for everything you deserve?) In small groups, students will create short monologues representing Simba's and Scar's inner thoughts, emphasizing their differing motivations and moral dilemmas. They will present these monologues, reflecting on how understanding character traits can enhance their own writing, driven by moral dilemmas and meaningful themes.</t>
    </r>
  </si>
  <si>
    <r>
      <rPr>
        <rFont val="Arial"/>
        <b/>
        <color theme="1"/>
        <sz val="11.0"/>
      </rPr>
      <t xml:space="preserve">Show and Tell–Conflict Resolution: </t>
    </r>
    <r>
      <rPr>
        <rFont val="Arial"/>
        <color theme="1"/>
        <sz val="11.0"/>
      </rPr>
      <t xml:space="preserve">Students will explore the complexities of characters in stories, focusing on their internal conflicts and moral dilemmas using examples from Star Wars or another familiar context. The teacher can begin by leading a class discussion about characters such as Darth Vader or Kylo Ren, analyzing their conflicting traits and motivations. In a think aloud, explore how these elements shape the plot's conflict and resolution. The teacher will model a storyboard progression which may include elements of: Darth Vader's character arc begins in the original Star Wars trilogy as he navigates the internal struggle from Anakin Skywalker to the dark lord. Vader struggles between his loyalty to Emperor Palpatine and his love for his son Luke, escalating as he embraces the dark side to gain power. His conflict peaks when he hesitates to harm Luke, torn between his dark allegiance and paternal instincts. In the end, Vader redeems himself by rejecting the dark side, saving Luke, and finding redemption. After modeling, students will work in small groups to dive deeper into a character of their choice. In groups, students will explore the character's internal struggles. Each group will create a storyboard illustrating the character's journey through rising action, falling action, and conflict resolution as they face a moral dilemma. Select groups will share their completed storyboards. During the presentations, lead a reflection on how internal conflicts and moral dilemmas contribute to character development and drive the plot. 
</t>
    </r>
  </si>
  <si>
    <r>
      <rPr>
        <rFont val="Arial"/>
        <b/>
        <color theme="1"/>
        <sz val="11.0"/>
      </rPr>
      <t>Show and Tell–Character Archetypes:</t>
    </r>
    <r>
      <rPr>
        <rFont val="Arial"/>
        <color theme="1"/>
        <sz val="11.0"/>
      </rPr>
      <t xml:space="preserve"> Start by explaining character archetypes as common types of characters found in stories, such as heroes, mentors, or tricksters, and outline their typical traits. A short discussion of The Lion King can help you illustrate these archetypes further: Hero—Simba, who works to reclaim his kingdom; Mentor—Rafiki, the wise baboon who guides Simba; Villain—Scar, plotting to take over the Pride Lands; Sidekicks—Timon and Pumbaa, who support Simba; Trickster—Timon, with his playful nature. Use The Lion King helps students see how these archetypes interact and contribute to the story. Model analysis of one. For example:  "Rafiki in The Lion King serves as the archetype of a Mentor, embodying wisdom and spiritual guidance as he leads Simba through self-discovery and the realization of his destiny. An example is when he uses symbolic gestures, like presenting Simba's reflection in a pool of water, to guide Simba toward accepting his identity and responsibilities as king." Divide the class into small groups and assign each group two archetypes to compare and contrast in terms of traits and roles in stories. Have groups discuss similarities and differences and how these archetypes collaborate to drive the plot and create dynamic characters. Groups share their understandings of how these archetypes are similar and different and how they work together in a story to drive the plot forward and create more dynamic characters.</t>
    </r>
  </si>
  <si>
    <t>After Analyze and Compare Texts</t>
  </si>
  <si>
    <r>
      <rPr>
        <rFont val="Arial"/>
        <b/>
        <color theme="1"/>
        <sz val="11.0"/>
      </rPr>
      <t xml:space="preserve">Show and Tell-- Researching for Perspectives
</t>
    </r>
    <r>
      <rPr>
        <rFont val="Arial"/>
        <color theme="1"/>
        <sz val="11.0"/>
      </rPr>
      <t>After students analyze and compare texts, explain that different mediums can offer varying perspectives as well. Ask them to use their online tools to research a video or image that provides a different “storytelling” of one of the texts from the module. In small groups, guide students to compare and contrast perspectives between the text and video or image. How is the theme conveyed in both versions of the text? If using an image representation of the text, how did they derive meaning from it?</t>
    </r>
  </si>
  <si>
    <t>Prepare for the Discussion</t>
  </si>
  <si>
    <r>
      <rPr>
        <rFont val="Arial"/>
        <b/>
        <color theme="1"/>
        <sz val="11.0"/>
      </rPr>
      <t>Show and Tell--Share Your Research</t>
    </r>
    <r>
      <rPr>
        <rFont val="Arial"/>
        <color theme="1"/>
        <sz val="11.0"/>
      </rPr>
      <t>: As students engage in their Socratic preparation, they should plan to share their research findings from the extended comparison analysis. They can incorporate that information and research into comments and connections they make throughout the discussion.</t>
    </r>
  </si>
  <si>
    <r>
      <rPr>
        <rFont val="Arial"/>
        <b/>
        <color theme="1"/>
        <sz val="11.0"/>
      </rPr>
      <t>Show and Tell–Literary Analysis:</t>
    </r>
    <r>
      <rPr>
        <rFont val="Arial"/>
        <color theme="1"/>
        <sz val="11.0"/>
      </rPr>
      <t xml:space="preserve"> As students prepare to write their literary analysis, they should reflect on the various activities completed in this unit that focused on understanding author's craft. Start by reflecting on how analyzing intentional choices in setting, theme, and character development (like in Toy Story 3) helped them notice key characteristics of characters and techniques that clarify the author’s themes. Consider how comparing characters, such as Simba and Scar from The Lion King, highlighted similarities and differences. Discuss the exploration of conflict resolution through complex characters with moral dilemmas, as seen in Star Wars, and how it deepened their understanding of storytelling. Reflect on the exploration of archetypes in The Lion King and how it revealed universal character types and themes. Encourage students to discuss how these insights will inform their literary analysis essays by helping them identify and analyze characters, themes, and techniques more effectively across different texts.</t>
    </r>
  </si>
  <si>
    <r>
      <rPr>
        <rFont val="Arial"/>
        <b/>
        <color theme="1"/>
        <sz val="11.0"/>
      </rPr>
      <t xml:space="preserve">Show and Tell--Supporting Arguments: </t>
    </r>
    <r>
      <rPr>
        <rFont val="Arial"/>
        <color theme="1"/>
        <sz val="11.0"/>
      </rPr>
      <t>Before presenting the Direct Instruction lesson, ask students to share a thumbs up or down on how many have written and received feedback on more than one argument about a text in the past 12 months. The class may be familiar with many concepts related to Supporting Claims with Evidence, so the brief review of some of these concepts may be done independently or as a class depending on familiarity. After the Key Academic Terms have been introduced or reviewed, have students form groups of 4 students. Assign the topic based on the image in the unit overview or the statement "People can decide what kind of person they will become." Give each group two minutes to craft a paragraph including a claim, reason, evidence, and reasoning. Ask for volunteers and discuss a few sample paragraphs, noting strengths and areas for improvement as a class. Repeat with a new topic. Finally, gauge student comfort with understanding how to support arguments effectively. Repeat as warm up until mastered.</t>
    </r>
  </si>
  <si>
    <t>Analyze (Replace Teacher Flex Activity)</t>
  </si>
  <si>
    <r>
      <rPr>
        <rFont val="Arial"/>
        <b/>
        <color theme="1"/>
        <sz val="11.0"/>
      </rPr>
      <t xml:space="preserve">Show and Tell--Author's Clauses and Phrases: </t>
    </r>
    <r>
      <rPr>
        <rFont val="Arial"/>
        <color theme="1"/>
        <sz val="11.0"/>
      </rPr>
      <t>After leading students through the Direct Instruction Lesson (Sentence Structure), and the steps leading up to the reading, share the following statement and tell students you will finish it together: "In the opening paragraph of his essay, David Sedaris..." Then count off into groups of four and have the ones look at the first sentence, the twos look at the second sentence, and so on. Have each group present only the basic subject and predicate with all other the adjective and adverb phrases stripped out. Read or play the paragraph out loud and have the class construct a single additional detail to the statement you shared. Ask the class to read the simple version of the paragraph then discuss the differences between the two versions. What more do we know about the narrator and his family as a result of these descriptive phrases? Which types of phrases does he use most? Adjective phrases, adverb phrases, appositives, prepositional phrases? What is the impact of the short sentences at the end of the paragraph?</t>
    </r>
  </si>
  <si>
    <r>
      <rPr>
        <rFont val="Arial"/>
        <b/>
        <color theme="1"/>
        <sz val="11.0"/>
      </rPr>
      <t>Show and Tell--Making Claims:</t>
    </r>
    <r>
      <rPr>
        <rFont val="Arial"/>
        <color theme="1"/>
        <sz val="11.0"/>
      </rPr>
      <t xml:space="preserve"> Ask students to create claim statements based on the prompt. Have 2-3 students offer to workshop their claims. Have students record the prompt separately on a piece of paper. Then have them circle the main question they must answer, draw a box around the specific aspects of the main question they must address, breaking the question down into as many parts as necessary. In pairs, have students list all the questions or tasks outlined in the prompt then review them as a class. Model the checklist with several of the claims. Then have students revise their claims and continue to develop.</t>
    </r>
  </si>
  <si>
    <r>
      <rPr>
        <rFont val="Arial"/>
        <b/>
        <color theme="1"/>
        <sz val="11.0"/>
      </rPr>
      <t>Show and Tell--Describing an Author's Style:</t>
    </r>
    <r>
      <rPr>
        <rFont val="Arial"/>
        <color theme="1"/>
        <sz val="11.0"/>
      </rPr>
      <t xml:space="preserve"> Have students make at least one reference to the author's style at the sentence level, including the construction of or variety of sentence types in their final analysis. For example, they can go back to the previous example of examining the kernel of the sentences versus the elaborate descriptive phrases in the introduction or another part of the essay, or they can look for short sentences and determine why the author mixes in some of the shorter sentences with the longer ones.</t>
    </r>
  </si>
  <si>
    <r>
      <rPr>
        <rFont val="Arial"/>
        <b/>
        <color theme="1"/>
        <sz val="11.0"/>
      </rPr>
      <t>Show and Tell--Creating Imagery and Mood:</t>
    </r>
    <r>
      <rPr>
        <rFont val="Arial"/>
        <color theme="1"/>
        <sz val="11.0"/>
      </rPr>
      <t xml:space="preserve"> Imagery and mood bring stories to life, and they require intentional crafting. Start by pairing an imagery type with a mood. For example, dingy imagery and a somber mood can translate into: Gray fog clung to the crumbling buildings, shrouding the deserted streets in a heavy, melancholic silence. Have students pair up to create their own pairings and sentences.</t>
    </r>
  </si>
  <si>
    <r>
      <rPr>
        <rFont val="Arial"/>
        <b/>
        <color theme="1"/>
        <sz val="11.0"/>
      </rPr>
      <t>Show and Tell--Writing Arguments:</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opportunity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</si>
  <si>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their claim. These reasoning statements help connect the inferences about the meaning of words and phrases back to their claim. After modeling a few examples of how to be sure the evidence is fully explained, have students review the writing prompt and work in pairs to flesh their notes out more fully.</t>
    </r>
  </si>
  <si>
    <r>
      <rPr>
        <rFont val="Arial"/>
        <b/>
        <color theme="1"/>
        <sz val="11.0"/>
      </rPr>
      <t>Show and Tell--Writing Arguments:</t>
    </r>
    <r>
      <rPr>
        <rFont val="Arial"/>
        <color theme="1"/>
        <sz val="11.0"/>
      </rPr>
      <t xml:space="preserve"> Have students use the </t>
    </r>
    <r>
      <rPr>
        <rFont val="Arial"/>
        <b/>
        <color theme="1"/>
        <sz val="11.0"/>
      </rPr>
      <t xml:space="preserve">Best Practices: Compare Texts </t>
    </r>
    <r>
      <rPr>
        <rFont val="Arial"/>
        <color theme="1"/>
        <sz val="11.0"/>
      </rPr>
      <t>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receive based on the criteria. Next, look at the most recent draft in the same area and evaluate the differences in how each compares with the previous level of proficiency. Model the process using your own piece or using an anonymized version of one or more students' claims as an example.</t>
    </r>
  </si>
  <si>
    <t xml:space="preserve">Show and Tell--Crafting Author's Message: Review the sentence: The empty park bench, worn by time, spoke of countless conversations and silent reflections now lost to memory. Discuss what author’s message can be identified.
Have students pair up and talk about two more model sentences:
The faded welcome mat at the doorstep hinted at a home once filled with warmth, now echoing with silence.
His worn-out shoes told the tale of a long journey marked by perseverance and sacrifice.
Have students craft their own sentences which convey the author’s message.
</t>
  </si>
  <si>
    <t>10 (In SG)</t>
  </si>
  <si>
    <t>Somewhere in Reading Across Genres</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</si>
  <si>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asking the question, "How is our generation different than the previous one?" As students begin research, they should focus on the local community, ideally, but when that is difficult to research they should apply the research to the region or even a national experience. Their goal will be to capture the three top facts about what was happening 20-25 years before they were born. (Major local or national events that made the news, particularities about industries or innovations, and popular culture of the time. By the end of the unit, students should prepare a 3-5 slide presentation about the differences between the two generations: Name, location, years that are being compared, and top 3 facts.) They should cite sources for their research.
</t>
    </r>
  </si>
  <si>
    <t>Build Your Knowledge</t>
  </si>
  <si>
    <r>
      <rPr>
        <rFont val="Arial"/>
        <b/>
        <color theme="1"/>
        <sz val="11.0"/>
      </rPr>
      <t xml:space="preserve">Show and Tell--Share Your Research: </t>
    </r>
    <r>
      <rPr>
        <rFont val="Arial"/>
        <color theme="1"/>
        <sz val="11.0"/>
      </rPr>
      <t>As students engage in their Socratic preparation, they should plan to discuss the brief research on the period they studied. They can incorporate that information and research into a key comment and verbally cite the source before submitting it to a shared folder.</t>
    </r>
  </si>
  <si>
    <t>Show and Tell–Narrative Introductions: Students will be writing their personal narratives in this module.  Their topic is, “Write about a single moment when you realized the influence of your family, community, or even your media influences had shaped an important aspect of who you are.” In order to help them begin, review Narrative Beginnings Direct Instruction and then, with you as a model, show them several techniques to begin the narrative. As a class, have them develop these with rich details that would round out a narrative beginning.  Then, have them start their own narrative beginning, which will answer the portfolio’s question.
Answer the question directly: I didn't believe it when I realized my dog made me empathize with others.
Introduce characters: The Humane Society taught me what my mom could not: empathy.
Introduce setting: I was about to enter my final exam when I got the text message. It changed everything.
Introduce the dialogue: The doctor quietly said, “It’s time for hospice.” My mentor was indeed leaving me.
Help them note the interest these create, acting as a hook and an introduction.</t>
  </si>
  <si>
    <t>In Prgress</t>
  </si>
  <si>
    <t>Not Started - Waiting</t>
  </si>
  <si>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position on rationing water in homes in order to conserve it for clean drinking water: yes, no, yes/no. In their groups, have them briefly discuss their thinking. Then share arguments across groups. As they debrief to show that there are many sides to all policies and good arguments to support multiple sides of the same issue, such as the shared value of access to clean water. (Example: teaching people to conserve water can be done by education and social reinforcements rather than by cutting people off at certain times.)</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</si>
  <si>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 audience cares deeply about their online community of friends and supporters, they might want to hear about how social media enables access to a larger community of supporters, friends, and fellow hobbyists. Alternatively if they care deeply about the rising mental health crises being attributed to social media, they might not be so convinced. Based on the audience's values, the issues they care about most, an explicit statistic, an illustrative and powerful story, or a famous quotation can make a great hook. Have students think of a recent debate they had with an adult or friend in their life, where they had to appeal to the other person's values to persuade them. Health issues, car ownership, permission to do something, etc.What appeal did they make to tap into the person's values?</t>
    </r>
  </si>
  <si>
    <r>
      <rPr>
        <rFont val="Arial"/>
        <b/>
        <color theme="1"/>
        <sz val="11.0"/>
      </rPr>
      <t>Show and Tell--Choosing the Best Evidence:</t>
    </r>
    <r>
      <rPr>
        <rFont val="Arial"/>
        <color theme="1"/>
        <sz val="11.0"/>
      </rPr>
      <t xml:space="preserve"> Provide students with these examples.  As a class, discuss the BEST piece of evidence to use for the claim and why. Repeat practice until students have mastered it.
Claim: Volunteering enriches both individuals and communities.
1 Volunteering allows individuals to develop empathy and compassion by directly helping those in need. 2 Volunteering provides valuable skills and experience that can enhance a person's resume and future career opportunities. 3 Many people volunteer, demonstrating its widespread acceptance and positive impact on society.
Claim: Riding an electric bike (e-bike) is a beneficial mode of transportation.
1 E-bikes offer an eco-friendly alternative to traditional vehicles, reducing carbon emissions and promoting sustainability. 2 E-bikes make commuting easier and more accessible for people of all ages and fitness levels, promoting physical activity. 3 Many cyclists enjoy riding e-bikes, showing their growing popularity as a convenient transportation option.</t>
    </r>
  </si>
  <si>
    <r>
      <rPr>
        <rFont val="Arial"/>
        <b/>
        <color theme="1"/>
        <sz val="11.0"/>
      </rPr>
      <t>Show and Tell--Linking Claims and Reasoning:</t>
    </r>
    <r>
      <rPr>
        <rFont val="Arial"/>
        <color theme="1"/>
        <sz val="11.0"/>
      </rPr>
      <t xml:space="preserve"> Using the claims from Module 2, show how the reasoning explains the relationship between the claim and the evidence. Practice the second claim as a class and provide other examples for further practice.
Claim with reason: Volunteering enriches both individuals and communities. Both sides are helped when volunteering occurs.
Evidence: Volunteering allows individuals to develop empathy and compassion by directly helping those in need. 
Reasoning: When volunteers lend a hand, their selfless act aids those who are not able to help themselves.
Claim with reason: Riding an electric bike (e-bike) is a beneficial mode of transportation.
Evidence: E-bikes offer an eco-friendly alternative to traditional vehicles, reducing carbon emissions and promoting sustainability. </t>
    </r>
  </si>
  <si>
    <r>
      <rPr>
        <rFont val="Arial"/>
        <b/>
        <color theme="1"/>
        <sz val="11.0"/>
      </rPr>
      <t>Show and Tell--Writing Appeals and Counterclaims:</t>
    </r>
    <r>
      <rPr>
        <rFont val="Arial"/>
        <color theme="1"/>
        <sz val="11.0"/>
      </rPr>
      <t xml:space="preserve">Discuss this example showing how writers use each type of appeal in arguments. Have students notice how the strongest counterclaim is addressed yet discounted.  Have students pair up and practice with their claims, giving examples of each appeal and counterclaim.
Claim: Riding an electric bike (e-bike) is a beneficial mode of transportation.
Logos Appeal
Research shows that riding an electric bike (e-bike) reduces carbon emissions compared to cars, making it an environmentally friendly mode of transportation.
Pathos Appeal
Imagine the joy of effortlessly gliding through scenic routes on an e-bike, feeling the breeze on your face, and enjoying the beauty of your surroundings without the stress of traffic jams.
Ethos Appeal
Transportation and environmental experts, including organizations like the League of American Bicyclists, advocate using e-bikes due to their positive impact on sustainability and public health.
Counterclaim
</t>
    </r>
    <r>
      <rPr>
        <rFont val="Arial"/>
        <b/>
        <color theme="1"/>
        <sz val="11.0"/>
      </rPr>
      <t>Even though they can be expensive to purchase and maintain compared to traditional bicycles,</t>
    </r>
    <r>
      <rPr>
        <rFont val="Arial"/>
        <color theme="1"/>
        <sz val="11.0"/>
      </rPr>
      <t xml:space="preserve"> E-bikes' benefits to the environment outweigh the negatives for their owners.</t>
    </r>
  </si>
  <si>
    <t>Somewhere in Reading across Genres where there is room</t>
  </si>
  <si>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debates related to water access and conservation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</si>
  <si>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</si>
  <si>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r>
      <rPr>
        <rFont val="Arial"/>
        <b/>
        <color theme="1"/>
        <sz val="11.0"/>
      </rPr>
      <t xml:space="preserve">Show and Tell–Writing a Conclusion: </t>
    </r>
    <r>
      <rPr>
        <rFont val="Arial"/>
        <color theme="1"/>
        <sz val="11.0"/>
      </rPr>
      <t>Students must understand the structure of conclusions in argumentative writing to complete their portfolio.  They need to have practice on each type of conclusion: a summary, a focus on the main point, or a call to action. Model each type of concluding work by demonstrating how an author would write a conclusion based on the claim, “Desalination can solve the water crisis.”
Summary Conclusion:
In conclusion, desalination can solve the water crisis by providing a reliable source of fresh water from the abundant seawater supply. This technology addresses the limitations of traditional freshwater sources, which are often strained by overuse and climate change. By implementing desalination plants, especially in arid and coastal regions, we can secure a sustainable water supply for future generations. As advancements continue to make the process more efficient and cost-effective, desalination is a promising solution to the global water scarcity problem.
Call to Action Conclusion:
Desalination can solve the water crisis by providing an innovative and sustainable source of freshwater. To realize its potential, governments and industries must invest in developing and implementing desalination technologies. I urge policymakers to prioritize funding for desalination projects and encourage research into making the process more efficient and environmentally friendly. These steps can address the global water crisis and secure a reliable water supply for future generations.
Main Point Focus Conclusion:
Desalination can solve the water crisis by converting seawater into drinkable water addressing the scarcity of freshwater resources. The process provides a dependable alternative to overburdened rivers and lakes and is especially beneficial in regions with limited freshwater availability. Additionally, technological improvements are making desalination more energy-efficient and affordable. Investing in and expanding desalination infrastructure can ensure a sustainable water supply and mitigate the impacts of water shortages worldwide.</t>
    </r>
  </si>
  <si>
    <r>
      <rPr>
        <rFont val="Arial"/>
        <b/>
        <color theme="1"/>
        <sz val="11.0"/>
      </rPr>
      <t xml:space="preserve">Show and Tell–Types of Narrative: </t>
    </r>
    <r>
      <rPr>
        <rFont val="Arial"/>
        <color theme="1"/>
        <sz val="11.0"/>
      </rPr>
      <t>Begin by discussing the structure of a narrative (introduction, rising action, climax, falling action, conclusion) and review techniques like descriptive language, dialogue, and reflection. Have students choose a type of narrative (short story, drama, etc.) and a difficult decision they or a character might face (e.g., choosing between two friends, standing up for what is right, or making a life-changing move). Encourage them to think about how narrative techniques can make the story impactful, emphasizing the narrator's perspective. Ask students to create a narrative arc that includes the difficult decision, key events leading up to and following the decision, and the narrative techniques they could use to enhance their storytelling. This will help students prepare for their final portfolio piece.</t>
    </r>
  </si>
  <si>
    <t>Show and Tell–Developing Characters in Fiction: Introduce students to how authors develop characters in fiction, focusing on details that reveal characters' thoughts, feelings, actions, and conflicts. Provide a list of common themes (e.g., love, courage, friendship, betrayal). As a class, choose one theme and select two characters from a story read recently. Using a T-chart, students will work in groups to list each character's actions and how these actions reveal their thoughts and feelings on one side. On the other side, they will explore the conflicts between the characters and their motivations. Individually, students will write a brief paragraph summarizing how these details help develop the characters and enhance the theme.</t>
  </si>
  <si>
    <r>
      <rPr>
        <rFont val="Arial"/>
        <color theme="1"/>
        <sz val="11.0"/>
      </rPr>
      <t xml:space="preserve">Show and Tell - Dialogue to Advance the Plot
Shirley Jackson's </t>
    </r>
    <r>
      <rPr>
        <rFont val="Arial"/>
        <i/>
        <color theme="1"/>
        <sz val="11.0"/>
      </rPr>
      <t>The Lottery</t>
    </r>
    <r>
      <rPr>
        <rFont val="Arial"/>
        <color theme="1"/>
        <sz val="11.0"/>
      </rPr>
      <t xml:space="preserve"> uses dialogue to advance the plot and propel the action of the narrative. As a class, review the first seven paragraphs of the text and notice that there is little dialogue. Then, notice that after that point, the dialogue picks up. Discuss with students why Jackson might have written the text this way. Dialogue advances the plot and gives insight into characters and their development. As a class, focus in on Tessie. What phrase does she repeat? What does that tell us about her character? What message is Jackson trying to convey to the reader through Tessie's speaking? Lastly, put students in pairs and ask them to rewrite the ending using dialogue starting at "It's Tessie" and change the ending. </t>
    </r>
  </si>
  <si>
    <r>
      <rPr>
        <rFont val="Arial"/>
        <b/>
        <color theme="1"/>
        <sz val="12.0"/>
      </rPr>
      <t>Show and Tell–Transitions and Linking Words in Narrative Writing:</t>
    </r>
    <r>
      <rPr>
        <rFont val="Arial"/>
        <color theme="1"/>
        <sz val="12.0"/>
      </rPr>
      <t xml:space="preserve"> Start by discussing types of transitions and linking words with students. Using Edgar Allan Poe's "Hop-Frog," identify where the author employs transitions and discuss how they improve readability. For example, in the sentence "Thus it happened that his seven ministers were all noted for their accomplishments as jokers," the transition ("Thus it happened") shows cause and effect, explaining why the ministers were skilled jesters due to the king's favor. Discuss other types of transitions students might find and their roles. After modeling, assign groups of students passages from "Hop-Frog" to analyze transitions indicating time sequence, cause and effect, clarification, and conclusion. Each group will rewrite a portion with or without transitions and compare with the original to understand their impact on narrative flow and clarity. For instance, the original sentence "His seven ministers were all noted for their accomplishments as jokers" loses its explicit cause-effect connection without the transition, which clarified why the ministers were skilled jesters. Encourage students to discuss these differences, highlighting how transitions enhance understanding in storytelling.</t>
    </r>
  </si>
  <si>
    <r>
      <rPr>
        <rFont val="Arial"/>
        <b/>
        <color theme="1"/>
        <sz val="12.0"/>
      </rPr>
      <t>Show and Tell–FIgurative Language:</t>
    </r>
    <r>
      <rPr>
        <rFont val="Arial"/>
        <color theme="1"/>
        <sz val="12.0"/>
      </rPr>
      <t xml:space="preserve"> Read the excerpt provided from "A Very Old Man with Enormous Wings" and identify examples of figurative language. As you read, note types of figurative language the writer uses such as allusion, euphemisms, etc. An example the teacher may share of allusion is when the neighbor woman refers to the old man as an angel, alluding to celestial beings associated with divine and spiritual significance, despite his earthly and decrepit appearance. For euphemisms, the teacher can model where the old man with wings is described as being "dressed like a ragpicker" and how this describes his ragged and unkempt appearance without directly stating it. Ask students to find additional examples and use evidence from the text to support their response. Students can then complete the graphic organizer with examples and explanations for types of figurative language. After completing the organizer, as a class, discuss some of the examples.</t>
    </r>
  </si>
  <si>
    <r>
      <rPr>
        <rFont val="Arial"/>
        <b/>
        <color theme="1"/>
        <sz val="11.0"/>
      </rPr>
      <t>Show and Tell-- Research to Highlight Parallels Among Texts</t>
    </r>
    <r>
      <rPr>
        <rFont val="Arial"/>
        <color theme="1"/>
        <sz val="11.0"/>
      </rPr>
      <t xml:space="preserve">
As students complete the “Enhance Understanding” lesson, call their attention to the works presented in the module, highlighting that many are drawn from various cultures. Ask students to conduct research about additional poems and poets from cultures other than their own. In small groups or as a class, engage students in a discussion. What are the similarities they noted among the various cultures and texts? Did any resounding differences stand out to them? What resonated with them about stylistic choices or literary techniques and how those were used?</t>
    </r>
  </si>
  <si>
    <r>
      <rPr>
        <rFont val="Arial"/>
        <b/>
        <color theme="1"/>
        <sz val="11.0"/>
      </rPr>
      <t xml:space="preserve">Show and Tell–Socratic Discussion: </t>
    </r>
    <r>
      <rPr>
        <rFont val="Arial"/>
        <color theme="1"/>
        <sz val="11.0"/>
      </rPr>
      <t>Remind students to integrate examples of fantasy and otherworldly elements when discussing how stories address questions about human behavior and society during Socratic discussions. Encourage them to practice stating, "In [fantasy story], the portrayal of [element] sheds light on [human behavior/societal issue]," or "The use of [fantasy element] in [author's] work challenges us to consider [impact on human behavior/societal norms]." Guide students to actively listen for opportunities to connect these elements to broader themes and issues. Conclude with a reflection on how effectively using fantasy elements enriched their discussions and how they can apply this approach to explore similar themes in different contexts.</t>
    </r>
  </si>
  <si>
    <r>
      <rPr>
        <rFont val="Arial"/>
        <b/>
        <color theme="1"/>
        <sz val="11.0"/>
      </rPr>
      <t>Show and Tell–Using Concrete, Sensory Details in Narrative Writing</t>
    </r>
    <r>
      <rPr>
        <rFont val="Arial"/>
        <color theme="1"/>
        <sz val="11.0"/>
      </rPr>
      <t>: Remind students why concrete and sensory details are essential in narrative writing to make stories more engaging. Review the following excerpt from the student exemplar: “Groaning and tumbling out of bed, his bare feet tracked over dusty floors, and he rushed into his prayer robes. His stomach grumbled and he turned around in the small, gray room, to find next to his bed, on a dining hall napkin, a ripe and red apple.” Discuss how these details create vivid visuals for the reader. Next, students should examine their drafts or outlines, focusing on where they can incorporate specific sensory (sight, sound, touch, taste, smell) and concrete (objects, actions, settings) details into two key scenes. If time permits, pair students for peer feedback on their revisions, discussing how effectively the added details enhance their narratives.</t>
    </r>
  </si>
  <si>
    <r>
      <rPr>
        <rFont val="Arial"/>
        <b/>
        <color theme="1"/>
        <sz val="11.0"/>
      </rPr>
      <t xml:space="preserve">Show and Tell--Introducing Research Papers: 
</t>
    </r>
    <r>
      <rPr>
        <rFont val="Arial"/>
        <color theme="1"/>
        <sz val="11.0"/>
      </rPr>
      <t xml:space="preserve">Ensure students feel confident in the research skills they have been honing throughout the year: Inquiry, refining questions, evaluating credible sources, summarizing, paraphrasing, quoting, and documenting evidence. Review any skills when necessary. 
After students complete </t>
    </r>
    <r>
      <rPr>
        <rFont val="Arial"/>
        <b/>
        <color theme="1"/>
        <sz val="11.0"/>
      </rPr>
      <t>The Purpose of Research Writing</t>
    </r>
    <r>
      <rPr>
        <rFont val="Arial"/>
        <color theme="1"/>
        <sz val="11.0"/>
      </rPr>
      <t>, frame the project as an opportunity for them to explore questions they may have surrounding the topic. The challenge lies in narrowing the focus. You may come up with a sample topic as you explicitly guide the class through the expectations for this unit and model how to form a research question and begin researching. For example, if the topic is travel, come up with three possible research questions for that topic as a class. Model the process for determining which sources are viable by searching the question and scanning results for students from your computer.</t>
    </r>
  </si>
  <si>
    <r>
      <rPr>
        <rFont val="Arial"/>
        <b/>
        <color theme="1"/>
        <sz val="11.0"/>
      </rPr>
      <t xml:space="preserve">Show and Tell-- Researcing for Clarity
</t>
    </r>
    <r>
      <rPr>
        <rFont val="Arial"/>
        <color theme="1"/>
        <sz val="11.0"/>
      </rPr>
      <t>As students begin crafting their writing, remind them to fully understand what they are paraphrasing. Emphasize the importance of comprehending unknown words when reading, paraphrasing, and quoting. Prompt students to look up unfamiliar words to ensure clarity, highlighting that word choice can significantly impact the strength of their writing.</t>
    </r>
  </si>
  <si>
    <r>
      <rPr>
        <rFont val="Arial"/>
        <b/>
        <color theme="1"/>
        <sz val="11.0"/>
      </rPr>
      <t xml:space="preserve">Show and Tell--Evaluating a Claim: 
</t>
    </r>
    <r>
      <rPr>
        <rFont val="Arial"/>
        <b val="0"/>
        <color theme="1"/>
        <sz val="11.0"/>
      </rPr>
      <t xml:space="preserve">Identify one claim that Foley makes in the text about food production or consumption and present it to the class. Together, guide students through determining whether or not that specific claim is valid. Ask students to identify where Foley supports said claim with factual evidence. Is the evidence relevant and cited appropriately? Does he include sufficient reasoning for the claim? Is the reasoning valid? Remind students that all of these elements work to support a strong claim and should be confirmed for their own writing as well. </t>
    </r>
  </si>
  <si>
    <r>
      <rPr>
        <rFont val="Arial"/>
        <b/>
        <color theme="1"/>
        <sz val="11.0"/>
      </rPr>
      <t xml:space="preserve">Show and Tell--Analyzing Point of View:
</t>
    </r>
    <r>
      <rPr>
        <rFont val="Arial"/>
        <b val="0"/>
        <color theme="1"/>
        <sz val="11.0"/>
      </rPr>
      <t>After students have read the text for this module, ask them how they think the author felt about Derek Drake and his work at Ditto Farms. Explain that the language and style an author uses can help the reader determine the author's point of view in a text. Ask students to take a few minutes to identify a piece of evidence from the text that illustrates Rockett's point of view and explain how it contributes to the author's point of view. 
For example: "When Rockett describes the farm's location as 'in view of a picturesque lake with catfish and bluegill', the reader pictures a peaceful, calming scene. His word choice shows that he has a positive, hopeful attitude towards Drake and Ditto Farms."</t>
    </r>
  </si>
  <si>
    <r>
      <rPr>
        <rFont val="Arial"/>
        <b/>
        <color theme="1"/>
        <sz val="11.0"/>
      </rPr>
      <t xml:space="preserve">Show and Tell- Summarizing Research:
</t>
    </r>
    <r>
      <rPr>
        <rFont val="Arial"/>
        <b val="0"/>
        <color theme="1"/>
        <sz val="11.0"/>
      </rPr>
      <t xml:space="preserve">After students complete </t>
    </r>
    <r>
      <rPr>
        <rFont val="Arial"/>
        <b/>
        <color theme="1"/>
        <sz val="11.0"/>
      </rPr>
      <t>Summarizing Informational Texts</t>
    </r>
    <r>
      <rPr>
        <rFont val="Arial"/>
        <b val="0"/>
        <color theme="1"/>
        <sz val="11.0"/>
      </rPr>
      <t xml:space="preserve">, give some time to do a quick search on a narrowed topic (e.g. food waste in schools). Ask students to select a source from their results and scan the text for the central idea and most important details to include in a summary. Allow students to share out their results and discuss their process for selecting the key information. Depending on your students' comfort levels with selecting appropriate sources and summarizing, you may modify this practice by modeling the process for students or doing it together as a whole class with a single topic and source. </t>
    </r>
  </si>
  <si>
    <r>
      <rPr>
        <rFont val="Arial"/>
        <b/>
        <color theme="1"/>
        <sz val="11.0"/>
      </rPr>
      <t>Show and Tell-- Evaluating Evidence in Research</t>
    </r>
    <r>
      <rPr>
        <rFont val="Arial"/>
        <color theme="1"/>
        <sz val="11.0"/>
      </rPr>
      <t xml:space="preserve">
After students complete </t>
    </r>
    <r>
      <rPr>
        <rFont val="Arial"/>
        <b/>
        <color theme="1"/>
        <sz val="11.0"/>
      </rPr>
      <t>Evaluating Evidence</t>
    </r>
    <r>
      <rPr>
        <rFont val="Arial"/>
        <color theme="1"/>
        <sz val="11.0"/>
      </rPr>
      <t xml:space="preserve">, tell them to do a quick search for an informational text on a topic of your choice. You might prompt them to explore a question related to sustainability in preparation for their portfolio piece or something unrelated, focusing on their own interest. Ask students to write down their own opinion on the topic before searching. As students search, check their results and provide feedback on their selections of credible sources. Once all students have identified a text on their topic, ask them to find one piece of evidence that would support their own opinion and one that would counter. The focus is evidence selection so it's okay if students don't have a precise, written claim. Pair or group students to share their rationale for their evidence selections and monitor the discussions to provide feedback on their thought process. </t>
    </r>
  </si>
  <si>
    <r>
      <rPr>
        <rFont val="Arial"/>
        <b/>
        <color theme="1"/>
        <sz val="11.0"/>
      </rPr>
      <t xml:space="preserve">Show and Tell-- Finding Outside Sources:
</t>
    </r>
    <r>
      <rPr>
        <rFont val="Arial"/>
        <b val="0"/>
        <color theme="1"/>
        <sz val="11.0"/>
      </rPr>
      <t xml:space="preserve">Give students time to briefly search outside sources and identify evidence they can use for their discussion. This can be done before or after they draw evidence from the unit texts, depending on how comfortable students are with the prompt. It will be helpful to set an expectation for the number of outside sources they should include. After students have had time to begin their search, guide students through the process of evaluating a source's credibility. Does the source include sufficient reasoning? Is the evidence relevant and fact-based? Are all sources cited appropriately? Evaluating an argument can be challenging for students, especially when they don't feel like experts on the topic. It's important to provide ample modeling as students develop this skill. </t>
    </r>
  </si>
  <si>
    <r>
      <rPr>
        <rFont val="Arial"/>
        <b/>
        <color theme="1"/>
        <sz val="11.0"/>
      </rPr>
      <t xml:space="preserve">Show and Tell-- Synthesizing Outside Sources:
</t>
    </r>
    <r>
      <rPr>
        <rFont val="Arial"/>
        <b val="0"/>
        <color theme="1"/>
        <sz val="11.0"/>
      </rPr>
      <t xml:space="preserve">Give students time to briefly search outside sources and identify evidence they can use for their discussion. This can be done before or after they draw evidence from the unit texts, depending on how comfortable students are with the prompt. It will be helpful to set an expectation for the number of outside sources they should include. After students have had time to begin their search, guide students through the process of evaluating a source's credibility. Does the source include sufficient reasoning? Is the evidence relevant and fact-based? Are all sources cited appropriately? Evaluating an argument can be challenging for students, especially when they don't feel like experts on the topic. It's important to provide ample modeling as students develop this skill. </t>
    </r>
  </si>
  <si>
    <r>
      <rPr>
        <rFont val="Arial"/>
        <b/>
        <color theme="1"/>
        <sz val="11.0"/>
      </rPr>
      <t xml:space="preserve">Show and Tell-- Researching to Compile Resources
</t>
    </r>
    <r>
      <rPr>
        <rFont val="Arial"/>
        <color theme="1"/>
        <sz val="11.0"/>
      </rPr>
      <t xml:space="preserve">As students write, remind them that paraphrasing and summarizing research serve different purposes as learned in previous units. While they should vary their use of paraphrasing and direct quotations, they must cite their sources regardless of the method used. Students should refer to the </t>
    </r>
    <r>
      <rPr>
        <rFont val="Arial"/>
        <b/>
        <color theme="1"/>
        <sz val="11.0"/>
      </rPr>
      <t xml:space="preserve">Research Toolkit </t>
    </r>
    <r>
      <rPr>
        <rFont val="Arial"/>
        <color theme="1"/>
        <sz val="11.0"/>
      </rPr>
      <t>for additional support.</t>
    </r>
  </si>
  <si>
    <r>
      <rPr>
        <rFont val="Arial"/>
        <b/>
        <color theme="1"/>
        <sz val="12.0"/>
      </rPr>
      <t>Show and Tell–Cause and Effect Informative Writing:</t>
    </r>
    <r>
      <rPr>
        <rFont val="Arial"/>
        <color theme="1"/>
        <sz val="12.0"/>
      </rPr>
      <t xml:space="preserve"> Start by reviewing the concept of cause and effect with the class, providing an example like: “The Industrial Revolution changed how goods were made and distributed (effect). This period saw the rise of factories and cities, transforming societies (effect) by shifting how people worked and lived (impact).” Present a list of topics (e.g., impact of social media, transportation, medical technology) or have students brainstorm ideas. Working in pairs, students select one. Distribute cause and effect graphic organizers for students to list key details of their chosen topic (cause) and its effects. Have students expand on one effect, describing how it could change the characters’ behaviors, motivations, or development; create or intensify conflicts within the story; or contribute to the story’s central themes or messages. In pairs, students will write a short paragraph or two incorporating their cause and its effects, showing the relationships between different story elements. Conclude by inviting a few students to share their Quick Journals and discussing how identifying cause and effect relationships can enhance their writing.</t>
    </r>
  </si>
  <si>
    <r>
      <rPr>
        <rFont val="Arial"/>
        <b/>
        <color theme="1"/>
        <sz val="11.0"/>
      </rPr>
      <t>Show and Tell–Developing Dramatic Action in Scenes:</t>
    </r>
    <r>
      <rPr>
        <rFont val="Arial"/>
        <color theme="1"/>
        <sz val="11.0"/>
      </rPr>
      <t xml:space="preserve"> Students will learn to develop dramatic action through storyboard creation. Explain flashback, flashforward, and parallel plot structure briefly. Use parallel plot structure to model. Teacher explains in a drama employing parallel plot structure, two distinct storylines unfold simultaneously, often intersecting or mirroring each other thematically or emotionally. The teacher can have students help model using the following example, in sports, a parallel plot structure may be, one storyline centered around a veteran coach battling with his team's losing streak, while the parallel storyline focuses on a promising rookie player navigating personal challenges off the field. As the coach grapples with pressure from management and dwindling fan support, the rookie faces adversity in balancing rigorous training schedules with academic responsibilities. Flesh out the idea together as a class. Then divide students into pairs or small groups and assign each group a scenario or prompt. Have students create a storyboard with three panels: one depicting a flashback scene revealing background information, another showing a flashforward scene hinting at a future event, and a third illustrating a parallel plot structure with two related storylines. Provide materials for storyboarding and allow 10-12 minutes for sketching and writing scene descriptions.Have groups share their storyboards, discussing how these techniques enrich storytelling and can be applied to their own writing for added depth and suspense.</t>
    </r>
  </si>
  <si>
    <r>
      <rPr>
        <rFont val="Arial"/>
        <b/>
        <color theme="1"/>
        <sz val="11.0"/>
      </rPr>
      <t>Show and Tell–Types of Conflict in Literature:</t>
    </r>
    <r>
      <rPr>
        <rFont val="Arial"/>
        <color theme="1"/>
        <sz val="11.0"/>
      </rPr>
      <t xml:space="preserve"> Review the six types of conflict. The teacher will discuss examples from "A Raisin in the Sun" that illustrate these conflict types (such as the family's internal struggles over the insurance money, Beneatha's conflict with her personal identity, etc.). Choose a specific scene or moment where the internal struggle over money is prominent, such as when the family discusses how to spend the insurance money. For example, the scene where Walter wants to invest in a liquor store, Beneatha wants to use the money for her education, and Mama wants to buy a house could be ideal. Explain how internal conflict is really driving the tension in the family dynamics. It's not just about money; it's about their dreams, values, and aspirations for the future. Divide students into six groups, assigning each one a type of conflict: Character vs. Character, Character vs. Self, Character vs. Society, Character vs. Nature, Character vs. Supernatural (Fate/Destiny), and Character vs. Technology. Each group will then create a short scenario (using dialogue) depicting their assigned type of conflict as a subplot in the play. Groups will share their scenarios with the class, discussing how understanding these conflicts enhances their grasp of literature and can be applied in their own writing to add depth and tension.</t>
    </r>
  </si>
  <si>
    <r>
      <rPr>
        <rFont val="Arial"/>
        <b/>
        <color theme="1"/>
        <sz val="11.0"/>
      </rPr>
      <t>Show and Tell–Developing Point of View:</t>
    </r>
    <r>
      <rPr>
        <rFont val="Arial"/>
        <color theme="1"/>
        <sz val="11.0"/>
      </rPr>
      <t xml:space="preserve"> Begin with a brief explanation and definition of first-person and third-person points of view, followed by reading and identifying the point of view from an excerpt in the play, “A Raisin in the Sun.” For example, read the lines at the beginning of Act II, Scene I. The teacher may use the following to model the writing task: First-person perspective (Ruth): I watched in bewilderment as Beneatha danced in her Nigerian outfit and Walter drunkenly shouted about Africa, masking my irritation with curt questions. Third-person perspective: Ruth watched Beneatha dance in her Nigerian outfit and Walter drunkenly shout about Africa, masking her irritation with curt questions. Ask students if one is more impactful and when one over another may be used in writing. Facilitate a discussion. Students will then choose a significant event from the play and write two short paragraphs: one from a first-person perspective and one from a third-person perspective. The activity will conclude with a few students sharing their paragraphs and a class discussion on how the different points of view influenced their descriptions and perceptions of the event.</t>
    </r>
  </si>
  <si>
    <r>
      <rPr>
        <rFont val="Arial"/>
        <b/>
        <color theme="1"/>
        <sz val="11.0"/>
      </rPr>
      <t>Show and Tell–Developing Dramatic Action:</t>
    </r>
    <r>
      <rPr>
        <rFont val="Arial"/>
        <color theme="1"/>
        <sz val="11.0"/>
      </rPr>
      <t xml:space="preserve"> Students will revisit their storyboards created earlier in the unit. Using the example of a sports drama with a struggling coach and rookie, explain how to show parallel plot structure by focusing on both characters' challenges. For instance, the coach might express, “We need to give our all today. Management's on our backs, and losing isn't an option.” Meanwhile, the rookie could say to his professor, “I've been training hard, but I need more time for my schoolwork. Can you extend the deadline?” Students will then write a short scene from their storyboard incorporating these elements, emphasizing how the parallel storylines intersect. For example, the coach might say, "We're in this together, team. Let's support each other through the challenges," while the rookie responds, "Coach, I'm doing my best, but I can't afford to fail my classes." This activity helps students develop dramatic action and dialogue in their storytelling.</t>
    </r>
  </si>
  <si>
    <r>
      <rPr>
        <rFont val="Arial"/>
        <b/>
        <color theme="1"/>
        <sz val="11.0"/>
      </rPr>
      <t>Developing Characters in Drama:</t>
    </r>
    <r>
      <rPr>
        <rFont val="Arial"/>
        <color theme="1"/>
        <sz val="11.0"/>
      </rPr>
      <t xml:space="preserve"> Discuss character development focusing on motivations and evolving values in response to challenges. Use the example of Jason, a privileged teen who moves to a low-income area and undergoes transformation through community engagement. Model a monologue for Jason reflecting his change in values: "Moving here opened my eyes. Wealth isn't just about money—it's about making a difference." In pairs, students create fictional characters and write a 5-7 sentence monologue showing their character's growth and new perspectives. Encourage sharing to explore how character evolution enhances storytelling.</t>
    </r>
  </si>
  <si>
    <r>
      <rPr>
        <rFont val="Arial"/>
        <b/>
        <color theme="1"/>
        <sz val="12.0"/>
      </rPr>
      <t>Show and Tell–Determining Themes in Drama:</t>
    </r>
    <r>
      <rPr>
        <rFont val="Arial"/>
        <color theme="1"/>
        <sz val="12.0"/>
      </rPr>
      <t xml:space="preserve"> Start by discussing how setting, plot events, and character actions shape themes in drama, using A Raisin in the Sun as an example. For instance, analyze how the cramped apartment setting reflects the Younger family's dreams and struggles, contrasting with the urban decay of their neighborhood to explore themes of aspirations versus reality. In pairs or small groups, students select a theme and brainstorm its development in a play, focusing on setting details, plot events, and character interactions. Assign each student a role—setting details, plot events, or character interactions—and have groups craft a concise paragraph (3-5 sentences) illustrating their theme in a dramatic scene. Encourage sharing to showcase varied approaches to theme exploration in dramatic writing.</t>
    </r>
  </si>
  <si>
    <r>
      <rPr>
        <rFont val="Arial"/>
        <b/>
        <color theme="1"/>
        <sz val="12.0"/>
      </rPr>
      <t>Show and Tell-- Researching for Cross-Cultural Parallels</t>
    </r>
    <r>
      <rPr>
        <rFont val="Arial"/>
        <color theme="1"/>
        <sz val="12.0"/>
      </rPr>
      <t xml:space="preserve">
Challenge students to conduct additional research on poets and writers from other cultures who have explored the theme: what happens to a dream deferred? Engage students in a discussion, asking them how the various texts compare to each other? Are there recurring symbols or metaphors used by poets and writers to convey the impact of unfulfilled aspirations? What does this say about humanism on a larger scale?</t>
    </r>
  </si>
  <si>
    <r>
      <rPr>
        <rFont val="Arial"/>
        <b/>
        <color theme="1"/>
        <sz val="11.0"/>
      </rPr>
      <t>Show and Tell–Performance:</t>
    </r>
    <r>
      <rPr>
        <rFont val="Arial"/>
        <color theme="1"/>
        <sz val="11.0"/>
      </rPr>
      <t xml:space="preserve"> Introduce tableau as a technique where students freeze in poses to vividly depict scenes from literature. Provide students with everyday event cards with phrases (such as a family dinner or a walk in the park) to interpret into tableau scenes. Divide students into small groups and instruct them to write an outline detailing their tableau, focusing on selecting key moments, poses, and expressions that effectively convey the scene. Encourage groups to discuss and plan how they will transition between poses if needed. Each group performs their tableau for the class, and classmates identify the specific scene depicted. Facilitate a discussion on how this activity will help further develop students’ writing.</t>
    </r>
  </si>
  <si>
    <r>
      <rPr>
        <rFont val="Arial"/>
        <b/>
        <color theme="1"/>
        <sz val="12.0"/>
      </rPr>
      <t>Show and Tell–Cause and Effect:</t>
    </r>
    <r>
      <rPr>
        <rFont val="Arial"/>
        <color theme="1"/>
        <sz val="12.0"/>
      </rPr>
      <t xml:space="preserve"> Using the story of "Goldilocks and the Three Bears," explore cause and effect in literature by discussing factors like curiosity, exploration, and consequences influencing Goldilocks' encounters with the three bears. For example, "Goldilocks' decision to enter the bears' house and sample their porridge and beds directly affects her interactions with the bears. Reflecting on her choices encourages us to think about how decisions shape our experiences." Students will choose one factor and write a paragraph exploring its impact on the story, connecting it to specific events or decisions. Emphasize concluding with a strong summary that reflects on the factor's importance. Discuss adding a thought-provoking question such as, "What might have happened if Goldilocks had made different choices?" Encourage revising conclusions to include a question and discuss how it enhances the impact of storytelling.</t>
    </r>
  </si>
  <si>
    <r>
      <rPr>
        <rFont val="Arial"/>
        <b/>
        <color theme="1"/>
        <sz val="12.0"/>
      </rPr>
      <t>Show and Tell–Personal Statement:</t>
    </r>
    <r>
      <rPr>
        <rFont val="Arial"/>
        <color theme="1"/>
        <sz val="12.0"/>
      </rPr>
      <t xml:space="preserve"> Encourage students to reflect on their strengths and insights for writing a personal statement by identifying interests, achievements, and goals in academics, career, or personal life. They should consider their motivations and define their core beliefs. As a teacher, model this process with your own journey. For instance, “Reflecting on my academic achievements, like completing my master's degree while working full-time, highlighted my commitment to education and perseverance. I also examined a challenging experience in a previous job, where I navigated a team conflict, demonstrating my ability to problem-solve and collaborate effectively under pressure. These reflections helped me define my core beliefs in continuous learning and resilience.” Students should also explore challenges they've overcome and acknowledge any failures, reflecting on the lessons learned. To organize their thoughts, students will use a graphic organizer to logically group information and show connections between insights.</t>
    </r>
  </si>
  <si>
    <r>
      <rPr>
        <rFont val="Arial"/>
        <b/>
        <color theme="1"/>
        <sz val="11.0"/>
      </rPr>
      <t>Show and Tell–Using Examples and Anecdotes to Explain Ideas:</t>
    </r>
    <r>
      <rPr>
        <rFont val="Arial"/>
        <color theme="1"/>
        <sz val="11.0"/>
      </rPr>
      <t xml:space="preserve"> Introduce using examples and anecdotes to support writing by explaining how examples offer concrete instances illustrating abstract concepts, and anecdotes provide engaging personal or fictional stories for context. Begin with a prompt like "Overcoming a Fear," modeling with a fictional anecdote such as a character conquering their fear of heights by scaling a tower with a friend's encouragement. Students will then create their own fictional anecdotes, showcasing various challenges and ways to overcome them, emphasizing specificity and relevance. Discuss how these techniques enhance clarity and persuasiveness in writing.</t>
    </r>
  </si>
  <si>
    <r>
      <rPr>
        <rFont val="Arial"/>
        <b/>
        <color rgb="FF333333"/>
        <sz val="11.0"/>
      </rPr>
      <t xml:space="preserve">Show and Tell–Impact of an Author’s Choices: Selecting and Arranging Details: </t>
    </r>
    <r>
      <rPr>
        <rFont val="Arial"/>
        <color rgb="FF333333"/>
        <sz val="11.0"/>
      </rPr>
      <t>Explore how authors shape writing by selecting and arranging details, using "Cinderella" as an example. Start with the traditional sequence of events in "Cinderella," then propose changing the order, such as moving Cinderella's transformation and arrival at the ball earlier in the story. Discuss with students how these changes could impact pacing, character development, and overall story impact. In pairs or small groups, have students have students brainstorm alternative arrangements. Students will choose an alternative arrangement and explain why they believe the author chose the original order and how their new arrangement could alter the story's meaning or emphasis.</t>
    </r>
  </si>
  <si>
    <r>
      <rPr>
        <rFont val="Arial"/>
        <b/>
        <color theme="1"/>
        <sz val="12.0"/>
      </rPr>
      <t xml:space="preserve">Show and Tell–Connotation and Denotation: </t>
    </r>
    <r>
      <rPr>
        <rFont val="Arial"/>
        <color theme="1"/>
        <sz val="12.0"/>
      </rPr>
      <t>Remind students about the difference between connotation (emotional associations) and denotation (literal meaning) in language. Ask students to think of a scenario related to their goals, such as reflecting on a past academic achievement or anticipating a future career milestone. First, have students describe the event using neutral, factual language focused on denotation (e.g., "I completed a challenging research project." "I am preparing for a competitive internship interview."). Then, instruct them to rewrite their description to change the tone or mood by selecting words with different connotations (e.g.,"I successfully conquered a rigorous research project.""I am eagerly anticipating a career-defining internship interview."). Have students exchange papers with a partner and identify the shifts in tone or mood. Discuss as a group how these word choices impact emotions, emphasizing the role of connotation in shaping tone and mood in writing.</t>
    </r>
  </si>
  <si>
    <r>
      <rPr>
        <rFont val="Arial"/>
        <b/>
        <color theme="1"/>
        <sz val="12.0"/>
      </rPr>
      <t>Show and Tell–Analyzing Connections in Informational Text:</t>
    </r>
    <r>
      <rPr>
        <rFont val="Arial"/>
        <color theme="1"/>
        <sz val="12.0"/>
      </rPr>
      <t xml:space="preserve"> Introduce students to various types of connections authors use, such as cause and effect (e.g., how technology affects job trends), compare and contrast (e.g., remote learning vs. traditional classrooms in education), and problem and solution (e.g., reducing ocean plastic waste). Discuss examples to illustrate these connections and discuss how they clarify complex issues. Ask students: "How do these connections deepen our understanding of informational texts?" Have students write a paragraph reflecting on a personal experience related to one of these connections, explaining its broader implications (e.g., technology's impact on family jobs). Facilitate a class discussion where students share and discuss their paragraphs, exploring how connections enhance their understanding of informational writing.
</t>
    </r>
  </si>
  <si>
    <r>
      <rPr>
        <rFont val="Roboto"/>
        <b/>
        <color theme="1"/>
        <sz val="11.0"/>
      </rPr>
      <t>Show and Tell- Researching to Make Decisions</t>
    </r>
    <r>
      <rPr>
        <rFont val="Roboto"/>
        <color theme="1"/>
        <sz val="11.0"/>
      </rPr>
      <t xml:space="preserve">
After students have completed the Career Exploration reading, give students time to visit the sources provided in the article and research different career paths they might be interested in. It may be helpful to provide students with an expectation on the number of paths you'd like them to explore. Visit one of the sources to model for students information they should be identifying. Give them some time to jot down notes on their jobs or fields. Once students are done, ask them to share which job or field they'd pick currently and what information led them to make that choice. This can be done in small groups or as a whole-class depending on time. </t>
    </r>
  </si>
  <si>
    <r>
      <rPr>
        <rFont val="Arial"/>
        <b/>
        <color theme="1"/>
        <sz val="11.0"/>
      </rPr>
      <t>Show and Tell–Researching Your Pitch</t>
    </r>
    <r>
      <rPr>
        <rFont val="Arial"/>
        <color theme="1"/>
        <sz val="11.0"/>
      </rPr>
      <t xml:space="preserve">
Let students know your criteria for selecting their pitch deck topics. It may be helpful to provide students with a prompt for their decks, e.g. </t>
    </r>
    <r>
      <rPr>
        <rFont val="Arial"/>
        <i/>
        <color theme="1"/>
        <sz val="11.0"/>
      </rPr>
      <t xml:space="preserve">What is the best career field for you? </t>
    </r>
    <r>
      <rPr>
        <rFont val="Arial"/>
        <color theme="1"/>
        <sz val="11.0"/>
      </rPr>
      <t xml:space="preserve">or </t>
    </r>
    <r>
      <rPr>
        <rFont val="Arial"/>
        <i/>
        <color theme="1"/>
        <sz val="11.0"/>
      </rPr>
      <t xml:space="preserve">Why should you be hired for your chosen job? </t>
    </r>
    <r>
      <rPr>
        <rFont val="Arial"/>
        <color theme="1"/>
        <sz val="11.0"/>
      </rPr>
      <t xml:space="preserve">Encourage them to search for multiple sources when researching their question or perhaps, set a requirement for the number of sources they need to use. As students accumulate information on their career possibilities, ensure the information is grounded in research, such as education required or job possibilities. </t>
    </r>
  </si>
  <si>
    <r>
      <rPr>
        <rFont val="Arial"/>
        <b/>
        <color theme="1"/>
        <sz val="11.0"/>
      </rPr>
      <t>Show and Tell–Personal Statement:</t>
    </r>
    <r>
      <rPr>
        <rFont val="Arial"/>
        <color theme="1"/>
        <sz val="11.0"/>
      </rPr>
      <t xml:space="preserve"> Students will revisit their self-interest reflection notes and brainstorm three ways they could use connections. Teacher will provide the following as examples: cause and effect (e.g., how experiences shaped their goals), compare and contrast (e.g., contrasting growth with challenges faced), and problem and solution (e.g., addressing personal obstacles overcome). Students will help teachers further develop one idea. They will write brief descriptions of these connections, focusing on clarity and relevance to the quality they want to celebrate in their personal statement. In pairs, students will share their connection ideas and discuss which one effectively celebrates the quality they want to highlight. Peers will provide feedback on clarity, impact, and relevance. Based on peer feedback, students will refine their personal statement drafts, focusing on incorporating the strongest connection that effectively celebrates the aspect of themselves they wish to highlight.</t>
    </r>
  </si>
  <si>
    <r>
      <rPr>
        <rFont val="Arial"/>
        <b/>
        <color theme="1"/>
        <sz val="12.0"/>
      </rPr>
      <t xml:space="preserve">Show and Tell–Literary Analysis: </t>
    </r>
    <r>
      <rPr>
        <rFont val="Arial"/>
        <color theme="1"/>
        <sz val="12.0"/>
      </rPr>
      <t>Introduce students to literary analysis by examining the author's craft in familiar stories such as fairy tales, focusing on character development, setting, plot, and theme. Begin with a discussion on literary analysis and the intentional choices authors make. Show a short video clip from the ending of a well-known fairy tale or story, such as Cinderella, highlighting its emotional depth as the protagonist achieves her dream. Discuss one or two of the following guiding questions, then facilitate small group discussions: What choices did the writers make regarding character development? How did the setting influence the emotional tone of the scene? How does this scene resolve the story's main conflict? What themes are conveyed through the character's journey? In small groups, students will discuss the author's choices and intentions, analyzing the craft and elements. Groups will share their insights and reflect on how understanding these choices can enhance their own writing. Students will apply this analysis throughout the unit to deepen their literary understanding and improve their own storytelling skills.</t>
    </r>
  </si>
  <si>
    <r>
      <rPr>
        <rFont val="Arial"/>
        <b/>
        <color theme="1"/>
        <sz val="12.0"/>
      </rPr>
      <t>Show and Tell–Traditional Tales-Creation Stories:</t>
    </r>
    <r>
      <rPr>
        <rFont val="Arial"/>
        <color theme="1"/>
        <sz val="12.0"/>
      </rPr>
      <t xml:space="preserve"> Students will explore elements of traditional tales and creation stories through Disney's Moana. Begin with a brief discussion about traditional tales, focusing on moral lessons, cultural values, animal symbolism, and supernatural phenomena. Introduce Moana as a modern creation story, highlighting characters like Moana, Maui, and Te Fiti, and themes from Polynesian mythology. Watch a clip from Moana, focusing on Maui's animal transformations (hawk, lizard, beetle) symbolizing different traits. Discuss these elements, emphasizing how the transformations contribute to Maui's character development and relate to cultural symbolism in Polynesian mythology. In small groups, brainstorm ideas for their own modern adaptation inspired by Moana, including characters, a creation event, cultural values, and a setting. Each group will summarize their adaptation to share, discussing how traditional tales continue to inspire contemporary storytelling.</t>
    </r>
  </si>
  <si>
    <r>
      <rPr>
        <rFont val="Arial"/>
        <b/>
        <color theme="1"/>
        <sz val="12.0"/>
      </rPr>
      <t xml:space="preserve">Show and Tell–Common Characters: </t>
    </r>
    <r>
      <rPr>
        <rFont val="Arial"/>
        <color theme="1"/>
        <sz val="12.0"/>
      </rPr>
      <t>Start by explaining common types of characters found in stories, such as heroes, mentors, or tricksters, and outline their typical traits. Use a Disney reference, such as Aladdin, to illustrate these further: Hero—Aladdin, who embarks on a journey to win Princess Jasmine's heart and save Agrabah; Mentor—Genie, who guides Aladdin through the challenges of using his wishes wisely; Villain—Jafar, plotting to seize power from the Sultan; Sidekicks—Abu and Carpet, who support Aladdin on his adventures; Trickster—Genie, known for his humor and magical antics. Analyze one. For example: "Genie in Aladdin serves as the Mentor, providing guidance and humor to help Aladdin navigate the challenges of using his wishes wisely and winning Princess Jasmine's heart. An example is when he advises Aladdin on how to impress Jasmine by being himself rather than pretending to be someone he's not." Divide the class into small groups and assign each group two common character types to compare and contrast in terms of traits and roles in stories. Groups discuss similarities and differences, exploring how character interactions drive the plot and create dynamic storytelling. Groups share their understanding of how these character types work together in a story to drive the plot forward and create more dynamic characters.</t>
    </r>
  </si>
  <si>
    <r>
      <rPr>
        <rFont val="Arial"/>
        <b/>
        <color theme="1"/>
        <sz val="11.0"/>
      </rPr>
      <t xml:space="preserve">Show and Tell–Setting: </t>
    </r>
    <r>
      <rPr>
        <rFont val="Arial"/>
        <color theme="1"/>
        <sz val="11.0"/>
      </rPr>
      <t>Remind students how authors use setting to develop themes in stories, starting with a clip from Beauty and the Beast where Belle explores the Beast's enchanted castle. Discuss with the class how the castle's setting reflects the theme of inner beauty versus outward appearance, and analyze Belle's interactions with the enchanted objects in relation to this theme. Prompt students to identify similar themes between Beauty and the Beast and other stories or films. After the discussion, divide students into small groups to explore how changing the setting (e.g., to a dark forest or dilapidated cottage) would support a different theme. Reflect on the impact of altering the setting on the portrayal of the theme, and have groups select a new theme to discuss how a changed setting could enhance its representation. Students will use sensory details to create a paragraph describing the new setting. They will share with the class, and others will try to guess the new theme. Throughout the unit, students will continue analyzing how settings influence themes across various texts and media, strengthening their grasp of narrative techniques.</t>
    </r>
  </si>
  <si>
    <r>
      <rPr>
        <rFont val="Arial"/>
        <b/>
        <color theme="1"/>
        <sz val="11.0"/>
      </rPr>
      <t>Show and Tell–Researching Examples:</t>
    </r>
    <r>
      <rPr>
        <rFont val="Arial"/>
        <color theme="1"/>
        <sz val="11.0"/>
      </rPr>
      <t xml:space="preserve"> 
After students have finished the Module 4 readings, give students time for a brief research task. Tell students they are looking for other influential ancient or sacred stories that have a major impact on our culture or society. It might be beneficial to give students fewer requirements for this shorter task to eliminate research fatigue. After students have had time to find multiple examples, allow them to share out which examples they found most interesting in pairs or as a whole-class.</t>
    </r>
  </si>
  <si>
    <r>
      <rPr>
        <rFont val="Arial"/>
        <b/>
        <color theme="1"/>
        <sz val="11.0"/>
      </rPr>
      <t xml:space="preserve">Show and Tell–Researching Additional Sources:
</t>
    </r>
    <r>
      <rPr>
        <rFont val="Arial"/>
        <b val="0"/>
        <color theme="1"/>
        <sz val="11.0"/>
      </rPr>
      <t xml:space="preserve">Once students have organized their information from the unit texts for the discussion, give them time to search and identify at least one outside source from which they can draw evidence to support their claim. Remind students to assess the credibility of the source they select and cite it appropriately in their student guide.  </t>
    </r>
  </si>
  <si>
    <r>
      <rPr>
        <rFont val="Arial"/>
        <b/>
        <color theme="1"/>
        <sz val="11.0"/>
      </rPr>
      <t xml:space="preserve">Show and Tell–Literary Analysis: </t>
    </r>
    <r>
      <rPr>
        <rFont val="Arial"/>
        <color theme="1"/>
        <sz val="11.0"/>
      </rPr>
      <t>As students prepare to write their literary analysis, they should reflect on the various activities completed in this unit that focused on understanding the author's craft. Begin by discussing how analyzing intentional choices in setting, theme, and character development (like in Cinderella) helped them notice key characteristics of characters and techniques that clarify the author’s themes. Reflect on how Moana highlighted elements of creation stories. Discuss how exploring common characters in Aladdin helped develop the plot and deepened their understanding of storytelling. Reflect on how the setting in Beauty and the Beast revealed the theme. Encourage students to discuss how these insights will inform their literary analysis essays by helping them identify and analyze characters, themes, and techniques more effectively as plan their writing.</t>
    </r>
  </si>
  <si>
    <r>
      <rPr>
        <rFont val="Arial"/>
        <b/>
        <color theme="1"/>
        <sz val="11.0"/>
      </rPr>
      <t xml:space="preserve">Show and Tell--Supporting Arguments: </t>
    </r>
    <r>
      <rPr>
        <rFont val="Arial"/>
        <color theme="1"/>
        <sz val="11.0"/>
      </rPr>
      <t>Before presenting the Direct Instruction lesson, ask students to share a thumbs up or down on how many have written and received feedback on more than one argument about a text in the past 12 months. The class may be familiar with many concepts related to Supporting Claims with Evidence, so the brief review of some of these concepts may be done independently or as a class depending on familiarity. After the Key Academic Terms have been introduced or reviewed, have students form groups of 4 students. Assign the topic based on the image in the unit overview or the statement "People can decide what kind of person they will become." Give each group two minutes to craft a paragraph including a claim, reason, evidence, and reasoning. Ask for volunteers and discuss a few sample paragraphs, noting strengths and areas for improvement as a class. Repeat with a new topic. Finally, gauge student comfort with understanding how to support arguments effectively. Repeat as warm up until mastered.</t>
    </r>
  </si>
  <si>
    <r>
      <rPr>
        <rFont val="Arial"/>
        <b/>
        <color theme="1"/>
        <sz val="11.0"/>
      </rPr>
      <t xml:space="preserve">Show and Tell--Author's Clauses and Phrases: </t>
    </r>
    <r>
      <rPr>
        <rFont val="Arial"/>
        <color theme="1"/>
        <sz val="11.0"/>
      </rPr>
      <t>After leading students through the Direct Instruction Lesson (Sentence Structure), and the steps leading up to the reading, share the following statement and tell students you will finish it together: "In the opening paragraph of his essay, Alice Walker..." Then count off into groups of four and have the ones look at the first sentence, the twos look at the second sentence, and so on. Have each group present only the basic subject and predicate with all other the adjective and adverb phrases stripped out. Read or play the paragraph out loud and have the class construct a single additional detail to the statement you shared. Ask the class to read the simple version of the paragraph then discuss the differences between the two versions. What more do we know about the narrator and her story as a result of these descriptive phrases? Which types of phrases does he use most? Adjective phrases, adverb phrases, appositives, prepositional phrases? What is the impact of the short sentences at the end of the paragraph?</t>
    </r>
  </si>
  <si>
    <r>
      <rPr>
        <rFont val="Arial"/>
        <b/>
        <color theme="1"/>
        <sz val="11.0"/>
      </rPr>
      <t>Show and Tell--Making Claims:</t>
    </r>
    <r>
      <rPr>
        <rFont val="Arial"/>
        <color theme="1"/>
        <sz val="11.0"/>
      </rPr>
      <t xml:space="preserve"> Ask students to create claim statements based on the prompt. Have 2-3 students offer to workshop their claims. Have students record the prompt separately on a piece of paper. Then have them circle the main question they must answer, draw a box around the specific aspects of the main question they must address, breaking the question down into as many parts as necessary. In pairs, have students list all the questions or tasks outlined in the prompt then review them as a class. Model the checklist with several of the claims. Then have students revise their claims and continue to develop.</t>
    </r>
  </si>
  <si>
    <r>
      <rPr>
        <rFont val="Arial"/>
        <b/>
        <color theme="1"/>
        <sz val="11.0"/>
      </rPr>
      <t>Show and Tell--Crafting Author's Message:</t>
    </r>
    <r>
      <rPr>
        <rFont val="Arial"/>
        <color theme="1"/>
        <sz val="11.0"/>
      </rPr>
      <t xml:space="preserve"> Review sentence: As the neglected garden slowly withered, it mirrored the growing distance between the two old friends. Discuss what author’s message can be identified.
Have students pair up and talk about two more model sentences:
Every time she saw the empty chair at the dinner table, she felt the weight of unspoken words and missed opportunities.
The cracked photograph on the mantelpiece told stories of a time when laughter echoed through the halls.
Have students write their own sentences which convey the author’s message.
</t>
    </r>
  </si>
  <si>
    <r>
      <rPr>
        <rFont val="Arial"/>
        <b/>
        <color theme="1"/>
        <sz val="11.0"/>
      </rPr>
      <t>Show and Tell--Writing Arguments:</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opporutinity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</si>
  <si>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thier claim. These reasoning statements help connect the inferences about the meaning of words and phrases back to their claim. After modeling a few examples of how to be sure the evidence is fully explained, have students review the writing prompt and work in pairs to flesh thier notes out more fully.</t>
    </r>
  </si>
  <si>
    <r>
      <rPr>
        <rFont val="Arial"/>
        <b/>
        <color theme="1"/>
        <sz val="11.0"/>
      </rPr>
      <t>Show and Tell--Writing Arguments:</t>
    </r>
    <r>
      <rPr>
        <rFont val="Arial"/>
        <color theme="1"/>
        <sz val="11.0"/>
      </rPr>
      <t xml:space="preserve"> Have students use the </t>
    </r>
    <r>
      <rPr>
        <rFont val="Arial"/>
        <b/>
        <color theme="1"/>
        <sz val="11.0"/>
      </rPr>
      <t xml:space="preserve">Best Practices: Compare Texts </t>
    </r>
    <r>
      <rPr>
        <rFont val="Arial"/>
        <color theme="1"/>
        <sz val="11.0"/>
      </rPr>
      <t>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recieve based on the criteria. Next, look at the most recent draft in the same area and evaluate the differences in how each compares with the previous level of proficiency. Model the process using your own piece or using an anonymyzed version of one or more students' claims as an example.</t>
    </r>
  </si>
  <si>
    <r>
      <rPr>
        <rFont val="Arial"/>
        <b/>
        <color theme="1"/>
        <sz val="11.0"/>
      </rPr>
      <t>Show and Tell: Impact of Author's Word Choice:</t>
    </r>
    <r>
      <rPr>
        <rFont val="Arial"/>
        <color theme="1"/>
        <sz val="11.0"/>
      </rPr>
      <t xml:space="preserve"> Display this sentence: The dog ran across the field, chasing after a ball. Ask students to give their impressions about what the author is trying to convey.
Then display this sentence: The dog surged across the field like a bolt of lightning, muscles rippling and paws pounding the earth with every fierce stride. Again, ask students their impressions. Have them identify the words that create those impressions. (Without using the word "power," the author has created it. You could also ask students if changing the word "bolt" to "streak" would change anything).
Have students use these models to create the first, then second sentence. Have partners identify the author’s meanings.
</t>
    </r>
  </si>
  <si>
    <t>11 (In SG)</t>
  </si>
  <si>
    <t>Wherever in Rags you can find</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</si>
  <si>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asking a research question about one of the authors or topic in the first unit. As students begin research, they should focus on moving from inquiry to deeper research. Their goal will be to find three valid and reliable sources that illuminate something about the biographies of these American authors, the topics they write about, or the influence they have had on American literature as a result of their achievments. They should cite sources for their research. They should prepare a brief, informal 2-3 slide presentation about the author of their choice which will be added to a timeline of authors from various periods in American Literature over the course of the year.
</t>
    </r>
  </si>
  <si>
    <t>Build Your Knowledge Together</t>
  </si>
  <si>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</si>
  <si>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r>
      <rPr>
        <rFont val="Arial"/>
        <b/>
        <color theme="1"/>
        <sz val="11.0"/>
      </rPr>
      <t xml:space="preserve">Show and Tell–Narrative Introductions: </t>
    </r>
    <r>
      <rPr>
        <rFont val="Arial"/>
        <color theme="1"/>
        <sz val="11.0"/>
      </rPr>
      <t xml:space="preserve">Students will write their personal narratives in this module.  Their topic is: “Write about a personal moment when you realized how your family and heritage impacted your individual beliefs and values.” To help them begin, review Narrative Beginnings Direct Instruction and then, with you as a model, show them several techniques to begin the narrative. As a class, have them develop these with rich details that would round out a narrative beginning.  Then, have them start their narrative beginning, which will answer the portfolio’s question.
Answer the question directly: Watching my father take the oath of American citizenship made me value his courage to adopt a new country. 
Introduce characters: My tribal elder listened long enough for me to grow up.
Introduce setting: The last view of my country was shrouded in darkness and ominous violence.
Introduce the dialogue: The principal said the words that would change me: “You must cut your hair or not participate in the ceremony.”
Help them note the interest these create, acting as a hook and an introduction.
</t>
    </r>
  </si>
  <si>
    <t>Wherever in Rags you can find room</t>
  </si>
  <si>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position on reinvesting scarce tax dollars in our national parks. In their groups, have them briefly discuss their thinking. Then share arguments across groups. As they debrief to show that there are many sides to all policies and good arguments to support multiple sides of the same issue, such as the shared value of access to nature. (Example: We need national parks to preserve the best parts of nature and teach conservation, especially as the world suffers from climate change. National Parks very far from many people whose tax dollars might be more useful locally.)</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</si>
  <si>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 audience cares deeply about animals becoming extinct, they might want to hear about how national parks enables conservation of endangered animals. Alternatively if they care deeply about tax burdens that come with public spaces, they might not be so convinced. They might need an argument based on economic benefits. Based on the audience's values, the issues they care about most, an explicit statistic, an illustrative and powerful story, or a famous quotation can make a great hook. Have students think of a recent debate they watched or had with others? Ask, how did you know what would appeal to others? Was that information you had going in or what you gathered based on the exchange?</t>
    </r>
  </si>
  <si>
    <r>
      <rPr>
        <rFont val="Arial"/>
        <b/>
        <color theme="1"/>
        <sz val="11.0"/>
      </rPr>
      <t xml:space="preserve">Show and Tell--Choosing the Best Evidence: </t>
    </r>
    <r>
      <rPr>
        <rFont val="Arial"/>
        <color theme="1"/>
        <sz val="11.0"/>
      </rPr>
      <t xml:space="preserve">Provide students with these examples.  As a class, discuss the BEST piece of evidence to use for the claim and why. Repeat practice until students have mastered it.
Claim: Hiking is an enriching outdoor activity with numerous benefits.
1 Hiking promotes physical fitness by improving cardiovascular health, muscle strength, and endurance through varied terrain and elevation changes. 2 Spending time in nature while hiking reduces stress levels, enhances mental well-being, and provides opportunities for mindfulness and relaxation. 3  Many outdoor enthusiasts enjoy hiking, indicating its popularity as a recreational pursuit.
Claim: Preserving endangered animals is crucial for maintaining biodiversity and ecological balance.
1 Endangered animals play key roles in their ecosystems, such as pollination, seed dispersal, and maintaining food chains. 2 Protecting endangered species helps prevent the loss of genetic diversity, which is essential for adaptation to environmental changes. 3 Many conservation organizations focus on preserving endangered animals, highlighting the global concern and efforts in wildlife conservation.
</t>
    </r>
  </si>
  <si>
    <r>
      <rPr>
        <rFont val="Arial"/>
        <b/>
        <color theme="1"/>
        <sz val="11.0"/>
      </rPr>
      <t xml:space="preserve">Show and Tell--Linking Claims and Reasoning: </t>
    </r>
    <r>
      <rPr>
        <rFont val="Arial"/>
        <color theme="1"/>
        <sz val="11.0"/>
      </rPr>
      <t xml:space="preserve">Using the claims from Module 2, show how the reasoning explains the relationship between the claim and the evidence. Practice the second claim as a class and provide other examples for further practice.
Claim with reason: Hiking is an enriching outdoor activity with numerous benefits, particularly health benefits.
Evidence: Hiking promotes physical fitness by improving cardiovascular health, muscle strength, and endurance through varied terrain and elevation changes.
Reasoning: Both cardiovascular health and muscle strength of hiking boosts the overall health of those who participate.
Claim: Preserving endangered animals is crucial for maintaining biodiversity and ecological balance.
Evidence: Endangered animals play key roles in their ecosystems, such as pollination, seed dispersal, and maintaining food chains. </t>
    </r>
  </si>
  <si>
    <r>
      <rPr>
        <rFont val="Arial"/>
        <b/>
        <color theme="1"/>
        <sz val="11.0"/>
      </rPr>
      <t>Show and Tell--Writing Appeals and Counterclaims:</t>
    </r>
    <r>
      <rPr>
        <rFont val="Arial"/>
        <color theme="1"/>
        <sz val="11.0"/>
      </rPr>
      <t xml:space="preserve">
Discuss this example showing how writers use each type of appeal in arguments. Have students notice how the strongest counterclaim is addressed yet discounted.  Have students pair up and practice with their claims, giving examples of each appeal and counterclaim.
Claim: Preserving endangered animals is crucial for maintaining biodiversity and ecological balance.
Logos Appeal
Scientific research demonstrates that each species plays a unique role in its environment, and the loss of even a single species can disrupt food chains, lead to overpopulation of other species, and negatively impact ecosystem health and resilience.
Pathos Appeal
Imagine the majesty of a tiger prowling through the forest or the grace of a sea turtle gliding through the ocean; their loss would not only signify the end of their species but also deprive future generations of experiencing their beauty and ecological significance.
Ethos Appeal
Renowned conservationists and environmental organizations, such as the World Wildlife Fund (WWF) and the International Union for Conservation of Nature (IUCN), emphasize the critical importance of preserving endangered species.
Counterclaim
</t>
    </r>
    <r>
      <rPr>
        <rFont val="Arial"/>
        <b/>
        <color theme="1"/>
        <sz val="11.0"/>
      </rPr>
      <t>Preservation requires significant financial and resource investment;</t>
    </r>
    <r>
      <rPr>
        <rFont val="Arial"/>
        <color theme="1"/>
        <sz val="11.0"/>
      </rPr>
      <t xml:space="preserve"> however, without biodiversity, humans' fate could hang in the balance. 
</t>
    </r>
  </si>
  <si>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the debates over national parks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</si>
  <si>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t>11 (In SG))</t>
  </si>
  <si>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</si>
  <si>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r>
      <rPr>
        <rFont val="Arial"/>
        <b/>
        <color theme="1"/>
        <sz val="11.0"/>
      </rPr>
      <t xml:space="preserve">Show and Tell–Writing a Conclusion: </t>
    </r>
    <r>
      <rPr>
        <rFont val="Arial"/>
        <color theme="1"/>
        <sz val="11.0"/>
      </rPr>
      <t>Students must understand the structure of conclusions in argumentative writing to complete their portfolio.  They need to have practice on each type of conclusion: a summary, a focus on the main point, or a call to action. Model each type of concluding work by demonstrating how an author would write a conclusion based on the claim, “We can save wild animals by saving national parks.”
Summary Conclusion:
In conclusion, we can save wild animals by saving national parks. National parks serve as critical habitats for countless species, providing them with the protection and resources they need to thrive. By preserving these natural areas, we safeguard the wildlife within them and maintain the biodiversity essential for ecological balance. Efforts to conserve and expand national parks are vital to ensuring the survival of many wild animals and the health of our planet's ecosystems.
Call to Action Conclusion:
We can save wild animals by saving national parks, and we must take action now. Policymakers, environmental organizations, and individuals must prioritize protecting and expanding national parks. By supporting conservation efforts, advocating for more robust ecological policies, and raising awareness about the importance of these protected areas, we can ensure that wild animals have the habitats they need to survive. Together, we can make a difference and preserve our planet's natural beauty and biodiversity for future generations. 
Main Point Focus Conclusion:
Saving national parks is crucial for the preservation of wild animals. These protected areas offer a safe haven where wildlife can live and breed without the threat of human encroachment. National parks also help maintain ecological balance by preserving diverse habitats and ecosystems. By focusing on the conservation of national parks, we can provide a sanctuary for endangered species and promote biodiversity, which is essential for the health of our environment.</t>
    </r>
  </si>
  <si>
    <r>
      <rPr>
        <rFont val="Arial"/>
        <b/>
        <color theme="1"/>
        <sz val="11.0"/>
      </rPr>
      <t>Show and Tell: Multiple, Parallel Plots and Subplots:</t>
    </r>
    <r>
      <rPr>
        <rFont val="Arial"/>
        <color theme="1"/>
        <sz val="11.0"/>
      </rPr>
      <t xml:space="preserve"> As narrative plots evolve, they begin to add more complexity. Students should have mastered the primary plot line. Now, introduce the idea of multiple and parallel plots with subplots, demonstrating them with the example.  Then, have students create their multiple plot arcs for story ideas they develop.
Example Frozen II
Elsa's Quest: Elsa embarks on a journey to discover the origins of her magical powers and save Arendelle from a mysterious threat. Her journey takes her to the enchanted forest and beyond, where she seeks answers about her past and her powers.
Anna's Journey: Anna, along with Kristoff, Sven, and Olaf, also sets out on a journey. While she supports Elsa, Anna has her path to follow, which involves understanding her place in the world and dealing with the changes around her.
Subplot (also parallel):
Olaf's Exploration: Olaf, the snowman, explores the concept of change and growth, providing comic relief and philosophical insights throughout the story.
These parallel plot lines converge towards the end, creating a rich and complex narrative structure that explores identity, family, and personal growth themes.
</t>
    </r>
  </si>
  <si>
    <r>
      <rPr>
        <rFont val="Arial"/>
        <b/>
        <color theme="1"/>
        <sz val="11.0"/>
      </rPr>
      <t>Show and Tell-Dynamic Character Evolution:</t>
    </r>
    <r>
      <rPr>
        <rFont val="Arial"/>
        <color theme="1"/>
        <sz val="11.0"/>
      </rPr>
      <t xml:space="preserve"> Students will be writing a short story at the end of this unit.  Their character development has been flat up to this point.  In this lesson, use a Disney character to show how a character has one set of values at the beginning of a story and, because of some event, can ultimately undergo growth (Dynamic Characterization). This change is also in the short story “The Bet.”
Trace the character change in the following example.  Then, ask students to write a character with one set of traits, an event that might cause profound change, and the growth in character values. Share original work with the class.
Example to model:
Character: Kuzco from "The Emperor's New Groove."
He is a selfish, arrogant, and entitled emperor who cares only about his pleasure and power. He plans to demolish a village to build his luxurious summer palace, disregarding the villagers' lives and well-being.
After being transformed into a llama and experiencing life from a different perspective (event), Kuzco learns humility, empathy, and the value of friendship over his pleasures. He has developed a deep respect for others (changed values).
</t>
    </r>
  </si>
  <si>
    <r>
      <rPr>
        <rFont val="Arial"/>
        <b/>
        <color theme="1"/>
        <sz val="11.0"/>
      </rPr>
      <t xml:space="preserve">Show and Tell - Dialogue to Advance the Plot
</t>
    </r>
    <r>
      <rPr>
        <rFont val="Arial"/>
        <color theme="1"/>
        <sz val="11.0"/>
      </rPr>
      <t xml:space="preserve">
As a class, review the importance of dialogue with students. Dialgoue is used to advance the plot, develop characters, and develop experiences for the reader. </t>
    </r>
    <r>
      <rPr>
        <rFont val="Arial"/>
        <i/>
        <color theme="1"/>
        <sz val="11.0"/>
      </rPr>
      <t xml:space="preserve">Eveline </t>
    </r>
    <r>
      <rPr>
        <rFont val="Arial"/>
        <color theme="1"/>
        <sz val="11.0"/>
      </rPr>
      <t xml:space="preserve">by James Joyce uses little dialogue. As a class, review the lines of dialogue. Notice that the dialogue is few and short. Brainstorm why Joyce might have made that decision and how those pieces of dialogue add to the development of the plot. Then, ask students, in pairs, to rewrite the ending using more dialogue between Eveline and Frank (7-10 lines of dialogue). Remind students about the importance of using a variety of dialogue tags as well. Ask for volunteers to share the dialogue. Then, as a class, discuss how the new dialogue changed the plot (if at all) and disucss the importance of intentionalty of the additional dialogue. </t>
    </r>
  </si>
  <si>
    <r>
      <rPr>
        <rFont val="Arial"/>
        <b/>
        <color theme="1"/>
        <sz val="11.0"/>
      </rPr>
      <t>Show and Tell--Irony of Double Meanings:</t>
    </r>
    <r>
      <rPr>
        <rFont val="Arial"/>
        <color theme="1"/>
        <sz val="11.0"/>
      </rPr>
      <t xml:space="preserve"> In the short story “Anyone Can Do It,” the author uses irony throughout, but the title itself is ironic—it has a double meaning. The title of the movie Cast Away also had an ironic double meaning. 
Example: The title "Cast Away" carries an ironic double meaning, as it refers both to the protagonist being stranded on a deserted island (literally cast away) and to his struggle with feelings of isolation and abandonment in his life before and after the ordeal (metaphorically cast away).
Ask students to “write” a title of their short story of their creation and to explain the double meaning, modeled by the example. Have students share their creations.
</t>
    </r>
  </si>
  <si>
    <r>
      <rPr>
        <rFont val="Arial"/>
        <b/>
        <color theme="1"/>
        <sz val="11.0"/>
      </rPr>
      <t>Show and Tell--Multiple POV:</t>
    </r>
    <r>
      <rPr>
        <rFont val="Arial"/>
        <color theme="1"/>
        <sz val="11.0"/>
      </rPr>
      <t xml:space="preserve"> Authors sometimes use multiple perspectives to tell a story to give the reader insight into a character or theme.  Discuss how this is done in a movie and the purpose of it.  The short story “Apollo” uses the same technique.  Have the students pair up and create characters in the same vein as the example provided.  Have students share their story ideas.
A Disney movie with multiple points of view is "Zootopia." In this film, the story is told from the perspectives of both Judy Hopps, the optimistic and determined rabbit police officer, and Nick Wilde, the sly and street-smart fox con artist. 
Judy Hopps explains her determination to become a police officer despite the societal expectations and prejudices she faced growing up. She recalls her childhood in Bunnyburrow, where she was discouraged by her family and others from pursuing her dream because rabbits were not traditionally seen as suitable for police work. This background reveals her resilience and commitment to challenging stereotypes and achieving her goals.
Nick Wilde tells Judy about a traumatic childhood experience. Nick reveals that he once wanted to join the local Junior Ranger Scouts, but he was bullied and muzzled by the other scouts because they believed that, as a fox, he could not be trusted. This incident led him to adopt a cynical attitude and reinforced his belief that society would always view him as a predator. This background story explains Nick's distrustful and jaded outlook on life, shedding light on his character's motivations and behavior.
As they team up to solve a mystery, the narrative shifts between their viewpoints, providing insights into their backgrounds, motivations, and evolving relationships. 
This multi-perspective storytelling allows the audience to see the complexities of the characters and the diverse world of Zootopia from different angles.
</t>
    </r>
  </si>
  <si>
    <t>After Enhance Understanding</t>
  </si>
  <si>
    <r>
      <rPr>
        <rFont val="Arial"/>
        <b/>
        <color theme="1"/>
        <sz val="11.0"/>
      </rPr>
      <t xml:space="preserve">Show and Tell-- Researching Conflict within Cultures
</t>
    </r>
    <r>
      <rPr>
        <rFont val="Arial"/>
        <color theme="1"/>
        <sz val="11.0"/>
      </rPr>
      <t>Upon completion of the “Enhance Understanding” section of the lesson, tell students they will research an additional historical conflict and compare and contrast it to one of the texts in the unit. Ask students: How did the conflict you are researching affect the societies involved, both during and after the conflict? How do these consequences compare to those in the text we studied?</t>
    </r>
  </si>
  <si>
    <r>
      <rPr>
        <rFont val="Arial"/>
        <b/>
        <color theme="1"/>
        <sz val="11.0"/>
      </rPr>
      <t xml:space="preserve">Show and Tell--Research: </t>
    </r>
    <r>
      <rPr>
        <rFont val="Arial"/>
        <color theme="1"/>
        <sz val="11.0"/>
      </rPr>
      <t>Research universal values and how they change across cultures. Use the research in your Socratic Discussion.</t>
    </r>
  </si>
  <si>
    <r>
      <rPr>
        <rFont val="Arial"/>
        <b/>
        <color theme="1"/>
        <sz val="11.0"/>
      </rPr>
      <t>Show and Tell: Narrative Endings:</t>
    </r>
    <r>
      <rPr>
        <rFont val="Arial"/>
        <color theme="1"/>
        <sz val="11.0"/>
      </rPr>
      <t xml:space="preserve"> As a teacher, have the students research the movie </t>
    </r>
    <r>
      <rPr>
        <rFont val="Arial"/>
        <i/>
        <color theme="1"/>
        <sz val="11.0"/>
      </rPr>
      <t>Clue</t>
    </r>
    <r>
      <rPr>
        <rFont val="Arial"/>
        <color theme="1"/>
        <sz val="11.0"/>
      </rPr>
      <t xml:space="preserve"> and its ending history. The movie was released with three different endings, and other theaters showed different versions. At the end of the home video release, all three endings are presented as possible solutions to the mystery. Each ending offers a different perspective on who committed the murder, providing a unique twist on the narrative.
 Have them also research </t>
    </r>
    <r>
      <rPr>
        <rFont val="Arial"/>
        <i/>
        <color theme="1"/>
        <sz val="11.0"/>
      </rPr>
      <t>The Stanley Parable</t>
    </r>
    <r>
      <rPr>
        <rFont val="Arial"/>
        <color theme="1"/>
        <sz val="11.0"/>
      </rPr>
      <t xml:space="preserve"> and </t>
    </r>
    <r>
      <rPr>
        <rFont val="Arial"/>
        <i/>
        <color theme="1"/>
        <sz val="11.0"/>
      </rPr>
      <t>The Chrono Trigger</t>
    </r>
    <r>
      <rPr>
        <rFont val="Arial"/>
        <color theme="1"/>
        <sz val="11.0"/>
      </rPr>
      <t xml:space="preserve">, both video games that allow students to choose the endings.  Discuss as a class how an author can create these ambiguities.  Students have practiced ending narratives. As they complete the conflict resolution for their short story, have them write three different endings: one that requires an implicit resolution, one that requires a surprise resolution, and a final one that requires an ambiguous resolution. Ask students to exchange conclusions and get partner feedback on which conclusion works best with their short story.  
</t>
    </r>
  </si>
  <si>
    <t>Personal Goal Setting</t>
  </si>
  <si>
    <t>Prompt students to research the science behind goal setting. Engage students in a discussion of their findings. Some possible discussion questions are: What do statistics reveal about the correlation between goals and achievement? What possible reasons can we infer for this relationship? How might this concept be applied to other areas of life?</t>
  </si>
  <si>
    <t>To extend their vocabulary learning, guide students to research cognates and other Latin-based languages. What patterns do they notice in the cognates they found between English and the Latin-based language? How does the history of a word’s evolution reflect cultural or historical changes?</t>
  </si>
  <si>
    <r>
      <rPr>
        <rFont val="Arial"/>
        <b/>
        <color theme="1"/>
        <sz val="11.0"/>
      </rPr>
      <t xml:space="preserve">Show and Tell- Researching Similarities
</t>
    </r>
    <r>
      <rPr>
        <rFont val="Arial"/>
        <color theme="1"/>
        <sz val="11.0"/>
      </rPr>
      <t>Ask students to research food deserts with a focus on finding parallels between food and water shortages. Look for similarities in accessibility issues and the potential impacts on daily life.</t>
    </r>
  </si>
  <si>
    <r>
      <rPr>
        <rFont val="Arial"/>
        <b/>
        <color theme="1"/>
        <sz val="11.0"/>
      </rPr>
      <t xml:space="preserve">Show and Tell-- Researching for Counterarguments
</t>
    </r>
    <r>
      <rPr>
        <rFont val="Arial"/>
        <color theme="1"/>
        <sz val="11.0"/>
      </rPr>
      <t>While applying their learning, ask students to consider some possible counterarguments to the author’s viewpoint. As a class, brainstorm a list of potential counterclaims and prompt students to research some sources that might support some of these.</t>
    </r>
  </si>
  <si>
    <t>Ask students to conduct some brief research about Margaret Osborne's background and previous works to understand her perspective on water management issues in the West. Prompt students to share their findings in small groups or with partners.</t>
  </si>
  <si>
    <r>
      <rPr>
        <rFont val="Arial"/>
        <b/>
        <color theme="1"/>
        <sz val="11.0"/>
      </rPr>
      <t xml:space="preserve">Show and Tell-- Researching for Credibility
</t>
    </r>
    <r>
      <rPr>
        <rFont val="Arial"/>
        <color theme="1"/>
        <sz val="11.0"/>
      </rPr>
      <t>Ask students to research a few sources as additional practice to assess the credibility of various sources. Ask them to find one credible and one not credible source and present their findings to a partner.</t>
    </r>
  </si>
  <si>
    <t>Plan Your Research- Step 2</t>
  </si>
  <si>
    <r>
      <rPr>
        <rFont val="Arial"/>
        <b/>
        <color theme="1"/>
        <sz val="11.0"/>
      </rPr>
      <t xml:space="preserve">Show and Tell--  Researching and Paraphrasing
</t>
    </r>
    <r>
      <rPr>
        <rFont val="Arial"/>
        <color theme="1"/>
        <sz val="11.0"/>
      </rPr>
      <t>When research writing and gathering sources, remind students to fully understand what they are paraphrasing. Explain the importance of comprehending unknown words when reading, paraphrasing, and quoting. Prompt students to look up unfamiliar words to ensure clarity, highlighting that word choice can significantly impact the strength of their writing.</t>
    </r>
  </si>
  <si>
    <t>After Reflect on Essential Question</t>
  </si>
  <si>
    <r>
      <rPr>
        <rFont val="Arial"/>
        <b/>
        <color theme="1"/>
        <sz val="11.0"/>
      </rPr>
      <t xml:space="preserve">Show and Tell-- Researching to Collaborate
</t>
    </r>
    <r>
      <rPr>
        <rFont val="Arial"/>
        <color theme="1"/>
        <sz val="11.0"/>
      </rPr>
      <t>When beginning to plan for the discussion, ask students to conduct online research to explore videos and transcripts of professional panel discussions to understand their format and expectations. Ask them to share anything that stood out to them with the class.</t>
    </r>
  </si>
  <si>
    <t>Collect Your Research</t>
  </si>
  <si>
    <r>
      <rPr>
        <rFont val="Arial"/>
        <b/>
        <color theme="1"/>
        <sz val="11.0"/>
      </rPr>
      <t>Show and Tell-- Research for Supporting Evidence</t>
    </r>
    <r>
      <rPr>
        <rFont val="Arial"/>
        <color theme="1"/>
        <sz val="11.0"/>
      </rPr>
      <t xml:space="preserve">
When researching for evidence, remind students to use a variety of professional and scholarly texts, both print and non-print. Using a variety of mediums, such as journals, newspapers, interviews, and websites, allows for well-rounded and thorough research. Encourage students to use the Research Toolkit for additional support.</t>
    </r>
  </si>
  <si>
    <r>
      <rPr>
        <rFont val="Arial"/>
        <b/>
        <color theme="1"/>
        <sz val="11.0"/>
      </rPr>
      <t>Show and Tell--Cause and Effect Chain:</t>
    </r>
    <r>
      <rPr>
        <rFont val="Arial"/>
        <color theme="1"/>
        <sz val="11.0"/>
      </rPr>
      <t xml:space="preserve"> Some people equate Disney’s Lion King to Macbeth (also Hamlet). Trace a cause/effect chain of The Lion King to show how the corrupt nature of power plays out when someone does an evil deed for personal gain.
Cause: Scar plans to kill Mufasa, and Simba-Scar wants ultimate power.
Effect: Mufasa is killed in the wildebeest stampede, and Simba is manipulated into fleeing the Pride Lands, leaving Scar to take over as king.
Cause: Simba grows up in the jungle with Timon and Pumbaa
Effect: Simba adopts a carefree lifestyle and the philosophy of "Hakuna Matata," forgetting his responsibilities as the future king.
Cause: Nala finds Simba and urges him to return to the Pride Lands
Effect: Simba confronts his past, returns to the Pride Lands, defeats Scar, and restores the kingdom to its former glory.
Have students write a cause/effect chain for Hercules, Frozen, or Aladdin, all of which have power as motivators. 
</t>
    </r>
  </si>
  <si>
    <r>
      <rPr>
        <rFont val="Arial"/>
        <b/>
        <color theme="1"/>
        <sz val="11.0"/>
      </rPr>
      <t xml:space="preserve">Show and Tell-- Words that Develop Conflict: </t>
    </r>
    <r>
      <rPr>
        <rFont val="Arial"/>
        <color theme="1"/>
        <sz val="11.0"/>
      </rPr>
      <t xml:space="preserve">An author uses subtle word usage to help develop inner conflict.  In Lion King, the inner conflict is demonstrated as follows:
Scar: “Long live the king.”
While throwing Mufasa into the stampede, the delivery of this line can be interpreted as Scar’s internal conflict between his jealousy and hatred for Mufasa and the weight of actually committing fratricide.
Have students write a dialogue line showing a character’s inner conflict between right and wrong choices.  Use subtlety.  
</t>
    </r>
  </si>
  <si>
    <r>
      <rPr>
        <rFont val="Arial"/>
        <b/>
        <color theme="1"/>
        <sz val="11.0"/>
      </rPr>
      <t xml:space="preserve">Show and Tell--Choice of Details: </t>
    </r>
    <r>
      <rPr>
        <rFont val="Arial"/>
        <color theme="1"/>
        <sz val="11.0"/>
      </rPr>
      <t xml:space="preserve">An author has to choose what to include and what to leave out in the writing.  In Macbeth Act I, scene 1 is one of the shortest in the play.  Brainstorm what Shakespeare could have included in that scene, and as a class, create a “new and improved” version.
</t>
    </r>
  </si>
  <si>
    <r>
      <rPr>
        <rFont val="Arial"/>
        <b/>
        <color theme="1"/>
        <sz val="11.0"/>
      </rPr>
      <t xml:space="preserve">Show and Tell--Symbols: </t>
    </r>
    <r>
      <rPr>
        <rFont val="Arial"/>
        <color theme="1"/>
        <sz val="11.0"/>
      </rPr>
      <t xml:space="preserve">One of the author's ideas is how to use symbols in writing.  Shakespeare uses unnatural animals in this part of the play to convey a sense of foreboding.  Go over the paragraph about power, noting the universal symbols.  Have students develop one paragraph that expands the ideas of power using the symbols represented in the section. (crown, scepter, torch, scales of justice, broken chains).
The crown often symbolizes power, a golden emblem resting atop a ruler’s head, representing authority, control, and the weight of responsibility. The scepter, held firmly in hand, signifies command and the ability to enact one’s will. Yet, power is also reflected in the torch, a beacon of enlightenment and guidance, illustrating that true power comes from dominion and illuminating the path for others. The scales of justice further symbolize power, balanced precariously to show that fair and equitable use of power requires wisdom and impartiality. Ultimately, the broken chains represent the triumph over oppression, highlighting that power is most potent when used to liberate and uplift rather than subjugate.
</t>
    </r>
  </si>
  <si>
    <r>
      <rPr>
        <rFont val="Arial"/>
        <b/>
        <color theme="1"/>
        <sz val="11.0"/>
      </rPr>
      <t>Show and Tell--Moving from Linear Plotlines to Flash-forwards:</t>
    </r>
    <r>
      <rPr>
        <rFont val="Arial"/>
        <color theme="1"/>
        <sz val="11.0"/>
      </rPr>
      <t xml:space="preserve"> Shakespeare wrote linearly without flashbacks or flash-forwards.  In Act III Scene 1, Macbeth reflects on his past actions and the witches' prophecies, contemplating future actions to secure his throne. Help the class write a flashforward scene in which Macbeth idealizes his future actions to secure the throne.
</t>
    </r>
  </si>
  <si>
    <r>
      <rPr>
        <rFont val="Arial"/>
        <b/>
        <color theme="1"/>
        <sz val="11.0"/>
      </rPr>
      <t>Show and Tell: Symbols and Images:</t>
    </r>
    <r>
      <rPr>
        <rFont val="Arial"/>
        <color theme="1"/>
        <sz val="11.0"/>
      </rPr>
      <t xml:space="preserve"> Ask the students if they were to write about absolute power corrupting; what symbols or repeated imagery would they use? Have the students write a blurb identifying the symbol or repeated image and explain how they would use it.  
Example: Headache growing with powerful corruption:
As the leader's power swelled, so did the throbbing headache that plagued him daily. Each pulsating ache became a reminder of his escalating corruption, a relentless drumbeat echoing the compromises and betrayals he had made to ascend the throne. Like a recurring image in a fevered dream, the headache intensified with every decision that traded principles for political gain. At first, it was a faint discomfort, easily dismissed amidst the allure of authority. Yet, as his rule tightened and dissent simmered, the headache became a persistent torment, mirroring the mounting guilt and moral decay gnawing at his conscience. In the quiet moments of reflection, he would clutch his temples, trying to silence not just the pain but the nagging doubts that whispered of the price exacted for his ambitions.
</t>
    </r>
  </si>
  <si>
    <t>In Progress</t>
  </si>
  <si>
    <r>
      <rPr>
        <rFont val="Arial"/>
        <b/>
        <color theme="1"/>
        <sz val="11.0"/>
      </rPr>
      <t>Show and Tell: Research:</t>
    </r>
    <r>
      <rPr>
        <rFont val="Arial"/>
        <color theme="1"/>
        <sz val="11.0"/>
      </rPr>
      <t xml:space="preserve"> Once the students identify the parts they are playing, have them research who else played that part in the past and take notes on tips for playing it.</t>
    </r>
  </si>
  <si>
    <t>Portfolio</t>
  </si>
  <si>
    <r>
      <rPr>
        <rFont val="Arial"/>
        <b/>
        <color theme="1"/>
        <sz val="11.0"/>
      </rPr>
      <t xml:space="preserve">Show and Tell–Conclusions: </t>
    </r>
    <r>
      <rPr>
        <rFont val="Arial"/>
        <color theme="1"/>
        <sz val="11.0"/>
      </rPr>
      <t>Remind students about the concluding paragraph of their cause/effect essay.  The conclusion reinforces the thesis by summarizing the body paragraphs' most significant causes or effects. It reminds the reader why the topic is vital by emphasizing the connections discussed in the cause-effect relationship. Avoid introducing new causes or effects in the conclusion. Help students identify the three most significant causes and effects of Macbeth.  As a class, craft a model paragraph students can use when writing their essays.</t>
    </r>
  </si>
  <si>
    <t>Dominique</t>
  </si>
  <si>
    <r>
      <rPr>
        <rFont val="Arial"/>
        <b/>
        <color theme="1"/>
        <sz val="11.0"/>
      </rPr>
      <t>Show and Tell–Personal Statement:</t>
    </r>
    <r>
      <rPr>
        <rFont val="Arial"/>
        <color theme="1"/>
        <sz val="11.0"/>
      </rPr>
      <t xml:space="preserve"> Encourage students to reflect on their strengths and insights for writing a personal statement by identifying interests, achievements, and goals in academics, career, or personal life. They should consider their motivations and define their core beliefs. As a teacher, model this process with your own journey. For instance, “Reflecting on my academic journey, I've found that my motivation for teaching comes from a passion for teaching students how to think for themselves. In our society, there is so much information and so many opinions, it can be challenging to form your own unique thoughts. These reflections helped me define my core beliefs in being informed and thinking for yourself.” Students should also explore challenges they've overcome and acknowledge any failures, reflecting on the lessons learned. To organize their thoughts, students will use a graphic organizer to logically group information and show connections between insights.</t>
    </r>
  </si>
  <si>
    <r>
      <rPr>
        <rFont val="Arial"/>
        <b/>
        <color theme="1"/>
        <sz val="11.0"/>
      </rPr>
      <t xml:space="preserve">Show and Tell–Using Examples and Anecdotes to Explain Ideas: </t>
    </r>
    <r>
      <rPr>
        <rFont val="Arial"/>
        <color theme="1"/>
        <sz val="11.0"/>
      </rPr>
      <t>Introduce using examples and anecdotes to support writing by explaining how examples offer concrete instances illustrating abstract concepts, and anecdotes provide engaging personal or fictional stories for context. 
Begin with a prompt like “Changing Your Mind,” modeling with a fictional anecdote such as an elderly character who does not believe that humans can be selfless, until someone saves their life. Students will then create their own fictional anecdotes, demonstrating events that can change the way someone thinks and sees the world. Allow time for sharing and discussing how using examples and anecdotes enhance clarity and persuasiveness in writing.</t>
    </r>
  </si>
  <si>
    <r>
      <rPr>
        <rFont val="Arial"/>
        <b/>
        <color theme="1"/>
        <sz val="11.0"/>
      </rPr>
      <t xml:space="preserve">Show and Tell–Using Time as a Storytelling Technique: </t>
    </r>
    <r>
      <rPr>
        <rFont val="Arial"/>
        <color theme="1"/>
        <sz val="11.0"/>
      </rPr>
      <t xml:space="preserve">
Remind students that in movies, there is sometimes a flashback scene for the character(s) to revisit a past event to provide character backstory and reveal information, and/or there might be a flash forward scene to project into the future for suspense or hinting at outcomes. Model flashback and flash forward scenes using the following example: An elderly man refuses to believe that humans can be selfless until someone saves his life. A flashback scene shows a time when the man was young and his brother stole his inheritance. A flash forward scene shows him next to a hospital bed crying over someone who saved his life. Organize students into pairs and ask them to come up with an alternative flashback and/or flash forward for the elderly man in the example. Invite them to share how they used time to help tell their story through a flashback/flashforward. </t>
    </r>
  </si>
  <si>
    <r>
      <rPr>
        <rFont val="Arial"/>
        <b/>
        <color theme="1"/>
        <sz val="11.0"/>
      </rPr>
      <t xml:space="preserve">Show and Tell–Connotation and Denotation: </t>
    </r>
    <r>
      <rPr>
        <rFont val="Arial"/>
        <color theme="1"/>
        <sz val="11.0"/>
      </rPr>
      <t>Remind students about the difference between connotation (emotional associations) and denotation (literal meaning) in language. Ask students to think of a scenario related to their goals, such as reflecting on a past academic achievement or anticipating a future career milestone. First, have students describe the event using neutral, factual language focused on denotation (e.g., "I completed a challenging research project." "I am preparing for a competitive internship interview."). Then, instruct them to rewrite their description to change the tone or mood by selecting words with different connotations (e.g.,"I succeeded in finishing a complicated and time consuming research project.""I am eagerly anticipating a career-defining internship interview."). Have students exchange papers with a partner and identify the shifts in tone or mood. Discuss as a group how these word choices impact emotions, emphasizing the role of connotation in shaping tone and mood in writing.</t>
    </r>
  </si>
  <si>
    <r>
      <rPr>
        <rFont val="Arial"/>
        <b/>
        <color theme="1"/>
        <sz val="11.0"/>
      </rPr>
      <t xml:space="preserve">Show and Tell–Analyzing Connections in Informational Text: </t>
    </r>
    <r>
      <rPr>
        <rFont val="Arial"/>
        <color theme="1"/>
        <sz val="11.0"/>
      </rPr>
      <t>Introduce students to various types of connections authors use, such as cause and effect (e.g., how technology affects human interactions), compare and contrast (e.g., remote learning vs. traditional classrooms in education), and problem and solution (e.g., reducing ocean plastic waste). Discuss examples to illustrate these connections and discuss how they clarify complex issues. Ask students: "How do these connections deepen our understanding of informational texts?" Have students write a paragraph reflecting on a personal experience related to one of these connections, explaining its broader implications (e.g., technology's impact on communication between friends and family). Facilitate a class discussion where students share and discuss their paragraphs, exploring how connections enhance their understanding of informational writing.</t>
    </r>
  </si>
  <si>
    <r>
      <rPr>
        <rFont val="Arial"/>
        <b/>
        <color theme="1"/>
        <sz val="11.0"/>
      </rPr>
      <t xml:space="preserve">Show and Tell–Researching Your Pitch: </t>
    </r>
    <r>
      <rPr>
        <rFont val="Arial"/>
        <b val="0"/>
        <color theme="1"/>
        <sz val="11.0"/>
      </rPr>
      <t xml:space="preserve">After students determine their topic for their pitch deck, encourage them to research examples of how anecdotes have been used to illustrate a past event. Organize students in pairs or small groups to analyze multiple examples and identify how the anecdotes are structured and their relevance to topic. Invite students to use these anecdotes to guide them in structuring the anecdote they will use in their pitch. </t>
    </r>
  </si>
  <si>
    <r>
      <rPr>
        <rFont val="Arial"/>
        <b/>
        <color theme="1"/>
        <sz val="11.0"/>
      </rPr>
      <t xml:space="preserve">Show and Tell–Personal Statement: </t>
    </r>
    <r>
      <rPr>
        <rFont val="Arial"/>
        <b val="0"/>
        <color theme="1"/>
        <sz val="11.0"/>
      </rPr>
      <t>Students will explore and select anecdotes to enhance a personal statement that explains an accomplishment, event, or realization that sparked a period of growth and a new understanding of themselves or others. Teacher will share one example and have students help develop it, such as: imagine a student reflecting on the first time they ever failed a test. They could describe how the student earned high scores on previous tests, discovered they failed, coped with the failure, and their realization about failing. Students will begin by revisiting their self-interest reflection notes from the start of the unit and brainstorming three different scenarios or examples for their chosen topic. Students will write brief descriptions of these anecdotes. Place students in partners for a quick peer review, sharing their anecdotes and discussing which one best illustrates what sparked a period of growth. Finally, students will use this feedback to enhance their final draft of the personal statement.</t>
    </r>
  </si>
  <si>
    <t>Preview Key Details and Direct Instruction</t>
  </si>
  <si>
    <r>
      <rPr>
        <rFont val="Arial"/>
        <b/>
        <color theme="1"/>
        <sz val="11.0"/>
      </rPr>
      <t>Show and Tell--Layered Symbolism:</t>
    </r>
    <r>
      <rPr>
        <rFont val="Arial"/>
        <color theme="1"/>
        <sz val="11.0"/>
      </rPr>
      <t xml:space="preserve"> Authors use symbolism and metaphors in their writing. Students must identify the layered meanings of those symbols in order to craft an effective argument.
Show students how the bald eagle might be considered a symbol of the Spirit of America.  Write the different layers or shades of meanings.  Then, have students pick two more symbols and do the same thing.
Example: The Bald Eagle: The bald eagle is synonymous with resilience and independence. It is the national bird and symbol of strength and freedom
Possible other symbols: American Flag, Liberty Bell, White House
</t>
    </r>
  </si>
  <si>
    <r>
      <rPr>
        <rFont val="Arial"/>
        <b/>
        <color theme="1"/>
        <sz val="11.0"/>
      </rPr>
      <t xml:space="preserve">Show and Tell--Rhetorical Situation: </t>
    </r>
    <r>
      <rPr>
        <rFont val="Arial"/>
        <color theme="1"/>
        <sz val="11.0"/>
      </rPr>
      <t xml:space="preserve">Help students understand the elements of the rhetorical situation. Walk them through the example and have them create a declaration that differs from the example.
Exigence: Feeling overwhelmed by daily chores and longing for freedom from responsibilities.
Audience: Parents or guardians who oversee household duties and task assignments.
Writer: A young adult eager to negotiate for more independence and fewer chores.
Purpose: Our goal is to persuade parents to reconsider chore distribution and allow more personal time for growth and exploration, a change that we believe is crucial for our personal development.
Context: As they balance schoolwork, social activities, and personal interests, young adults seek a fairer allocation of responsibilities, a balance that we believe is crucial for our growth and development.
Message: "Granting me greater autonomy in managing chores would foster independence and facilitate my personal development."
Specific word choice: "autonomy" emphasizes the desire for self-governance, while "facilitate" underscores the positive outcomes of increased responsibility.
</t>
    </r>
  </si>
  <si>
    <r>
      <rPr>
        <rFont val="Arial"/>
        <b/>
        <color theme="1"/>
        <sz val="11.0"/>
      </rPr>
      <t>Show and Tell--Analysis Introductions: Rhetoric Situations:</t>
    </r>
    <r>
      <rPr>
        <rFont val="Arial"/>
        <color theme="1"/>
        <sz val="11.0"/>
      </rPr>
      <t xml:space="preserve"> Analyzing one aspect of a rhetorical situation is critical to this module.  As a class, create an introduction “analyzing” the example of exigence from the module 1 rhetorical situation model. 
In the daily lives of many individuals, the feeling of being overwhelmed by mundane tasks and responsibilities often prompts a deep-seated longing for liberation. This desire for freedom from the constant demands of daily chores represents a compelling need—an urgent need stemming from the overwhelming weight of routine duties. This resonates particularly with those seeking to reclaim personal time and autonomy amidst the ceaseless cycle of obligations. As individuals grapple with the pressures of balancing work, family responsibilities, and personal aspirations, the longing for freedom from chores emerges as a poignant call for reevaluation and recalibration of priorities. 
</t>
    </r>
  </si>
  <si>
    <r>
      <rPr>
        <rFont val="Arial"/>
        <b/>
        <color theme="1"/>
        <sz val="11.0"/>
      </rPr>
      <t xml:space="preserve">Show and Tell–Writing Style: </t>
    </r>
    <r>
      <rPr>
        <rFont val="Arial"/>
        <color theme="1"/>
        <sz val="11.0"/>
      </rPr>
      <t xml:space="preserve">Authors use diction, syntax, and parallel structure to stress sentence meanings. Explain each effect to the students. Then, have them write their sentences using the second sentences as guides.
Diction:
Neutral: The meeting was postponed due to scheduling conflicts.
Hostile: The meeting was postponed yet again because no one could bother to coordinate their schedules appropriately.
Syntax:
The girl approached the canyon. It was an abyss that reflected the depth of her loneliness.
The girl approached the canyon: an abyss of her loneliness.
Parallel structure:
The lonely girl was ignored.  She was overlooked.  The lonely girl was forgotten. She was unhappy.
The lonely girl-ignored, overlooked, forgotten-collected her dignity and moved on.
 </t>
    </r>
  </si>
  <si>
    <r>
      <rPr>
        <rFont val="Arial"/>
        <b/>
        <color theme="1"/>
        <sz val="11.0"/>
      </rPr>
      <t xml:space="preserve">Show and Tell--Repetition for Effect: </t>
    </r>
    <r>
      <rPr>
        <rFont val="Arial"/>
        <color theme="1"/>
        <sz val="11.0"/>
      </rPr>
      <t xml:space="preserve">Use the Gettysburg Address to show how Lincoln used parallelism throughout the speech for stylistic effect.
Opening sentence:
"Four score and seven years ago our fathers brought forth on this continent, a new nation, conceived in Liberty, and dedicated to the proposition that all men are created equal."The phrases "conceived in Liberty" and "dedicated to the proposition" are parallel in structure.
Middle of the speech:
"But, in a larger sense, we can not dedicate, we can not consecrate, we can not hallow this ground."
The repetition of "we can not" creates a parallel structure that emphasizes the significance of the ground.
Concluding sentence:
"...that government of the people, by the people, for the people, shall not perish from the earth."
The phrases "of the people," "by the people," and "for the people" are parallel, reinforcing the democratic principles Lincoln is highlighting.
Have students write a brief speech using a parallel structure to encourage schools to allow cell phone use.
</t>
    </r>
  </si>
  <si>
    <r>
      <rPr>
        <rFont val="Arial"/>
        <b/>
        <color theme="1"/>
        <sz val="11.0"/>
      </rPr>
      <t>Show and Tell--Research:</t>
    </r>
    <r>
      <rPr>
        <rFont val="Arial"/>
        <color theme="1"/>
        <sz val="11.0"/>
      </rPr>
      <t xml:space="preserve"> Research the area of discussion you will take and include cited references in your discussion.</t>
    </r>
  </si>
  <si>
    <r>
      <rPr>
        <rFont val="Arial"/>
        <b/>
        <color theme="1"/>
        <sz val="11.0"/>
      </rPr>
      <t>Show and Tell--Logical Fallacies:</t>
    </r>
    <r>
      <rPr>
        <rFont val="Arial"/>
        <color theme="1"/>
        <sz val="11.0"/>
      </rPr>
      <t xml:space="preserve"> Review the different types of logical fallacies with the students. Then, have each student write an example of each fallacy. This activity will help them understand the fallacies, how to identify and apply them, and how to locate them in the speeches for their final portfolio project.
Circular Reasoning:
Example: "You must obey the law because it is illegal to break it."
Explanation: This argument restates the conclusion (that one must obey the law) as its reason without providing any supporting evidence beyond the initial assertion.
Ad Hominem:
Example: "You shouldn't listen to his argument on climate change because he's not a scientist."
Explanation: This argument attacks the person (their lack of being a scientist) rather than addressing the validity of their opinion on climate change, diverting attention from the actual issue.
Slippery Slope:
Example: "If we allow students to redo their assignments, they'll want to retake tests, and eventually, they won't learn anything."
Explanation: This argument assumes that one action (allowing assignment redos) will inevitably lead to negative and extreme consequences (students not learning anything) without providing evidence that such a progression is inevitable or likely.
</t>
    </r>
  </si>
  <si>
    <r>
      <rPr>
        <rFont val="Arial"/>
        <b/>
        <color theme="1"/>
        <sz val="11.0"/>
      </rPr>
      <t xml:space="preserve">Show and Tell–Personal Narrative: </t>
    </r>
    <r>
      <rPr>
        <rFont val="Arial"/>
        <color theme="1"/>
        <sz val="11.0"/>
      </rPr>
      <t xml:space="preserve"> Discuss with students the structure of a personal narrative, including how to use descriptive language, dialogue, and reflection to convey a meaningful message or lesson. Students will practice designing elements of a personal narrative. Have students start by choosing a meaningful message or lesson they want to convey, such as identity or independence. Then, students will outline key events or experiences that illustrate this message and think about narrative techniques like vivid descriptions and engaging dialogue. Students will write a brief outline or paragraph that includes their message, key events, and chosen techniques, helping them prepare for writing a longer personal narrative.
</t>
    </r>
  </si>
  <si>
    <r>
      <rPr>
        <rFont val="Arial"/>
        <b/>
        <color theme="1"/>
        <sz val="11.0"/>
      </rPr>
      <t xml:space="preserve">Show and Tell--Supporting Arguments: </t>
    </r>
    <r>
      <rPr>
        <rFont val="Arial"/>
        <color theme="1"/>
        <sz val="11.0"/>
      </rPr>
      <t>Before presenting the Direct Instruction lesson, ask students to share a thumbs up or down on how many have written and received feedback on more than one argument about a text in the past 12 months. The class may be familiar with many concepts related to Supporting Claims with Evidence, so the brief review of some of these concepts may be done independently or as a class depending on familiarity. After the Key Academic Terms have been introduced or reviewed, have students form groups of 4 students. Assign the topic based on the image in the unit overview or the statement "We live out the roles others assign to us." Give each group two minutes to craft a paragraph including a claim, reason, evidence, and reasoning. Ask for volunteers and discuss a few sample paragraphs, noting strengths and areas for improvement as a class. Repeat with a new topic. Finally, gauge student comfort with understanding how to support arguments effectively. Repeat as warm up until mastered.</t>
    </r>
  </si>
  <si>
    <r>
      <rPr>
        <rFont val="Arial"/>
        <b/>
        <color theme="1"/>
        <sz val="11.0"/>
      </rPr>
      <t xml:space="preserve">Show and Tell--Author's Clauses and Phrases: </t>
    </r>
    <r>
      <rPr>
        <rFont val="Arial"/>
        <color theme="1"/>
        <sz val="11.0"/>
      </rPr>
      <t>After leading students through the Direct Instruction Lesson (Sentence Structure), and the steps leading up to the reading, share the following statement and tell students you will finish it together: "In the opening paragraph of his essay, Tim O'Brien..." Then count off into groups of four and have the ones look at the first sentence, the twos look at the second sentence, and so on. Have each group present only the basic subject and predicate with all other the adjective and adverb phrases stripped out. Read or play the paragraph out loud and have the class construct a single additional detail to the statement you shared. Ask the class to read the simple version of the paragraph then discuss the differences between the two versions. What more do we know about the narrator and her story as a result of these descriptive phrases? Which types of phrases does he use most? Adjective phrases, adverb phrases, appositives, prepositional phrases? What is the impact of the short sentences througout the paragraph? How does that shape the tone or shift the reader's attention? How does it influence emphasis?</t>
    </r>
  </si>
  <si>
    <r>
      <rPr>
        <rFont val="Arial"/>
        <b/>
        <color theme="1"/>
        <sz val="11.0"/>
      </rPr>
      <t>Show and Tell--Making Claims:</t>
    </r>
    <r>
      <rPr>
        <rFont val="Arial"/>
        <color theme="1"/>
        <sz val="11.0"/>
      </rPr>
      <t xml:space="preserve"> Ask students to create claim statements based on the prompt. Have 2-3 students offer to workshop their claims. Have students record the prompt separately on a piece of paper. Then have them circle the main question they must answer, draw a box around the specific aspects of the main question they must address, breaking the question down into as many parts as necessary. In pairs, have students list all the questions or tasks outlined in the prompt then review them as a class. Model the checklist with several of the claims. Then have students revise their claims and continue to develop. Be sure to have students </t>
    </r>
  </si>
  <si>
    <r>
      <rPr>
        <rFont val="Arial"/>
        <b/>
        <color theme="1"/>
        <sz val="11.0"/>
      </rPr>
      <t xml:space="preserve">Show and Tell--Crafting Author's Message: </t>
    </r>
    <r>
      <rPr>
        <rFont val="Arial"/>
        <color theme="1"/>
        <sz val="11.0"/>
      </rPr>
      <t>Review the sentence:The unfinished quilt lay in the corner, a testament to her dreams left unfulfilled. Discuss what author’s message can be identified.
Have students pair up and talk about two more model sentences:
The empty swings swayed gently in the breeze, whispering secrets of forgotten childhoods.
With each passing day, the once-vibrant mural faded, much like the hope of the town's people.
Have students write their own sentences which convey the author’s message.</t>
    </r>
  </si>
  <si>
    <r>
      <rPr>
        <rFont val="Arial"/>
        <b/>
        <color theme="1"/>
        <sz val="11.0"/>
      </rPr>
      <t>Show and Tell--Writing Arguments:</t>
    </r>
    <r>
      <rPr>
        <rFont val="Arial"/>
        <color theme="1"/>
        <sz val="11.0"/>
      </rPr>
      <t xml:space="preserve"> Have students review their growth focus over the past several writing experiences and identify and area of growth for evidence-based argumentative writing. Ask students to group themselves according the area they would most like to improve. Form growth focus groups for the unit based on the way students have grouped themselves. Provide an opporutinity for students to review the Direct Instruction lessons related to the Growth Focus. Also use that time to circulate or bring small groups to your conference station to provide further explanation and modeling with authentic student texts. Focus in on helping them explain their reasoning, which will provide additional practice with inferring details from the text.</t>
    </r>
  </si>
  <si>
    <r>
      <rPr>
        <rFont val="Arial"/>
        <b/>
        <color theme="1"/>
        <sz val="11.0"/>
      </rPr>
      <t>Show and Tell--Writing Arguments:</t>
    </r>
    <r>
      <rPr>
        <rFont val="Arial"/>
        <color theme="1"/>
        <sz val="11.0"/>
      </rPr>
      <t xml:space="preserve"> Have students review their reasoning statements that they have placed in the notes in the Analyze step. Give students a moment to fully flesh out the notations into a full explanation of how they are interpreting the text they highlighted. Ask for volunteers to share the highlighted text and their reasoning statements. Let students know that as they are taking note in the analyze step, they are sharing inferences and will refine those notes into part of the support for thier claim. These reasoning statements help connect the inferences about the meaning of words and phrases back to their claim. After modeling a few examples of how to be sure the evidence is fully explained, have students review the writing prompt and work in pairs to flesh thier notes out more fully.</t>
    </r>
  </si>
  <si>
    <r>
      <rPr>
        <rFont val="Arial"/>
        <b/>
        <color theme="1"/>
        <sz val="11.0"/>
      </rPr>
      <t>Show and Tell--Writing Arguments:</t>
    </r>
    <r>
      <rPr>
        <rFont val="Arial"/>
        <color theme="1"/>
        <sz val="11.0"/>
      </rPr>
      <t xml:space="preserve"> Have students use the </t>
    </r>
    <r>
      <rPr>
        <rFont val="Arial"/>
        <b/>
        <color theme="1"/>
        <sz val="11.0"/>
      </rPr>
      <t xml:space="preserve">Best Practices: Compare Texts </t>
    </r>
    <r>
      <rPr>
        <rFont val="Arial"/>
        <color theme="1"/>
        <sz val="11.0"/>
      </rPr>
      <t>strategy to share final drafts with one partner. Using the rubric, have students evaluate their claims, evidence, and reasoning to ensure the support they provide for their claim is fully developed. Have them review their growth focus on a previous piece of writing and review the rubric to see what score the piece would or did recieve based on the criteria. Next, look at the most recent draft in the same area and evaluate the differences in how each compares with the previous level of proficiency. Model the process using your own piece or using an anonymyzed version of one or more students' claims as an example.</t>
    </r>
  </si>
  <si>
    <r>
      <rPr>
        <rFont val="Arial"/>
        <b/>
        <color theme="1"/>
        <sz val="11.0"/>
      </rPr>
      <t>Show and Tell--Author's Inference:</t>
    </r>
    <r>
      <rPr>
        <rFont val="Arial"/>
        <color theme="1"/>
        <sz val="11.0"/>
      </rPr>
      <t xml:space="preserve"> Display: "The company announced that it would be laying off 200 employees due to financial difficulties."
Implicit:
"The somber faces in the office and the hushed conversations hinted at the unsettling news spreading through the company."
Advanced writers are subtle in their art, requiring the reader to pay attention. Have students write an implicit sentence and have their partners identify the messages. Practice this skill to help students hone their craft.</t>
    </r>
  </si>
  <si>
    <t>12 (In SG)</t>
  </si>
  <si>
    <r>
      <rPr>
        <rFont val="Arial"/>
        <b/>
        <color theme="1"/>
        <sz val="11.0"/>
      </rPr>
      <t>Show and Tell--Research Project:</t>
    </r>
    <r>
      <rPr>
        <rFont val="Arial"/>
        <color theme="1"/>
        <sz val="11.0"/>
      </rPr>
      <t xml:space="preserve"> Introduce or Review the </t>
    </r>
    <r>
      <rPr>
        <rFont val="Arial"/>
        <b/>
        <color theme="1"/>
        <sz val="11.0"/>
      </rPr>
      <t>Research Toolkit</t>
    </r>
    <r>
      <rPr>
        <rFont val="Arial"/>
        <color theme="1"/>
        <sz val="11.0"/>
      </rPr>
      <t xml:space="preserve">. Help students begin practicing the process of refining research questions by asking a research question about one of the authors or topic in the first unit. As students begin research, they should focus on moving from inquiry to deeper research. Their goal will be to find three valid and reliable sources that illuminate something about the biographies of these American authors, the topics they write about, or the influence they have had on American literature as a result of their achievments. They should cite sources for their research. They should prepare a brief, informal 2-3 slide presentation about the author of their choice which will be added to a timeline of authors from various periods in American Literature over the course of the year. For this project they will need to evaluate a text written by the author and share a perspective on the text contextualized within historical or biographical research.
</t>
    </r>
  </si>
  <si>
    <r>
      <rPr>
        <rFont val="Arial"/>
        <b/>
        <color theme="1"/>
        <sz val="11.0"/>
      </rPr>
      <t xml:space="preserve">Show and Tell--Share Your Research: </t>
    </r>
    <r>
      <rPr>
        <rFont val="Arial"/>
        <color theme="1"/>
        <sz val="11.0"/>
      </rPr>
      <t>As students engage in their Socratic preparation, they should plan to discuss the brief research on the writer they studied. They can incorporate that information and research into a key comment and verbally cite the source before submitting it to a shared folder.</t>
    </r>
  </si>
  <si>
    <r>
      <rPr>
        <rFont val="Arial"/>
        <b/>
        <color theme="1"/>
        <sz val="11.0"/>
      </rPr>
      <t>Show and Tell–Narrative Introductions:</t>
    </r>
    <r>
      <rPr>
        <rFont val="Arial"/>
        <color theme="1"/>
        <sz val="11.0"/>
      </rPr>
      <t xml:space="preserve"> Students will write their personal narratives in this module.  Their topic is: “Write about a moment in your life when you decided to change something about yourself, for better or worse.” To help them begin, review Narrative Beginnings Direct Instruction and then, with you as a model, show them several techniques to begin the narrative. As a class, have them develop these with rich details that would round out a narrative beginning.  Then, have them start their narrative beginning, which will answer the portfolio’s question.
Answer the question directly: The day my mom prodded me to turn in my college application, I decided I needed her to hear the truth: I wasn’t going to college. I wasn’t college material.
Introduce characters: As I stood next to my best friend’s casket, I knew that going to parties was a thing of my past.
Introduce setting: I looked around my bedroom, which was strewn with garbage, old laundry, and filthy dishes, and I realized I needed to quit being a slob.
Introduce the dialogue: I overheard my mother’s words: “She thinks of nobody but herself, and I am ashamed of how she is turning out.”
Help them note the interest these create, acting as a hook and an introduction.
</t>
    </r>
  </si>
  <si>
    <r>
      <rPr>
        <rFont val="Arial"/>
        <b/>
        <color theme="1"/>
        <sz val="11.0"/>
      </rPr>
      <t>Show and Tell--Policy-based Arguments:</t>
    </r>
    <r>
      <rPr>
        <rFont val="Arial"/>
        <color theme="1"/>
        <sz val="11.0"/>
      </rPr>
      <t xml:space="preserve"> Share with students that in this unit, they will analyze and write arguments based on policy. They will write claims, gather evidence, and explain their reasoning, but this time they will also begin including multiple pieces of evidence, a counterargument, and appeals to their audience. To demonstrate this concept, ask students to split into one of three parts of the room based on their position on regulating AI: yes, no, yes/no. Then share arguments across groups. As they debrief to show that there are many sides to all policies and good arguments to support multiple sides of the same issue, such as the shared value of access to nature. (Example: We need to drive innovation with AI to solve some of the most pressing problems on earth quickly. We have to be sure that AI is not going to become so uncontrolled that it becomes more destructive than helpful.)</t>
    </r>
  </si>
  <si>
    <r>
      <rPr>
        <rFont val="Arial"/>
        <b/>
        <color theme="1"/>
        <sz val="11.0"/>
      </rPr>
      <t xml:space="preserve">Show and Tell--Writing a Hook: </t>
    </r>
    <r>
      <rPr>
        <rFont val="Arial"/>
        <b val="0"/>
        <color theme="1"/>
        <sz val="11.0"/>
      </rPr>
      <t>Explain to students that the hook in an argument should be based on one of the key values of the audience the writer is appealing to. This is also sometimes a core issue at stake in the argument. For example, if they care about solving major health issues they may find AI appealing in research. Alternatively if they are concerned about cyberattacks, they could be concerned about safety and security of AI. They might need an argument based on economic benefits. Based on the audience's values, the issues they care about most, an explicit statistic, an illustrative and powerful story, or a famous quotation can make a great hook. Have students think of a recent debate they watched or had with others? Ask, how did you know what would appeal to others? Was that information you had going in or what you gathered based on the exchange?</t>
    </r>
  </si>
  <si>
    <r>
      <rPr>
        <rFont val="Arial"/>
        <b/>
        <color theme="1"/>
        <sz val="11.0"/>
      </rPr>
      <t>Show and Tell--Choosing the Best Evidence:</t>
    </r>
    <r>
      <rPr>
        <rFont val="Arial"/>
        <color theme="1"/>
        <sz val="11.0"/>
      </rPr>
      <t xml:space="preserve"> Provide students with these examples.  As a class, discuss the BEST piece of evidence to use for the claim and why. Repeat practice until students have mastered it.
Claim: Preserving the ethical development of Artificial Intelligence (AI) is essential for the future of humanity.
1 Ethical guidelines and regulations ensure that AI technologies are developed and used responsibly, addressing concerns such as bias, privacy, and safety. 2: AI has the potential to revolutionize industries and improve efficiency in various sectors, leading to economic growth and innovation. 3 Many companies and researchers are investing in AI development, indicating its importance and potential impact on society.
Claim: Choosing a path after high school is a pivotal decision that shapes future opportunities and personal growth.
1 Selecting a career or educational path after high school influences long-term earning potential and career satisfaction. 2 Planning for higher education or vocational training prepares individuals with essential skills and knowledge for their chosen fields. 3 Many graduates face decisions about their future paths, highlighting the importance of guidance and support during this transitional period.
</t>
    </r>
  </si>
  <si>
    <r>
      <rPr>
        <rFont val="Arial"/>
        <b/>
        <color theme="1"/>
        <sz val="11.0"/>
      </rPr>
      <t>Show and Tell--Linking Claims and Reasoning:</t>
    </r>
    <r>
      <rPr>
        <rFont val="Arial"/>
        <color theme="1"/>
        <sz val="11.0"/>
      </rPr>
      <t xml:space="preserve"> Using the claims from Module 2, show how the reasoning explains the relationship between the claim and the evidence. Practice the second claim as a class and provide other examples for further practice.
Claim with reason: Preserving the ethical development of Artificial Intelligence (AI) is essential for the future of humanity, for without it, humanity may be in jeopardy.
Evidence: Ethical guidelines and regulations ensure that AI technologies are developed and used responsibly, addressing concerns such as bias, privacy, and safety. 
Reasoning: The ethics guidelines ensure that developers do not infringe on the rights of humans, and make certain technology does not trample on those rights.
Claim with reason: Choosing a path after high school is a pivotal decision that shapes future opportunities and personal growth.
Evidence: Selecting a career or educational path after high school influences long-term earning potential and career satisfaction. 
</t>
    </r>
  </si>
  <si>
    <r>
      <rPr>
        <rFont val="Arial"/>
        <b/>
        <color theme="1"/>
        <sz val="11.0"/>
      </rPr>
      <t>Show and Tell--Summarize versus Paraphrasing:</t>
    </r>
    <r>
      <rPr>
        <rFont val="Arial"/>
        <color theme="1"/>
        <sz val="11.0"/>
      </rPr>
      <t xml:space="preserve"> After reviewing the Direct Instruction of Summarizing, review the cogent points, differing paraphrasing with summarizing.  As a class, first paraphrase the paragraph and then summarize it.  Discuss the difference between the two.  Then, give a separate paragraph to practice with.
Sustainability is the practice of meeting current needs without compromising the ability of future generations to meet theirs. It encompasses various activities, from reducing carbon emissions and conserving natural resources to promoting social equity and economic stability. Sustainable practices include using renewable energy sources like solar and wind power, implementing recycling programs, and supporting local agriculture. The goal is to create environmentally friendly, economically viable, and socially responsible systems. By adopting sustainable habits, individuals and communities can contribute to a healthier planet and a more equitable society. This approach ensures that natural resources are available for future generations and helps mitigate the adverse effects of climate change. Sustainability is not just an environmental concern but a comprehensive framework for improving the quality of life for all.
</t>
    </r>
  </si>
  <si>
    <t>wherever in RAG you can find room</t>
  </si>
  <si>
    <r>
      <rPr>
        <rFont val="Arial"/>
        <b/>
        <color theme="1"/>
        <sz val="11.0"/>
      </rPr>
      <t xml:space="preserve">Show and Tell-Use Research to Bolster Your Argument: </t>
    </r>
    <r>
      <rPr>
        <rFont val="Arial"/>
        <color theme="1"/>
        <sz val="11.0"/>
      </rPr>
      <t xml:space="preserve">Ask students to evaluate the pros and cons, arguments and counterarguments available to them on their topic. Have them use the </t>
    </r>
    <r>
      <rPr>
        <rFont val="Arial"/>
        <b/>
        <color theme="1"/>
        <sz val="11.0"/>
      </rPr>
      <t xml:space="preserve">Research Toolkit: </t>
    </r>
    <r>
      <rPr>
        <rFont val="Arial"/>
        <i/>
        <color theme="1"/>
        <sz val="11.0"/>
      </rPr>
      <t>Inquiry Driven Research</t>
    </r>
    <r>
      <rPr>
        <rFont val="Arial"/>
        <b/>
        <color theme="1"/>
        <sz val="11.0"/>
      </rPr>
      <t xml:space="preserve"> </t>
    </r>
    <r>
      <rPr>
        <rFont val="Arial"/>
        <color theme="1"/>
        <sz val="11.0"/>
      </rPr>
      <t xml:space="preserve">guide to generate a quick question to help them kick off targeted research to support both sides of the debate. Have students search the specific topic of interest within the larger topic of robotics and AI to gain insight into additional availble subtopics and credible sources. They should further narrow the topic and find credible sources to incorporate into their argument. To evaluate sources, they should use the </t>
    </r>
    <r>
      <rPr>
        <rFont val="Arial"/>
        <i/>
        <color theme="1"/>
        <sz val="11.0"/>
      </rPr>
      <t xml:space="preserve">Guidelines:
Evaluating Sources for Credibility </t>
    </r>
    <r>
      <rPr>
        <rFont val="Arial"/>
        <color theme="1"/>
        <sz val="11.0"/>
      </rPr>
      <t xml:space="preserve">found in the </t>
    </r>
    <r>
      <rPr>
        <rFont val="Arial"/>
        <b/>
        <color theme="1"/>
        <sz val="11.0"/>
      </rPr>
      <t>Research Toolkit</t>
    </r>
    <r>
      <rPr>
        <rFont val="Arial"/>
        <color theme="1"/>
        <sz val="11.0"/>
      </rPr>
      <t xml:space="preserve">. Model a think-aloud of your own evaluation before having students complete this final research practice opportunity. Circulate to ensure students are applying the criteria effectively and have students review the reference materials available on the Purdue Online Writing Lab web site to ensure students document their research correctly in their arguments. Have students add one to two citations to bolster their arguments and prepare to share it in their debate. </t>
    </r>
  </si>
  <si>
    <r>
      <rPr>
        <rFont val="Arial"/>
        <b/>
        <color theme="1"/>
        <sz val="11.0"/>
      </rPr>
      <t>Show and Tell-Cite Research to Bolster Your Argument</t>
    </r>
    <r>
      <rPr>
        <rFont val="Arial"/>
        <color theme="1"/>
        <sz val="11.0"/>
      </rPr>
      <t>: Remind students to include verbal citations of credible research when presenting evidence during their debates.</t>
    </r>
  </si>
  <si>
    <r>
      <rPr>
        <rFont val="Arial"/>
        <b/>
        <color theme="1"/>
        <sz val="11.0"/>
      </rPr>
      <t xml:space="preserve">Show and Tell–Writing a Conclusion: </t>
    </r>
    <r>
      <rPr>
        <rFont val="Arial"/>
        <color theme="1"/>
        <sz val="11.0"/>
      </rPr>
      <t>Students must understand the structure of conclusions in argumentative writing to complete their portfolio.  They need to have practice on each type of conclusion: a summary, a focus on the main point, or a call to action. Model each type of concluding work by demonstrating how an author would write a conclusion based on the claim, “Preserving the ethical development of Artificial Intelligence (AI) is essential for the future of humanity.”
Summary Conclusion:
In conclusion, preserving the ethical development of Artificial Intelligence (AI) is essential for humanity's future. As AI technology advances, it becomes increasingly integrated into various aspects of our lives, from healthcare to transportation. Ensuring that AI systems are developed with ethical considerations in mind helps prevent potential misuse, bias, and unintended consequences. By prioritizing ethical AI, we can harness its benefits while minimizing risks, ultimately contributing to a safer and more equitable future.
Call to Action Conclusion:
Preserving the ethical development of Artificial Intelligence (AI) is essential for humanity's future. To achieve this, I urge governments, tech companies, and academic institutions to collaborate on establishing robust ethical guidelines for AI development. By investing in research, promoting transparency, and enforcing regulations, we can ensure that AI technologies are designed and used responsibly. It is our collective responsibility to guide AI development in a way that upholds ethical standards, protects human rights, and secures a prosperous future for all.
Main Point Focus Conclusion:
Preserving the ethical development of Artificial Intelligence (AI) is essential for humanity's future. Ethical AI development addresses concerns such as bias, privacy, and accountability, ensuring that AI technologies benefit society without causing harm. By focusing on creating transparent and fair AI systems, we can prevent the misuse of this powerful technology and protect human rights. Ensuring ethical standards in AI development is crucial for building trust and securing the positive impact of AI on our future.</t>
    </r>
  </si>
  <si>
    <t>Show and Tell–Purpose of Narrative Writing: Explore narrative writing, emphasizing its structured path—introduction, rising action, climax, falling action, and conclusion—designed to build tension and resolution. Example: Consider a short story where a character confronts bullying at school, risking personal safety to defend a friend, unfolding through character development, escalating tension, a pivotal confrontation, and reflective resolution on themes like loyalty and courage. Ask students to describe each narrative element as you guide students through the narrative arc together. Students then select a narrative type (short story, drama, etc.), define its purpose (inform, entertain, persuade) and identify a challenging decision. Develop a narrative arc that integrates the decision, key events (pivotal confrontation, escalating tension, etc.), and utilizes descriptive language, dialogue, and reflection to enrich storytelling. Build into a comic strip. This exercise will hone your narrative skills for your final portfolio piece.</t>
  </si>
  <si>
    <r>
      <rPr>
        <rFont val="Arial"/>
        <b/>
        <color theme="1"/>
        <sz val="12.0"/>
      </rPr>
      <t>Show and Tell–Irony:</t>
    </r>
    <r>
      <rPr>
        <rFont val="Arial"/>
        <color theme="1"/>
        <sz val="12.0"/>
      </rPr>
      <t xml:space="preserve"> Review verbal, situational, and dramatic irony and explore how juxtaposition reveals irony in literature using "A Christmas Carol" as an example. Juxtaposition is a literary device where two or more contrasting ideas, characters, actions, settings, or themes are placed side by side to highlight their differences, often creating irony and adding depth to the narrative. Students will discuss what they know about Scrooge and Tiny Tim, contrasting Scrooge's wealthy yet miserly demeanor with Tiny Tim's family's modest, loving nature despite their financial struggles. They will learn how Dickens uses juxtaposition to highlight the irony of wealth versus generosity and poverty versus familial warmth. In small groups, students will identify other examples of juxtaposition in literature, film, or real life that reveal irony. Examples may include the contrast between the noble yet impoverished hobbits and the corrupt, wealthy men in "The Lord of the Rings" or the technologically advanced but emotionally sterile society in "The Giver." students will write a short essay explaining how juxtaposition creates irony in one of the examples discussed, providing evidence to support their analysis</t>
    </r>
  </si>
  <si>
    <r>
      <rPr>
        <rFont val="Arial"/>
        <b/>
        <color theme="1"/>
        <sz val="11.0"/>
      </rPr>
      <t xml:space="preserve">Show and Tell - Setting
</t>
    </r>
    <r>
      <rPr>
        <rFont val="Arial"/>
        <color theme="1"/>
        <sz val="11.0"/>
      </rPr>
      <t xml:space="preserve">In </t>
    </r>
    <r>
      <rPr>
        <rFont val="Arial"/>
        <i/>
        <color theme="1"/>
        <sz val="11.0"/>
      </rPr>
      <t>Ride</t>
    </r>
    <r>
      <rPr>
        <rFont val="Arial"/>
        <color theme="1"/>
        <sz val="11.0"/>
      </rPr>
      <t xml:space="preserve"> by Linda Nagata, the characters live in a futuristic setting. Discuss the importance of showing the reader the setting vs. telling the reader the setting. As a class, highlight specific lines of the text that give the reader clues as to the setting -- in this case, a futuristic world where AI has taken over. In this text, Nagata reveals the setting through descriptive writing and dialogue. Discuss with the class why she might have done it this way, compared to a big paragraph of descriptive language that sets the setting at the beginning of the text? What was the impact of using descriptive language and dialogue to reveal the setting? Next, ask students to practice their own writing focusing on the setting. In partners, students should choose a setting of interest and describe that setting using descriptive langauge and at least 10 lines of dialogue. After, have them share their setting with another partner pair and ask them to discuss the intetionality of the word choices and dialogue. </t>
    </r>
  </si>
  <si>
    <r>
      <rPr>
        <rFont val="Arial"/>
        <b/>
        <color theme="1"/>
        <sz val="11.0"/>
      </rPr>
      <t xml:space="preserve">Show and Tell - Dialogue to Advance the Plot
</t>
    </r>
    <r>
      <rPr>
        <rFont val="Arial"/>
        <color theme="1"/>
        <sz val="11.0"/>
      </rPr>
      <t xml:space="preserve">
As a class, review the importance of dialogue with students. Dialgoue is used to advance the plot, develop characters, and develop experiences for the reader. The </t>
    </r>
    <r>
      <rPr>
        <rFont val="Arial"/>
        <i/>
        <color theme="1"/>
        <sz val="11.0"/>
      </rPr>
      <t>Ones Who Walk Away from Omelas</t>
    </r>
    <r>
      <rPr>
        <rFont val="Arial"/>
        <color theme="1"/>
        <sz val="11.0"/>
      </rPr>
      <t xml:space="preserve"> by Ursula K. Le Guin uses little dialogue. Ask the class to consider why that is. What would dialogue take away from the text if added? What would dialogue add to the text if added? 
As a class, read the paragraph starting with "this is usually explained...". Then, put students in partners and have them write dialogue of when chidren in Omelas learn of the differences between childhoods and lives? After writing at least 7-10 lines of dialogue, ask them to be prepared to answer about their writing: why was the dialogue inserted where it was? What is the benefit of the dialogue? Who did you create that is saying the dialogue? What tags were used? Then, as a class, discuss how the new dialogue changed the plot (if at all) and discuss the importance of intentionality of the additional dialogue. </t>
    </r>
  </si>
  <si>
    <r>
      <rPr>
        <rFont val="Arial"/>
        <b/>
        <color theme="1"/>
        <sz val="11.0"/>
      </rPr>
      <t>Show and Tell--Multiple POV</t>
    </r>
    <r>
      <rPr>
        <rFont val="Arial"/>
        <color theme="1"/>
        <sz val="11.0"/>
      </rPr>
      <t xml:space="preserve">: Authors sometimes use multiple perspectives to tell a story to give the reader insight into a character or theme.  Discuss how this is done in a movie and the purpose of it.  The short story “A Bright and Fearful Star” uses the same technique.  Have the students pair up and create characters in the same vein as the example provided.  Have students share their story ideas.
A Disney movie with multiple points of view is ""Zootopia."" In this film, the story is told from the perspectives of both Judy Hopps, the optimistic and determined rabbit police officer, and Nick Wilde, the sly and street-smart fox con artist. 
Judy Hopps explains her determination to become a police officer despite the societal expectations and prejudices she faced growing up. She recalls her childhood in Bunnyburrow, where she was discouraged by her family and others from pursuing her dream because rabbits were not traditionally seen as suitable for police work. This background reveals her resilience and commitment to challenging stereotypes and achieving her goals.
Nick Wilde tells Judy about a traumatic childhood experience. Nick reveals that he once wanted to join the local Junior Ranger Scouts, but he was bullied and muzzled by the other scouts because they believed that, as a fox, he could not be trusted. This incident led him to adopt a cynical attitude and reinforced his belief that society would always view him as a predator. This background story explains Nick's distrustful and jaded outlook on life, shedding light on his character's motivations and behavior.
As they team up to solve a mystery, the narrative shifts between their viewpoints, providing insights into their backgrounds, motivations, and evolving relationships. This multi-perspective storytelling allows the audience to see the complexities of the characters and the diverse world of Zootopia from different angles.
Have the students pair up and create characters in the same vein as the example provided.  Then, ask students share their story ideas with another partner pair. Lastly, ask for 2-3 pairs to share with the class. </t>
    </r>
  </si>
  <si>
    <t>Show and Tell–Socratic Discussion: Remind students to integrate examples of fantasy and otherworldly elements when discussing how stories address questions about human behavior and society during Socratic discussions. Encourage them to practice stating, "In [fantasy story], the portrayal of [element] sheds light on [human behavior/societal issue]," or "The use of [fantasy element] in [author's] work challenges us to consider [impact on human behavior/societal norms]." Guide students to actively listen for opportunities to connect these elements to broader themes and issues. Conclude with a reflection on how effectively using fantasy elements enriched their discussions and how they can apply this approach to explore similar themes in different contexts.</t>
  </si>
  <si>
    <r>
      <rPr>
        <rFont val="Arial"/>
        <b/>
        <color theme="1"/>
        <sz val="11.0"/>
      </rPr>
      <t>Show and Tell–Endings in Narrative:</t>
    </r>
    <r>
      <rPr>
        <rFont val="Arial"/>
        <color theme="1"/>
        <sz val="11.0"/>
      </rPr>
      <t xml:space="preserve"> Begin the lesson with an activity on different types of narrative endings, such as implicit, surprise, and ambiguous resolutions. Implicit resolution subtly hints at the outcome without explicitly stating it; surprise resolution introduces an unexpected twist or revelation; ambiguous resolution leaves the conclusion open to interpretation or uncertainty. Use an escape room experience and discuss three possible escapes: discovering a hidden passage behind a bookshelf, deciphering a complex puzzle to unlock a secret door, or unraveling a series of clues to reveal a hidden key. Discuss as a class how authors and creators craft these various types of conclusions to create ambiguity and different narrative experiences. In groups of three, students will create a setting by which a character must escape (such as Rapunzel in the tower). Students must then write three different endings for it: one with an implicit resolution, one with a surprise resolution, and one with an ambiguous resolution. After completing their endings, groups will exchange their scenarios and provide feedback on which ending they find most effective.</t>
    </r>
  </si>
  <si>
    <r>
      <rPr>
        <rFont val="Arial"/>
        <b/>
        <color theme="1"/>
        <sz val="12.0"/>
      </rPr>
      <t>Show and Tell–Endings in Narrative:</t>
    </r>
    <r>
      <rPr>
        <rFont val="Arial"/>
        <color theme="1"/>
        <sz val="12.0"/>
      </rPr>
      <t xml:space="preserve"> Begin by introducing the concept of cause and effect chains in storytelling, explaining how events in a narrative are interconnected and lead to specific outcomes. Use the movie "Harry Potter and the Sorcerer's Stone" as an example: discuss how Harry's discovery of his magical abilities (cause) leads to his enrollment at Hogwarts School of Witchcraft and Wizardry (effect), which in turn sets off a chain of events that ultimately culminate in his confrontation with Voldemort. Highlight specific examples, such as Harry's decision to pursue the Philosopher's Stone, which leads to his encounter with Professor Quirrell and the ultimate showdown in the Forbidden Forest. Students will work in pairs or small groups to analyze other examples from movies like "The Hunger Games" or "Spider-Man: Homecoming," Write a cause-and-effect chain from these scenes and explain how these chains drive the plot and develop characters. Encourage them to consider both immediate and long-term consequences.</t>
    </r>
  </si>
  <si>
    <t>Show and Tell–Dramatic Action: Explore dramatic action in storytelling, pivotal events or decisions that drive plots forward and create suspense. Discuss examples from popular movies or TV shows (like "Harry Potter" or "Stranger Things") to understand their impact on storytelling. Stranger Things Example: The kids attempt to rescue Will from the Upside Down. Each decision affectS their survival and the revelation of deeper mysteries. This scene is filled with dramatic action as the characters navigate a dangerous parallel world to save their friend. Discuss as a class how dramatic actions propel narratives and build tension, sharing insights on why certain actions stand out in their impact on the story and characters. In pairs or small groups, have students analyze short excerpts from novels or film scenes known for dramatic action. Students will identify why each action is crucial to the plot's development and discuss the conflict, stakes, and character motivations involved. Write a brief paragraph analyzing a recent dramatic action scene from a movie or book to deepen understanding of its significance to the narrative and character arcs.</t>
  </si>
  <si>
    <t>Show and Tell–Direct and Indirect Characterization: Explore the differences between direct and indirect characterization. Begin by defining direct characterization, where traits are clearly stated, and indirect characterization, where traits are shown through actions, thoughts, and interactions. For instance, discuss Cinderella's character, highlighting how her kindness and resilience are directly stated traits, while her selflessness and patience are demonstrated through her actions and interactions with others. Analyze how the author develops her character. Then, students will select a familiar character from literature, film, or mythology. They will write a characterization of the chosen character using both direct statements and indirect clues to describe their personality traits, actions, and motivations without revealing their identity. In small groups, students will share their descriptions and have classmates guess which character they are describing based on the details provided. Afterward, discuss as a class how different methods of characterization can deepen our understanding of fictional characters.</t>
  </si>
  <si>
    <t>Show and Tell–Determining Themes in Drama: Begin by discussing how setting, plot events, and character actions contribute to themes in drama, using Antigone as an example. For instance, analyze how the ancient Greek setting and the conflict between Creon and Antigone reflect themes of moral responsibility and civil disobedience. In pairs or small groups, students will choose a theme from Antigone and brainstorm its development in the play, focusing on specific setting details, crucial plot events, and pivotal character interactions. Assign each student a role—setting details, plot events, or character interactions—and have groups collaboratively craft a concise paragraph (3-5 sentences) illustrating their chosen theme within a dramatic scene from the play. Encourage sharing among groups to demonstrate diverse approaches to exploring themes in dramatic literature.</t>
  </si>
  <si>
    <t>Show and Tell–Performance: Start by demonstrating pantomime with everyday scenarios like "making breakfast" or "walking a dog," and have students guess the actions. Transition to applying pantomime to "Antigone." Give students scenario cards like "Antigone defies Creon's decree" or "Creon confronts Haemon." In small groups, students outline their pantomime interpretation, focusing on key actions (like gestures of defiance or sorrow) and emotions (such as anger or grief) to vividly portray scenes from the play. Groups plan their performances and then act them out for classmates, who guess the scene depicted. Discuss as a class how pantomime enhances understanding of dramatic elements and character interactions.</t>
  </si>
  <si>
    <t>Show and Tell–Cause and Effect Relationships: Using the story of "Little Red Riding Hood," explore cause and effect in literature by discussing factors like trust, disobedience, and consequences influencing Red Riding Hood's encounter with the wolf. For example, "Red Riding Hood's decision to stray from the path and engage with the wolf directly influences the outcome of her journey through the woods. Reflecting on her choices encourages us to examine how decisions shape the narrative." Students will choose one factor and write a paragraph exploring its impact on the story, connecting it to specific events or decisions Red Riding Hood makes. Emphasize concluding with a strong summary that reflects on the factor's significance in shaping the story's outcome. Discuss adding a thought-provoking question such as, "How might the story have unfolded differently if Red Riding Hood had followed her mother's instructions?" Encourage students to revise their conclusions to include such questions.</t>
  </si>
  <si>
    <t>Using Syllabication to Determine Meaning</t>
  </si>
  <si>
    <t>Using Context Clues</t>
  </si>
  <si>
    <r>
      <rPr>
        <rFont val="Montserrat"/>
        <color rgb="FFFFFFFF"/>
        <u/>
      </rPr>
      <t>Introducing Building Your Vocabulary</t>
    </r>
    <r>
      <rPr>
        <rFont val="Montserrat"/>
        <color rgb="FF000000"/>
      </rPr>
      <t>uilding</t>
    </r>
  </si>
  <si>
    <t>Word Study</t>
  </si>
  <si>
    <t>Determining meaning with prefixes</t>
  </si>
  <si>
    <t>Defining Synonyms and Antonyms</t>
  </si>
  <si>
    <t>Recalling Background Knowledge</t>
  </si>
  <si>
    <t>It's Greek to Me</t>
  </si>
  <si>
    <t>Commonly Confused Words</t>
  </si>
  <si>
    <t>Introducing Word Parts: Morphemes and Morphology</t>
  </si>
  <si>
    <t>Understanding Connections Between Words</t>
  </si>
  <si>
    <t>When in Rome</t>
  </si>
  <si>
    <t>Compound Words</t>
  </si>
  <si>
    <t>Multisyllabic Words</t>
  </si>
  <si>
    <r>
      <rPr>
        <rFont val="Montserrat"/>
        <color rgb="FF1155CC"/>
        <u/>
      </rPr>
      <t>Key Academic Terms</t>
    </r>
    <r>
      <rPr>
        <rFont val="Montserrat"/>
        <color rgb="FF000000"/>
      </rPr>
      <t xml:space="preserve"> (Sanity Check for grade, NOT sanity check FL)</t>
    </r>
  </si>
  <si>
    <t>Shades of Meaning</t>
  </si>
  <si>
    <t>Determining meaning with suffixes.</t>
  </si>
  <si>
    <t>CERCA Words</t>
  </si>
  <si>
    <t>Vocabulary Routines</t>
  </si>
  <si>
    <t>Explicit Instruction and Collaborative Practice</t>
  </si>
  <si>
    <t>Words for Practice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</si>
</sst>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2">
    <font>
      <sz val="10.0"/>
      <color rgb="FF000000"/>
      <name val="Arial"/>
      <scheme val="minor"/>
    </font>
    <font>
      <color theme="1"/>
      <name val="Montserrat"/>
    </font>
    <font>
      <color rgb="FFFFFFFF"/>
      <name val="Montserrat"/>
    </font>
    <font>
      <b/>
      <color rgb="FFFFFFFF"/>
      <name val="Montserrat"/>
    </font>
    <font>
      <b/>
      <color theme="1"/>
      <name val="Montserrat"/>
    </font>
    <font>
      <u/>
      <color rgb="FF000000"/>
      <name val="Montserrat"/>
    </font>
    <font>
      <u/>
      <color rgb="FFFFFFFF"/>
      <name val="Montserrat"/>
    </font>
    <font>
      <u/>
      <color rgb="FF0000FF"/>
      <name val="Montserrat"/>
    </font>
    <font>
      <u/>
      <color rgb="FF0000FF"/>
      <name val="Montserrat"/>
    </font>
    <font>
      <b/>
      <u/>
      <color rgb="FFFFFFFF"/>
      <name val="Montserrat"/>
    </font>
    <font>
      <b/>
      <u/>
      <color rgb="FFFFFFFF"/>
      <name val="Montserrat"/>
    </font>
    <font>
      <b/>
      <u/>
      <color rgb="FFFFFFFF"/>
      <name val="Montserrat"/>
    </font>
    <font>
      <b/>
      <u/>
      <color rgb="FFFFFFFF"/>
      <name val="Montserrat"/>
    </font>
    <font>
      <sz val="11.0"/>
      <color theme="1"/>
      <name val="Montserrat"/>
    </font>
    <font>
      <color rgb="FF000000"/>
      <name val="Montserrat"/>
    </font>
    <font>
      <sz val="10.0"/>
      <color rgb="FF000000"/>
      <name val="Montserrat"/>
    </font>
    <font>
      <sz val="10.0"/>
      <color theme="1"/>
      <name val="Montserrat"/>
    </font>
    <font>
      <sz val="12.0"/>
      <color rgb="FF000000"/>
      <name val="Montserrat"/>
    </font>
    <font>
      <u/>
      <sz val="11.0"/>
      <color rgb="FF1155CC"/>
      <name val="Montserrat"/>
    </font>
    <font>
      <sz val="12.0"/>
      <color theme="1"/>
      <name val="Montserrat"/>
    </font>
    <font>
      <u/>
      <sz val="11.0"/>
      <color rgb="FF1155CC"/>
      <name val="Montserrat"/>
    </font>
    <font>
      <color theme="1"/>
      <name val="Arial"/>
      <scheme val="minor"/>
    </font>
    <font>
      <b/>
      <color theme="1"/>
      <name val="Arial"/>
      <scheme val="minor"/>
    </font>
    <font>
      <b/>
      <sz val="8.0"/>
      <color rgb="FFFFFFFF"/>
      <name val="Montserrat"/>
    </font>
    <font>
      <sz val="8.0"/>
      <color theme="1"/>
      <name val="Montserrat"/>
    </font>
    <font>
      <u/>
      <sz val="8.0"/>
      <color rgb="FFFFFFFF"/>
      <name val="Montserrat"/>
    </font>
    <font>
      <sz val="9.0"/>
      <color rgb="FF777777"/>
      <name val="Menlo"/>
    </font>
    <font>
      <sz val="8.0"/>
      <color rgb="FFFFFFFF"/>
      <name val="Montserrat"/>
    </font>
    <font>
      <sz val="8.0"/>
      <color rgb="FF000000"/>
      <name val="Montserrat"/>
    </font>
    <font>
      <u/>
      <sz val="8.0"/>
      <color rgb="FFFFFFFF"/>
      <name val="Montserrat"/>
    </font>
    <font>
      <color theme="1"/>
      <name val="Arial"/>
    </font>
    <font>
      <sz val="8.0"/>
      <color theme="1"/>
      <name val="Arial"/>
      <scheme val="minor"/>
    </font>
    <font>
      <b/>
      <u/>
      <sz val="8.0"/>
      <color rgb="FFFFFFFF"/>
      <name val="Montserrat"/>
    </font>
    <font>
      <b/>
      <u/>
      <sz val="8.0"/>
      <color rgb="FF0000FF"/>
      <name val="Montserrat"/>
    </font>
    <font>
      <b/>
      <sz val="8.0"/>
      <color theme="1"/>
      <name val="Montserrat"/>
    </font>
    <font>
      <u/>
      <sz val="8.0"/>
      <color rgb="FFFFFFFF"/>
      <name val="Montserrat"/>
    </font>
    <font>
      <u/>
      <sz val="8.0"/>
      <color rgb="FFFFFFFF"/>
      <name val="Montserrat"/>
    </font>
    <font>
      <u/>
      <sz val="8.0"/>
      <color rgb="FFFFFFFF"/>
      <name val="Montserrat"/>
    </font>
    <font>
      <sz val="8.0"/>
      <color rgb="FF434343"/>
      <name val="Montserrat"/>
    </font>
    <font>
      <sz val="8.0"/>
      <color rgb="FFFF0000"/>
      <name val="Montserrat"/>
    </font>
    <font>
      <sz val="8.0"/>
      <color rgb="FF000000"/>
      <name val="Docs-Montserrat"/>
    </font>
    <font>
      <sz val="8.0"/>
      <color rgb="FFFFFFFF"/>
      <name val="Docs-Montserrat"/>
    </font>
    <font>
      <u/>
      <sz val="8.0"/>
      <color rgb="FFFFFFFF"/>
      <name val="Montserrat"/>
    </font>
    <font>
      <u/>
      <sz val="8.0"/>
      <color rgb="FFFFFFFF"/>
      <name val="Montserrat"/>
    </font>
    <font>
      <sz val="9.0"/>
      <color theme="1"/>
      <name val="Montserrat"/>
    </font>
    <font>
      <u/>
      <sz val="8.0"/>
      <color rgb="FFFFFFFF"/>
      <name val="Montserrat"/>
    </font>
    <font>
      <u/>
      <sz val="8.0"/>
      <color rgb="FFFFFFFF"/>
      <name val="Montserrat"/>
    </font>
    <font>
      <u/>
      <sz val="8.0"/>
      <color rgb="FFFFFFFF"/>
      <name val="Montserrat"/>
    </font>
    <font>
      <sz val="11.0"/>
      <color rgb="FF000000"/>
      <name val="&quot;Courier New&quot;"/>
    </font>
    <font>
      <sz val="11.0"/>
      <color theme="1"/>
      <name val="Arial"/>
    </font>
    <font>
      <sz val="11.0"/>
      <color theme="1"/>
      <name val="Aptos Narrow"/>
    </font>
    <font>
      <b/>
      <sz val="11.0"/>
      <color rgb="FFFFFFFF"/>
      <name val="Aptos Narrow"/>
    </font>
    <font>
      <b/>
      <sz val="11.0"/>
      <color rgb="FFFFFFFF"/>
      <name val="Arial"/>
    </font>
    <font>
      <b/>
      <sz val="11.0"/>
      <color theme="1"/>
      <name val="Arial"/>
    </font>
    <font>
      <b/>
      <sz val="11.0"/>
      <color theme="1"/>
      <name val="Aptos Narrow"/>
    </font>
    <font>
      <u/>
      <sz val="11.0"/>
      <color rgb="FF467886"/>
      <name val="Arial"/>
    </font>
    <font>
      <sz val="11.0"/>
      <color rgb="FFFFFFFF"/>
      <name val="Arial"/>
    </font>
    <font>
      <u/>
      <sz val="11.0"/>
      <color rgb="FF0000FF"/>
      <name val="Arial"/>
    </font>
    <font>
      <u/>
      <sz val="11.0"/>
      <color rgb="FF0000FF"/>
      <name val="Aptos Narrow"/>
    </font>
    <font>
      <sz val="11.0"/>
      <color theme="1"/>
      <name val="Roboto"/>
    </font>
    <font>
      <sz val="12.0"/>
      <color theme="1"/>
      <name val="Arial"/>
    </font>
    <font>
      <sz val="11.0"/>
      <color rgb="FF333333"/>
      <name val="Arial"/>
    </font>
  </fonts>
  <fills count="26">
    <fill>
      <patternFill patternType="none"/>
    </fill>
    <fill>
      <patternFill patternType="lightGray"/>
    </fill>
    <fill>
      <patternFill patternType="solid">
        <fgColor rgb="FF999999"/>
        <bgColor rgb="FF999999"/>
      </patternFill>
    </fill>
    <fill>
      <patternFill patternType="solid">
        <fgColor rgb="FFD9D9D9"/>
        <bgColor rgb="FFD9D9D9"/>
      </patternFill>
    </fill>
    <fill>
      <patternFill patternType="solid">
        <fgColor theme="6"/>
        <bgColor theme="6"/>
      </patternFill>
    </fill>
    <fill>
      <patternFill patternType="solid">
        <fgColor rgb="FF1C4587"/>
        <bgColor rgb="FF1C4587"/>
      </patternFill>
    </fill>
    <fill>
      <patternFill patternType="solid">
        <fgColor theme="7"/>
        <bgColor theme="7"/>
      </patternFill>
    </fill>
    <fill>
      <patternFill patternType="solid">
        <fgColor rgb="FF3C78D8"/>
        <bgColor rgb="FF3C78D8"/>
      </patternFill>
    </fill>
    <fill>
      <patternFill patternType="solid">
        <fgColor rgb="FF666666"/>
        <bgColor rgb="FF666666"/>
      </patternFill>
    </fill>
    <fill>
      <patternFill patternType="solid">
        <fgColor rgb="FF00FFFF"/>
        <bgColor rgb="FF00FFFF"/>
      </patternFill>
    </fill>
    <fill>
      <patternFill patternType="solid">
        <fgColor rgb="FFFF0000"/>
        <bgColor rgb="FFFF0000"/>
      </patternFill>
    </fill>
    <fill>
      <patternFill patternType="solid">
        <fgColor rgb="FF4A86E8"/>
        <bgColor rgb="FF4A86E8"/>
      </patternFill>
    </fill>
    <fill>
      <patternFill patternType="solid">
        <fgColor theme="0"/>
        <bgColor theme="0"/>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rgb="FFB7B7B7"/>
        <bgColor rgb="FFB7B7B7"/>
      </patternFill>
    </fill>
    <fill>
      <patternFill patternType="solid">
        <fgColor rgb="FFF5F5F5"/>
        <bgColor rgb="FFF5F5F5"/>
      </patternFill>
    </fill>
    <fill>
      <patternFill patternType="solid">
        <fgColor rgb="FF34A853"/>
        <bgColor rgb="FF34A853"/>
      </patternFill>
    </fill>
    <fill>
      <patternFill patternType="solid">
        <fgColor rgb="FFE8F0FE"/>
        <bgColor rgb="FFE8F0FE"/>
      </patternFill>
    </fill>
    <fill>
      <patternFill patternType="solid">
        <fgColor rgb="FF7A7A7A"/>
        <bgColor rgb="FF7A7A7A"/>
      </patternFill>
    </fill>
    <fill>
      <patternFill patternType="solid">
        <fgColor rgb="FF0A3E59"/>
        <bgColor rgb="FF0A3E59"/>
      </patternFill>
    </fill>
    <fill>
      <patternFill patternType="solid">
        <fgColor rgb="FF00FF00"/>
        <bgColor rgb="FF00FF00"/>
      </patternFill>
    </fill>
    <fill>
      <patternFill patternType="solid">
        <fgColor rgb="FF434343"/>
        <bgColor rgb="FF434343"/>
      </patternFill>
    </fill>
    <fill>
      <patternFill patternType="solid">
        <fgColor rgb="FFFF00FF"/>
        <bgColor rgb="FFFF00FF"/>
      </patternFill>
    </fill>
  </fills>
  <borders count="8">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000000"/>
      </right>
      <bottom style="thin">
        <color rgb="FF000000"/>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horizontal="center" readingOrder="0" shrinkToFit="0" wrapText="1"/>
    </xf>
    <xf borderId="0" fillId="3" fontId="4" numFmtId="0" xfId="0" applyAlignment="1" applyFill="1" applyFont="1">
      <alignment horizontal="center" readingOrder="0" shrinkToFit="0" wrapText="1"/>
    </xf>
    <xf borderId="0" fillId="4" fontId="3" numFmtId="0" xfId="0" applyAlignment="1" applyFill="1" applyFont="1">
      <alignment horizontal="center" readingOrder="0" shrinkToFit="0" wrapText="1"/>
    </xf>
    <xf borderId="0" fillId="5" fontId="3" numFmtId="0" xfId="0" applyAlignment="1" applyFill="1" applyFont="1">
      <alignment horizontal="center" readingOrder="0" shrinkToFit="0" wrapText="1"/>
    </xf>
    <xf borderId="0" fillId="6" fontId="3" numFmtId="0" xfId="0" applyAlignment="1" applyFill="1" applyFont="1">
      <alignment horizontal="center" readingOrder="0" shrinkToFit="0" wrapText="1"/>
    </xf>
    <xf borderId="0" fillId="3" fontId="5" numFmtId="0" xfId="0" applyAlignment="1" applyFont="1">
      <alignment readingOrder="0" shrinkToFit="0" wrapText="1"/>
    </xf>
    <xf borderId="0" fillId="4" fontId="2" numFmtId="0" xfId="0" applyAlignment="1" applyFont="1">
      <alignment readingOrder="0" shrinkToFit="0" wrapText="1"/>
    </xf>
    <xf borderId="0" fillId="5" fontId="6" numFmtId="0" xfId="0" applyAlignment="1" applyFont="1">
      <alignment readingOrder="0" shrinkToFit="0" wrapText="1"/>
    </xf>
    <xf borderId="0" fillId="6" fontId="2" numFmtId="0" xfId="0" applyAlignment="1" applyFont="1">
      <alignment readingOrder="0" shrinkToFit="0" wrapText="1"/>
    </xf>
    <xf borderId="0" fillId="5" fontId="2" numFmtId="0" xfId="0" applyAlignment="1" applyFont="1">
      <alignment readingOrder="0" shrinkToFit="0" vertical="bottom" wrapText="1"/>
    </xf>
    <xf borderId="0" fillId="6" fontId="3" numFmtId="0" xfId="0" applyAlignment="1" applyFont="1">
      <alignment readingOrder="0" shrinkToFit="0" wrapText="1"/>
    </xf>
    <xf borderId="0" fillId="5" fontId="2" numFmtId="0" xfId="0" applyAlignment="1" applyFont="1">
      <alignment readingOrder="0" shrinkToFit="0" wrapText="1"/>
    </xf>
    <xf borderId="0" fillId="5" fontId="2" numFmtId="0" xfId="0" applyAlignment="1" applyFont="1">
      <alignment readingOrder="0" shrinkToFit="0" wrapText="1"/>
    </xf>
    <xf borderId="0" fillId="6" fontId="2" numFmtId="0" xfId="0" applyAlignment="1" applyFont="1">
      <alignment shrinkToFit="0" vertical="bottom" wrapText="1"/>
    </xf>
    <xf borderId="0" fillId="3" fontId="7" numFmtId="0" xfId="0" applyAlignment="1" applyFont="1">
      <alignment readingOrder="0" shrinkToFit="0" wrapText="1"/>
    </xf>
    <xf borderId="1" fillId="3" fontId="8" numFmtId="0" xfId="0" applyAlignment="1" applyBorder="1" applyFont="1">
      <alignment readingOrder="0" shrinkToFit="0" wrapText="1"/>
    </xf>
    <xf borderId="2" fillId="4" fontId="9" numFmtId="0" xfId="0" applyAlignment="1" applyBorder="1" applyFont="1">
      <alignment readingOrder="0" shrinkToFit="0" wrapText="1"/>
    </xf>
    <xf borderId="2" fillId="5" fontId="2" numFmtId="0" xfId="0" applyAlignment="1" applyBorder="1" applyFont="1">
      <alignment readingOrder="0" shrinkToFit="0" wrapText="1"/>
    </xf>
    <xf borderId="2" fillId="6" fontId="2" numFmtId="0" xfId="0" applyAlignment="1" applyBorder="1" applyFont="1">
      <alignment shrinkToFit="0" wrapText="1"/>
    </xf>
    <xf borderId="2" fillId="5" fontId="2" numFmtId="0" xfId="0" applyAlignment="1" applyBorder="1" applyFont="1">
      <alignment readingOrder="0" shrinkToFit="0" wrapText="1"/>
    </xf>
    <xf borderId="2" fillId="6" fontId="3" numFmtId="0" xfId="0" applyAlignment="1" applyBorder="1" applyFont="1">
      <alignment readingOrder="0" shrinkToFit="0" wrapText="1"/>
    </xf>
    <xf borderId="2" fillId="4" fontId="2" numFmtId="0" xfId="0" applyAlignment="1" applyBorder="1" applyFont="1">
      <alignment readingOrder="0" shrinkToFit="0" wrapText="1"/>
    </xf>
    <xf borderId="3" fillId="6" fontId="3" numFmtId="0" xfId="0" applyAlignment="1" applyBorder="1" applyFont="1">
      <alignment readingOrder="0" shrinkToFit="0" wrapText="1"/>
    </xf>
    <xf borderId="0" fillId="7" fontId="3" numFmtId="0" xfId="0" applyAlignment="1" applyFill="1" applyFont="1">
      <alignment horizontal="center" readingOrder="0" shrinkToFit="0" wrapText="1"/>
    </xf>
    <xf borderId="2" fillId="7" fontId="10" numFmtId="0" xfId="0" applyAlignment="1" applyBorder="1" applyFont="1">
      <alignment readingOrder="0" shrinkToFit="0" wrapText="1"/>
    </xf>
    <xf borderId="0" fillId="7" fontId="11" numFmtId="0" xfId="0" applyAlignment="1" applyFont="1">
      <alignment readingOrder="0" shrinkToFit="0" wrapText="1"/>
    </xf>
    <xf borderId="0" fillId="7" fontId="3" numFmtId="0" xfId="0" applyAlignment="1" applyFont="1">
      <alignment horizontal="center" shrinkToFit="0" wrapText="1"/>
    </xf>
    <xf borderId="0" fillId="7" fontId="12" numFmtId="0" xfId="0" applyAlignment="1" applyFont="1">
      <alignment horizontal="center" shrinkToFit="0" wrapText="1"/>
    </xf>
    <xf borderId="0" fillId="8" fontId="3" numFmtId="0" xfId="0" applyAlignment="1" applyFill="1" applyFont="1">
      <alignment horizontal="center"/>
    </xf>
    <xf borderId="0" fillId="8" fontId="3" numFmtId="0" xfId="0" applyAlignment="1" applyFont="1">
      <alignment horizontal="center" readingOrder="0"/>
    </xf>
    <xf borderId="0" fillId="8" fontId="3" numFmtId="0" xfId="0" applyAlignment="1" applyFont="1">
      <alignment horizontal="center" readingOrder="0" shrinkToFit="0" wrapText="1"/>
    </xf>
    <xf borderId="0" fillId="8" fontId="3" numFmtId="0" xfId="0" applyAlignment="1" applyFont="1">
      <alignment horizontal="center" shrinkToFit="0" wrapText="1"/>
    </xf>
    <xf borderId="0" fillId="9" fontId="3" numFmtId="0" xfId="0" applyAlignment="1" applyFill="1" applyFont="1">
      <alignment horizontal="center" readingOrder="0" shrinkToFit="0" wrapText="1"/>
    </xf>
    <xf borderId="0" fillId="10" fontId="3" numFmtId="0" xfId="0" applyAlignment="1" applyFill="1" applyFont="1">
      <alignment horizontal="center" readingOrder="0" shrinkToFit="0" wrapText="1"/>
    </xf>
    <xf borderId="0" fillId="11" fontId="3" numFmtId="0" xfId="0" applyAlignment="1" applyFill="1" applyFont="1">
      <alignment horizontal="center" readingOrder="0" shrinkToFit="0" wrapText="1"/>
    </xf>
    <xf borderId="0" fillId="12" fontId="1" numFmtId="0" xfId="0" applyAlignment="1" applyFill="1" applyFont="1">
      <alignment readingOrder="0"/>
    </xf>
    <xf borderId="0" fillId="12" fontId="1" numFmtId="0" xfId="0" applyAlignment="1" applyFont="1">
      <alignment shrinkToFit="0" vertical="bottom" wrapText="1"/>
    </xf>
    <xf borderId="0" fillId="12" fontId="13" numFmtId="0" xfId="0" applyAlignment="1" applyFont="1">
      <alignment horizontal="left" readingOrder="0" shrinkToFit="0" vertical="top" wrapText="1"/>
    </xf>
    <xf borderId="0" fillId="12" fontId="1" numFmtId="0" xfId="0" applyAlignment="1" applyFont="1">
      <alignment readingOrder="0" shrinkToFit="0" vertical="bottom" wrapText="1"/>
    </xf>
    <xf borderId="0" fillId="12" fontId="1" numFmtId="0" xfId="0" applyAlignment="1" applyFont="1">
      <alignment readingOrder="0" shrinkToFit="0" wrapText="1"/>
    </xf>
    <xf borderId="0" fillId="12" fontId="14" numFmtId="0" xfId="0" applyAlignment="1" applyFont="1">
      <alignment readingOrder="0" shrinkToFit="0" vertical="top" wrapText="1"/>
    </xf>
    <xf borderId="0" fillId="12" fontId="13" numFmtId="0" xfId="0" applyAlignment="1" applyFont="1">
      <alignment readingOrder="0" shrinkToFit="0" vertical="top" wrapText="1"/>
    </xf>
    <xf borderId="0" fillId="12" fontId="15" numFmtId="0" xfId="0" applyAlignment="1" applyFont="1">
      <alignment readingOrder="0" shrinkToFit="0" wrapText="1"/>
    </xf>
    <xf borderId="0" fillId="12" fontId="1" numFmtId="0" xfId="0" applyFont="1"/>
    <xf borderId="0" fillId="12" fontId="1" numFmtId="0" xfId="0" applyAlignment="1" applyFont="1">
      <alignment readingOrder="0" shrinkToFit="0" vertical="top" wrapText="1"/>
    </xf>
    <xf borderId="0" fillId="12" fontId="16" numFmtId="0" xfId="0" applyAlignment="1" applyFont="1">
      <alignment readingOrder="0" shrinkToFit="0" vertical="top" wrapText="1"/>
    </xf>
    <xf borderId="0" fillId="12" fontId="13" numFmtId="0" xfId="0" applyAlignment="1" applyFont="1">
      <alignment readingOrder="0" shrinkToFit="0" vertical="top" wrapText="1"/>
    </xf>
    <xf borderId="0" fillId="12" fontId="1" numFmtId="0" xfId="0" applyAlignment="1" applyFont="1">
      <alignment readingOrder="0" shrinkToFit="0" wrapText="1"/>
    </xf>
    <xf borderId="0" fillId="12" fontId="13" numFmtId="0" xfId="0" applyAlignment="1" applyFont="1">
      <alignment horizontal="left" readingOrder="0" shrinkToFit="0" vertical="top" wrapText="1"/>
    </xf>
    <xf borderId="0" fillId="12" fontId="1" numFmtId="0" xfId="0" applyAlignment="1" applyFont="1">
      <alignment shrinkToFit="0" vertical="top" wrapText="1"/>
    </xf>
    <xf borderId="0" fillId="8" fontId="1" numFmtId="0" xfId="0" applyFont="1"/>
    <xf borderId="0" fillId="8" fontId="1" numFmtId="0" xfId="0" applyAlignment="1" applyFont="1">
      <alignment shrinkToFit="0" vertical="bottom" wrapText="1"/>
    </xf>
    <xf borderId="0" fillId="0" fontId="17" numFmtId="0" xfId="0" applyAlignment="1" applyFont="1">
      <alignment horizontal="left" readingOrder="0" shrinkToFit="0" vertical="top" wrapText="1"/>
    </xf>
    <xf borderId="0" fillId="0" fontId="14" numFmtId="0" xfId="0" applyAlignment="1" applyFont="1">
      <alignment readingOrder="0" shrinkToFit="0" vertical="top" wrapText="1"/>
    </xf>
    <xf borderId="0" fillId="0" fontId="1" numFmtId="0" xfId="0" applyAlignment="1" applyFont="1">
      <alignment readingOrder="0" shrinkToFit="0" wrapText="1"/>
    </xf>
    <xf borderId="0" fillId="0" fontId="13" numFmtId="0" xfId="0" applyAlignment="1" applyFont="1">
      <alignment horizontal="left" readingOrder="0" shrinkToFit="0" vertical="top" wrapText="1"/>
    </xf>
    <xf borderId="0" fillId="13" fontId="1" numFmtId="0" xfId="0" applyAlignment="1" applyFill="1" applyFont="1">
      <alignment readingOrder="0" shrinkToFit="0" vertical="bottom" wrapText="1"/>
    </xf>
    <xf borderId="0" fillId="14" fontId="1" numFmtId="0" xfId="0" applyAlignment="1" applyFill="1" applyFont="1">
      <alignment readingOrder="0" shrinkToFit="0" wrapText="1"/>
    </xf>
    <xf borderId="0" fillId="0" fontId="18" numFmtId="0" xfId="0" applyAlignment="1" applyFont="1">
      <alignment readingOrder="0" shrinkToFit="0" vertical="top" wrapText="1"/>
    </xf>
    <xf borderId="0" fillId="13" fontId="14" numFmtId="0" xfId="0" applyAlignment="1" applyFont="1">
      <alignment readingOrder="0" shrinkToFit="0" vertical="top" wrapText="1"/>
    </xf>
    <xf borderId="0" fillId="0" fontId="19" numFmtId="0" xfId="0" applyAlignment="1" applyFont="1">
      <alignment horizontal="left" readingOrder="0" shrinkToFit="0" vertical="top" wrapText="1"/>
    </xf>
    <xf borderId="0" fillId="0" fontId="1" numFmtId="0" xfId="0" applyAlignment="1" applyFont="1">
      <alignment readingOrder="0" shrinkToFit="0" vertical="bottom" wrapText="1"/>
    </xf>
    <xf borderId="0" fillId="0" fontId="1" numFmtId="164" xfId="0" applyAlignment="1" applyFont="1" applyNumberFormat="1">
      <alignment readingOrder="0" shrinkToFit="0" wrapText="1"/>
    </xf>
    <xf borderId="0" fillId="0" fontId="17" numFmtId="0" xfId="0" applyAlignment="1" applyFont="1">
      <alignment horizontal="left" readingOrder="0" shrinkToFit="0" vertical="top" wrapText="1"/>
    </xf>
    <xf borderId="0" fillId="0" fontId="1" numFmtId="0" xfId="0" applyAlignment="1" applyFont="1">
      <alignment readingOrder="0" shrinkToFit="0" vertical="bottom" wrapText="1"/>
    </xf>
    <xf borderId="0" fillId="13" fontId="16" numFmtId="0" xfId="0" applyAlignment="1" applyFont="1">
      <alignment readingOrder="0" shrinkToFit="0" vertical="top" wrapText="1"/>
    </xf>
    <xf borderId="0" fillId="15" fontId="20" numFmtId="0" xfId="0" applyAlignment="1" applyFill="1" applyFont="1">
      <alignment readingOrder="0" shrinkToFit="0" vertical="top" wrapText="1"/>
    </xf>
    <xf borderId="0" fillId="0" fontId="1" numFmtId="0" xfId="0" applyAlignment="1" applyFont="1">
      <alignment readingOrder="0"/>
    </xf>
    <xf borderId="0" fillId="0" fontId="21" numFmtId="0" xfId="0" applyAlignment="1" applyFont="1">
      <alignment readingOrder="0" shrinkToFit="0" wrapText="1"/>
    </xf>
    <xf borderId="0" fillId="15" fontId="17" numFmtId="0" xfId="0" applyAlignment="1" applyFont="1">
      <alignment horizontal="left" readingOrder="0" shrinkToFit="0" wrapText="1"/>
    </xf>
    <xf borderId="0" fillId="16" fontId="22" numFmtId="0" xfId="0" applyAlignment="1" applyFill="1" applyFont="1">
      <alignment horizontal="center" readingOrder="0"/>
    </xf>
    <xf borderId="0" fillId="16" fontId="21" numFmtId="0" xfId="0" applyFont="1"/>
    <xf borderId="0" fillId="0" fontId="21" numFmtId="0" xfId="0" applyAlignment="1" applyFont="1">
      <alignment readingOrder="0"/>
    </xf>
    <xf borderId="0" fillId="2" fontId="21" numFmtId="0" xfId="0" applyFont="1"/>
    <xf borderId="0" fillId="2" fontId="21" numFmtId="0" xfId="0" applyAlignment="1" applyFont="1">
      <alignment shrinkToFit="0" wrapText="1"/>
    </xf>
    <xf borderId="0" fillId="0" fontId="21" numFmtId="0" xfId="0" applyFont="1"/>
    <xf borderId="0" fillId="0" fontId="21" numFmtId="0" xfId="0" applyAlignment="1" applyFont="1">
      <alignment shrinkToFit="0" wrapText="1"/>
    </xf>
    <xf borderId="0" fillId="8" fontId="23" numFmtId="0" xfId="0" applyAlignment="1" applyFont="1">
      <alignment horizontal="center" readingOrder="0" shrinkToFit="0" vertical="top" wrapText="1"/>
    </xf>
    <xf borderId="0" fillId="0" fontId="21" numFmtId="0" xfId="0" applyAlignment="1" applyFont="1">
      <alignment shrinkToFit="0" vertical="top" wrapText="1"/>
    </xf>
    <xf borderId="0" fillId="12" fontId="24" numFmtId="0" xfId="0" applyAlignment="1" applyFont="1">
      <alignment readingOrder="0" shrinkToFit="0" vertical="top" wrapText="1"/>
    </xf>
    <xf borderId="0" fillId="17" fontId="23" numFmtId="0" xfId="0" applyAlignment="1" applyFill="1" applyFont="1">
      <alignment horizontal="center" readingOrder="0" shrinkToFit="0" vertical="top" wrapText="1"/>
    </xf>
    <xf borderId="0" fillId="5" fontId="25" numFmtId="0" xfId="0" applyAlignment="1" applyFont="1">
      <alignment readingOrder="0" shrinkToFit="0" vertical="top" wrapText="1"/>
    </xf>
    <xf borderId="0" fillId="18" fontId="26" numFmtId="0" xfId="0" applyAlignment="1" applyFill="1" applyFont="1">
      <alignment readingOrder="0"/>
    </xf>
    <xf borderId="0" fillId="6" fontId="27" numFmtId="0" xfId="0" applyAlignment="1" applyFont="1">
      <alignment readingOrder="0" shrinkToFit="0" vertical="top" wrapText="1"/>
    </xf>
    <xf borderId="0" fillId="15" fontId="28" numFmtId="0" xfId="0" applyAlignment="1" applyFont="1">
      <alignment horizontal="left" readingOrder="0" shrinkToFit="0" vertical="top" wrapText="1"/>
    </xf>
    <xf borderId="0" fillId="15" fontId="24" numFmtId="0" xfId="0" applyAlignment="1" applyFont="1">
      <alignment readingOrder="0" shrinkToFit="0" vertical="top" wrapText="1"/>
    </xf>
    <xf borderId="0" fillId="5" fontId="29" numFmtId="0" xfId="0" applyAlignment="1" applyFont="1">
      <alignment shrinkToFit="0" vertical="top" wrapText="1"/>
    </xf>
    <xf borderId="0" fillId="5" fontId="27" numFmtId="0" xfId="0" applyAlignment="1" applyFont="1">
      <alignment readingOrder="0" shrinkToFit="0" vertical="top" wrapText="1"/>
    </xf>
    <xf borderId="0" fillId="5" fontId="27" numFmtId="0" xfId="0" applyAlignment="1" applyFont="1">
      <alignment readingOrder="0" shrinkToFit="0" vertical="top" wrapText="1"/>
    </xf>
    <xf borderId="0" fillId="5" fontId="27" numFmtId="0" xfId="0" applyAlignment="1" applyFont="1">
      <alignment shrinkToFit="0" vertical="top" wrapText="1"/>
    </xf>
    <xf borderId="0" fillId="19" fontId="27" numFmtId="0" xfId="0" applyAlignment="1" applyFill="1" applyFont="1">
      <alignment readingOrder="0" shrinkToFit="0" vertical="top" wrapText="1"/>
    </xf>
    <xf borderId="0" fillId="8" fontId="23" numFmtId="0" xfId="0" applyAlignment="1" applyFont="1">
      <alignment horizontal="center" shrinkToFit="0" vertical="top" wrapText="1"/>
    </xf>
    <xf borderId="0" fillId="8" fontId="30" numFmtId="0" xfId="0" applyAlignment="1" applyFont="1">
      <alignment vertical="top"/>
    </xf>
    <xf borderId="0" fillId="5" fontId="27" numFmtId="0" xfId="0" applyAlignment="1" applyFont="1">
      <alignment readingOrder="0" shrinkToFit="0" vertical="top" wrapText="1"/>
    </xf>
    <xf borderId="0" fillId="5" fontId="21" numFmtId="0" xfId="0" applyFont="1"/>
    <xf borderId="0" fillId="15" fontId="28" numFmtId="0" xfId="0" applyAlignment="1" applyFont="1">
      <alignment readingOrder="0" shrinkToFit="0" vertical="top" wrapText="1"/>
    </xf>
    <xf borderId="0" fillId="20" fontId="24" numFmtId="0" xfId="0" applyAlignment="1" applyFill="1" applyFont="1">
      <alignment shrinkToFit="0" vertical="top" wrapText="1"/>
    </xf>
    <xf borderId="0" fillId="20" fontId="24" numFmtId="0" xfId="0" applyAlignment="1" applyFont="1">
      <alignment readingOrder="0" shrinkToFit="0" vertical="top" wrapText="1"/>
    </xf>
    <xf borderId="0" fillId="0" fontId="24" numFmtId="0" xfId="0" applyAlignment="1" applyFont="1">
      <alignment shrinkToFit="0" vertical="top" wrapText="1"/>
    </xf>
    <xf borderId="0" fillId="5" fontId="27" numFmtId="0" xfId="0" applyAlignment="1" applyFont="1">
      <alignment shrinkToFit="0" vertical="top" wrapText="1"/>
    </xf>
    <xf borderId="0" fillId="5" fontId="24" numFmtId="0" xfId="0" applyAlignment="1" applyFont="1">
      <alignment shrinkToFit="0" vertical="top" wrapText="1"/>
    </xf>
    <xf borderId="0" fillId="0" fontId="31" numFmtId="0" xfId="0" applyAlignment="1" applyFont="1">
      <alignment shrinkToFit="0" vertical="top" wrapText="1"/>
    </xf>
    <xf borderId="0" fillId="10" fontId="30" numFmtId="0" xfId="0" applyAlignment="1" applyFont="1">
      <alignment vertical="top"/>
    </xf>
    <xf borderId="0" fillId="10" fontId="32" numFmtId="0" xfId="0" applyAlignment="1" applyFont="1">
      <alignment horizontal="center" readingOrder="0" shrinkToFit="0" vertical="top" wrapText="1"/>
    </xf>
    <xf borderId="0" fillId="10" fontId="23" numFmtId="0" xfId="0" applyAlignment="1" applyFont="1">
      <alignment horizontal="center" readingOrder="0" shrinkToFit="0" vertical="top" wrapText="1"/>
    </xf>
    <xf borderId="0" fillId="10" fontId="33" numFmtId="0" xfId="0" applyAlignment="1" applyFont="1">
      <alignment horizontal="center" readingOrder="0" shrinkToFit="0" vertical="top" wrapText="1"/>
    </xf>
    <xf borderId="0" fillId="10" fontId="34" numFmtId="0" xfId="0" applyAlignment="1" applyFont="1">
      <alignment horizontal="center" readingOrder="0" shrinkToFit="0" vertical="top" wrapText="1"/>
    </xf>
    <xf borderId="0" fillId="5" fontId="35" numFmtId="0" xfId="0" applyAlignment="1" applyFont="1">
      <alignment shrinkToFit="0" vertical="top" wrapText="1"/>
    </xf>
    <xf borderId="0" fillId="0" fontId="24" numFmtId="0" xfId="0" applyAlignment="1" applyFont="1">
      <alignment readingOrder="0" shrinkToFit="0" vertical="top" wrapText="1"/>
    </xf>
    <xf borderId="0" fillId="15" fontId="24" numFmtId="0" xfId="0" applyAlignment="1" applyFont="1">
      <alignment readingOrder="0" shrinkToFit="0" vertical="top" wrapText="1"/>
    </xf>
    <xf borderId="0" fillId="0" fontId="24" numFmtId="0" xfId="0" applyAlignment="1" applyFont="1">
      <alignment horizontal="left" readingOrder="0" shrinkToFit="0" vertical="top" wrapText="1"/>
    </xf>
    <xf borderId="0" fillId="0" fontId="28" numFmtId="0" xfId="0" applyAlignment="1" applyFont="1">
      <alignment horizontal="left" readingOrder="0" shrinkToFit="0" vertical="top" wrapText="1"/>
    </xf>
    <xf borderId="0" fillId="12" fontId="24" numFmtId="0" xfId="0" applyAlignment="1" applyFont="1">
      <alignment shrinkToFit="0" vertical="top" wrapText="1"/>
    </xf>
    <xf borderId="0" fillId="20" fontId="36" numFmtId="0" xfId="0" applyAlignment="1" applyFont="1">
      <alignment shrinkToFit="0" vertical="top" wrapText="1"/>
    </xf>
    <xf borderId="0" fillId="20" fontId="28" numFmtId="0" xfId="0" applyAlignment="1" applyFont="1">
      <alignment readingOrder="0" shrinkToFit="0" vertical="top" wrapText="1"/>
    </xf>
    <xf borderId="0" fillId="20" fontId="24" numFmtId="0" xfId="0" applyAlignment="1" applyFont="1">
      <alignment shrinkToFit="0" vertical="bottom" wrapText="0"/>
    </xf>
    <xf borderId="0" fillId="15" fontId="37" numFmtId="0" xfId="0" applyAlignment="1" applyFont="1">
      <alignment shrinkToFit="0" vertical="top" wrapText="1"/>
    </xf>
    <xf borderId="0" fillId="15" fontId="24" numFmtId="0" xfId="0" applyAlignment="1" applyFont="1">
      <alignment shrinkToFit="0" vertical="bottom" wrapText="0"/>
    </xf>
    <xf borderId="0" fillId="0" fontId="24" numFmtId="0" xfId="0" applyAlignment="1" applyFont="1">
      <alignment shrinkToFit="0" vertical="bottom" wrapText="0"/>
    </xf>
    <xf borderId="0" fillId="0" fontId="24" numFmtId="0" xfId="0" applyAlignment="1" applyFont="1">
      <alignment shrinkToFit="0" vertical="bottom" wrapText="0"/>
    </xf>
    <xf borderId="0" fillId="12" fontId="24" numFmtId="0" xfId="0" applyAlignment="1" applyFont="1">
      <alignment readingOrder="0" shrinkToFit="0" vertical="top" wrapText="1"/>
    </xf>
    <xf borderId="0" fillId="12" fontId="24" numFmtId="0" xfId="0" applyAlignment="1" applyFont="1">
      <alignment readingOrder="0" shrinkToFit="0" vertical="top" wrapText="1"/>
    </xf>
    <xf borderId="0" fillId="12" fontId="24" numFmtId="0" xfId="0" applyAlignment="1" applyFont="1">
      <alignment shrinkToFit="0" vertical="top" wrapText="1"/>
    </xf>
    <xf borderId="0" fillId="12" fontId="28" numFmtId="0" xfId="0" applyAlignment="1" applyFont="1">
      <alignment readingOrder="0" shrinkToFit="0" vertical="top" wrapText="1"/>
    </xf>
    <xf borderId="0" fillId="0" fontId="24" numFmtId="0" xfId="0" applyAlignment="1" applyFont="1">
      <alignment readingOrder="0" shrinkToFit="0" vertical="bottom" wrapText="0"/>
    </xf>
    <xf borderId="0" fillId="17" fontId="30" numFmtId="0" xfId="0" applyAlignment="1" applyFont="1">
      <alignment vertical="top"/>
    </xf>
    <xf borderId="0" fillId="0" fontId="24" numFmtId="0" xfId="0" applyFont="1"/>
    <xf borderId="0" fillId="5" fontId="27" numFmtId="0" xfId="0" applyAlignment="1" applyFont="1">
      <alignment horizontal="left" readingOrder="0" shrinkToFit="0" vertical="top" wrapText="1"/>
    </xf>
    <xf borderId="0" fillId="0" fontId="24" numFmtId="0" xfId="0" applyAlignment="1" applyFont="1">
      <alignment readingOrder="0"/>
    </xf>
    <xf borderId="0" fillId="20" fontId="24" numFmtId="0" xfId="0" applyFont="1"/>
    <xf borderId="0" fillId="15" fontId="24" numFmtId="0" xfId="0" applyFont="1"/>
    <xf borderId="0" fillId="0" fontId="24" numFmtId="0" xfId="0" applyFont="1"/>
    <xf borderId="0" fillId="19" fontId="27" numFmtId="0" xfId="0" applyAlignment="1" applyFont="1">
      <alignment horizontal="left" readingOrder="0" shrinkToFit="0" vertical="top" wrapText="1"/>
    </xf>
    <xf borderId="0" fillId="0" fontId="24" numFmtId="0" xfId="0" applyAlignment="1" applyFont="1">
      <alignment vertical="top"/>
    </xf>
    <xf borderId="0" fillId="12" fontId="24" numFmtId="0" xfId="0" applyAlignment="1" applyFont="1">
      <alignment vertical="top"/>
    </xf>
    <xf borderId="0" fillId="19" fontId="27" numFmtId="0" xfId="0" applyAlignment="1" applyFont="1">
      <alignment readingOrder="0" shrinkToFit="0" vertical="top" wrapText="1"/>
    </xf>
    <xf borderId="0" fillId="19" fontId="27" numFmtId="0" xfId="0" applyAlignment="1" applyFont="1">
      <alignment horizontal="left" readingOrder="0" shrinkToFit="0" vertical="top" wrapText="1"/>
    </xf>
    <xf borderId="0" fillId="0" fontId="28" numFmtId="0" xfId="0" applyAlignment="1" applyFont="1">
      <alignment readingOrder="0" shrinkToFit="0" wrapText="1"/>
    </xf>
    <xf borderId="0" fillId="12" fontId="28" numFmtId="0" xfId="0" applyAlignment="1" applyFont="1">
      <alignment horizontal="left" readingOrder="0" shrinkToFit="0" vertical="top" wrapText="1"/>
    </xf>
    <xf borderId="0" fillId="19" fontId="38" numFmtId="0" xfId="0" applyAlignment="1" applyFont="1">
      <alignment horizontal="left" readingOrder="0" shrinkToFit="0" vertical="top" wrapText="1"/>
    </xf>
    <xf borderId="0" fillId="12" fontId="24" numFmtId="0" xfId="0" applyAlignment="1" applyFont="1">
      <alignment horizontal="left" readingOrder="0" shrinkToFit="0" vertical="top" wrapText="1"/>
    </xf>
    <xf borderId="0" fillId="19" fontId="27" numFmtId="0" xfId="0" applyAlignment="1" applyFont="1">
      <alignment readingOrder="0" shrinkToFit="0" vertical="top" wrapText="1"/>
    </xf>
    <xf borderId="0" fillId="19" fontId="27" numFmtId="0" xfId="0" applyAlignment="1" applyFont="1">
      <alignment readingOrder="0" shrinkToFit="0" vertical="top" wrapText="1"/>
    </xf>
    <xf borderId="0" fillId="12" fontId="24" numFmtId="4" xfId="0" applyAlignment="1" applyFont="1" applyNumberFormat="1">
      <alignment readingOrder="0" shrinkToFit="0" vertical="top" wrapText="1"/>
    </xf>
    <xf borderId="0" fillId="12" fontId="24" numFmtId="4" xfId="0" applyAlignment="1" applyFont="1" applyNumberFormat="1">
      <alignment shrinkToFit="0" vertical="top" wrapText="1"/>
    </xf>
    <xf borderId="0" fillId="0" fontId="21" numFmtId="0" xfId="0" applyAlignment="1" applyFont="1">
      <alignment readingOrder="0" shrinkToFit="0" vertical="top" wrapText="1"/>
    </xf>
    <xf borderId="0" fillId="0" fontId="28" numFmtId="0" xfId="0" applyAlignment="1" applyFont="1">
      <alignment readingOrder="0" shrinkToFit="0" vertical="top" wrapText="1"/>
    </xf>
    <xf borderId="0" fillId="0" fontId="24" numFmtId="0" xfId="0" applyAlignment="1" applyFont="1">
      <alignment readingOrder="0" shrinkToFit="0" wrapText="1"/>
    </xf>
    <xf borderId="0" fillId="19" fontId="38" numFmtId="0" xfId="0" applyAlignment="1" applyFont="1">
      <alignment readingOrder="0" shrinkToFit="0" vertical="top" wrapText="1"/>
    </xf>
    <xf borderId="0" fillId="12" fontId="27" numFmtId="0" xfId="0" applyAlignment="1" applyFont="1">
      <alignment readingOrder="0" shrinkToFit="0" vertical="top" wrapText="1"/>
    </xf>
    <xf borderId="0" fillId="12" fontId="27" numFmtId="0" xfId="0" applyAlignment="1" applyFont="1">
      <alignment readingOrder="0" shrinkToFit="0" vertical="top" wrapText="1"/>
    </xf>
    <xf borderId="0" fillId="0" fontId="24" numFmtId="0" xfId="0" applyAlignment="1" applyFont="1">
      <alignment readingOrder="0" shrinkToFit="0" vertical="top" wrapText="1"/>
    </xf>
    <xf borderId="0" fillId="15" fontId="23" numFmtId="0" xfId="0" applyAlignment="1" applyFont="1">
      <alignment horizontal="center" readingOrder="0" shrinkToFit="0" vertical="top" wrapText="1"/>
    </xf>
    <xf borderId="0" fillId="5" fontId="39" numFmtId="0" xfId="0" applyAlignment="1" applyFont="1">
      <alignment readingOrder="0" shrinkToFit="0" vertical="top" wrapText="1"/>
    </xf>
    <xf borderId="0" fillId="0" fontId="28" numFmtId="0" xfId="0" applyAlignment="1" applyFont="1">
      <alignment readingOrder="0" shrinkToFit="0" vertical="top" wrapText="1"/>
    </xf>
    <xf borderId="0" fillId="5" fontId="30" numFmtId="0" xfId="0" applyAlignment="1" applyFont="1">
      <alignment vertical="top"/>
    </xf>
    <xf borderId="0" fillId="0" fontId="24" numFmtId="0" xfId="0" applyAlignment="1" applyFont="1">
      <alignment readingOrder="0" vertical="top"/>
    </xf>
    <xf borderId="0" fillId="15" fontId="24" numFmtId="0" xfId="0" applyAlignment="1" applyFont="1">
      <alignment readingOrder="0" shrinkToFit="0" vertical="top" wrapText="1"/>
    </xf>
    <xf borderId="0" fillId="0" fontId="16" numFmtId="0" xfId="0" applyAlignment="1" applyFont="1">
      <alignment readingOrder="0" shrinkToFit="0" vertical="bottom" wrapText="1"/>
    </xf>
    <xf borderId="0" fillId="0" fontId="34" numFmtId="0" xfId="0" applyAlignment="1" applyFont="1">
      <alignment readingOrder="0" shrinkToFit="0" vertical="top" wrapText="1"/>
    </xf>
    <xf borderId="0" fillId="0" fontId="30" numFmtId="0" xfId="0" applyAlignment="1" applyFont="1">
      <alignment vertical="top"/>
    </xf>
    <xf borderId="0" fillId="15" fontId="24" numFmtId="0" xfId="0" applyAlignment="1" applyFont="1">
      <alignment shrinkToFit="0" vertical="top" wrapText="1"/>
    </xf>
    <xf borderId="0" fillId="15" fontId="28" numFmtId="0" xfId="0" applyAlignment="1" applyFont="1">
      <alignment horizontal="left" shrinkToFit="0" vertical="top" wrapText="1"/>
    </xf>
    <xf borderId="0" fillId="5" fontId="21" numFmtId="0" xfId="0" applyAlignment="1" applyFont="1">
      <alignment vertical="top"/>
    </xf>
    <xf borderId="0" fillId="15" fontId="23" numFmtId="0" xfId="0" applyAlignment="1" applyFont="1">
      <alignment horizontal="center" readingOrder="0" shrinkToFit="0" vertical="top" wrapText="1"/>
    </xf>
    <xf borderId="0" fillId="20" fontId="27" numFmtId="0" xfId="0" applyAlignment="1" applyFont="1">
      <alignment readingOrder="0" shrinkToFit="0" vertical="top" wrapText="1"/>
    </xf>
    <xf borderId="0" fillId="15" fontId="27" numFmtId="0" xfId="0" applyAlignment="1" applyFont="1">
      <alignment shrinkToFit="0" vertical="top" wrapText="1"/>
    </xf>
    <xf borderId="0" fillId="20" fontId="27" numFmtId="0" xfId="0" applyAlignment="1" applyFont="1">
      <alignment shrinkToFit="0" vertical="top" wrapText="1"/>
    </xf>
    <xf borderId="0" fillId="15" fontId="24" numFmtId="0" xfId="0" applyAlignment="1" applyFont="1">
      <alignment shrinkToFit="0" vertical="top" wrapText="1"/>
    </xf>
    <xf borderId="0" fillId="5" fontId="27" numFmtId="0" xfId="0" applyAlignment="1" applyFont="1">
      <alignment readingOrder="0" shrinkToFit="0" vertical="top" wrapText="1"/>
    </xf>
    <xf borderId="0" fillId="5" fontId="27" numFmtId="0" xfId="0" applyAlignment="1" applyFont="1">
      <alignment shrinkToFit="0" vertical="top" wrapText="1"/>
    </xf>
    <xf borderId="0" fillId="15" fontId="40" numFmtId="0" xfId="0" applyAlignment="1" applyFont="1">
      <alignment horizontal="left" vertical="top"/>
    </xf>
    <xf borderId="0" fillId="15" fontId="28" numFmtId="0" xfId="0" applyAlignment="1" applyFont="1">
      <alignment horizontal="left" shrinkToFit="0" vertical="top" wrapText="1"/>
    </xf>
    <xf borderId="4" fillId="21" fontId="27" numFmtId="0" xfId="0" applyAlignment="1" applyBorder="1" applyFill="1" applyFont="1">
      <alignment horizontal="left" readingOrder="0" shrinkToFit="0" vertical="top" wrapText="1"/>
    </xf>
    <xf borderId="4" fillId="19" fontId="41" numFmtId="0" xfId="0" applyAlignment="1" applyBorder="1" applyFont="1">
      <alignment horizontal="left" readingOrder="0" shrinkToFit="0" vertical="top" wrapText="1"/>
    </xf>
    <xf borderId="4" fillId="15" fontId="40" numFmtId="0" xfId="0" applyAlignment="1" applyBorder="1" applyFont="1">
      <alignment horizontal="left" shrinkToFit="0" vertical="top" wrapText="1"/>
    </xf>
    <xf borderId="4" fillId="15" fontId="40" numFmtId="0" xfId="0" applyAlignment="1" applyBorder="1" applyFont="1">
      <alignment horizontal="left" readingOrder="0" shrinkToFit="0" vertical="top" wrapText="1"/>
    </xf>
    <xf borderId="0" fillId="8" fontId="23" numFmtId="0" xfId="0" applyAlignment="1" applyFont="1">
      <alignment horizontal="center" shrinkToFit="0" vertical="top" wrapText="1"/>
    </xf>
    <xf borderId="0" fillId="17" fontId="23" numFmtId="0" xfId="0" applyAlignment="1" applyFont="1">
      <alignment horizontal="center" shrinkToFit="0" vertical="top" wrapText="1"/>
    </xf>
    <xf borderId="0" fillId="5" fontId="27" numFmtId="0" xfId="0" applyAlignment="1" applyFont="1">
      <alignment shrinkToFit="0" wrapText="1"/>
    </xf>
    <xf borderId="0" fillId="5" fontId="27" numFmtId="0" xfId="0" applyAlignment="1" applyFont="1">
      <alignment shrinkToFit="0" wrapText="1"/>
    </xf>
    <xf borderId="0" fillId="5" fontId="27" numFmtId="0" xfId="0" applyAlignment="1" applyFont="1">
      <alignment readingOrder="0" shrinkToFit="0" wrapText="1"/>
    </xf>
    <xf borderId="0" fillId="19" fontId="27" numFmtId="0" xfId="0" applyAlignment="1" applyFont="1">
      <alignment shrinkToFit="0" vertical="top" wrapText="1"/>
    </xf>
    <xf borderId="0" fillId="15" fontId="28" numFmtId="0" xfId="0" applyAlignment="1" applyFont="1">
      <alignment shrinkToFit="0" vertical="top" wrapText="1"/>
    </xf>
    <xf borderId="0" fillId="15" fontId="28" numFmtId="0" xfId="0" applyAlignment="1" applyFont="1">
      <alignment horizontal="left" readingOrder="0" shrinkToFit="0" vertical="top" wrapText="1"/>
    </xf>
    <xf borderId="0" fillId="19" fontId="27" numFmtId="0" xfId="0" applyAlignment="1" applyFont="1">
      <alignment horizontal="left" readingOrder="0" shrinkToFit="0" vertical="top" wrapText="1"/>
    </xf>
    <xf borderId="0" fillId="15" fontId="24" numFmtId="0" xfId="0" applyAlignment="1" applyFont="1">
      <alignment shrinkToFit="0" vertical="top" wrapText="1"/>
    </xf>
    <xf borderId="0" fillId="5" fontId="27" numFmtId="0" xfId="0" applyAlignment="1" applyFont="1">
      <alignment shrinkToFit="0" vertical="bottom" wrapText="1"/>
    </xf>
    <xf borderId="0" fillId="15" fontId="24" numFmtId="0" xfId="0" applyAlignment="1" applyFont="1">
      <alignment shrinkToFit="0" vertical="bottom" wrapText="1"/>
    </xf>
    <xf borderId="0" fillId="5" fontId="27" numFmtId="0" xfId="0" applyAlignment="1" applyFont="1">
      <alignment readingOrder="0" shrinkToFit="0" vertical="center" wrapText="1"/>
    </xf>
    <xf borderId="0" fillId="5" fontId="27" numFmtId="0" xfId="0" applyAlignment="1" applyFont="1">
      <alignment readingOrder="0" shrinkToFit="0" vertical="center" wrapText="1"/>
    </xf>
    <xf borderId="0" fillId="19" fontId="27" numFmtId="0" xfId="0" applyAlignment="1" applyFont="1">
      <alignment shrinkToFit="0" vertical="top" wrapText="1"/>
    </xf>
    <xf borderId="0" fillId="5" fontId="42" numFmtId="0" xfId="0" applyAlignment="1" applyFont="1">
      <alignment readingOrder="0" shrinkToFit="0" vertical="top" wrapText="1"/>
    </xf>
    <xf borderId="0" fillId="12" fontId="28" numFmtId="0" xfId="0" applyAlignment="1" applyFont="1">
      <alignment horizontal="left" shrinkToFit="0" vertical="top" wrapText="1"/>
    </xf>
    <xf borderId="0" fillId="12" fontId="28" numFmtId="0" xfId="0" applyAlignment="1" applyFont="1">
      <alignment horizontal="left" shrinkToFit="0" vertical="top" wrapText="1"/>
    </xf>
    <xf borderId="0" fillId="5" fontId="23" numFmtId="0" xfId="0" applyAlignment="1" applyFont="1">
      <alignment horizontal="center" readingOrder="0" shrinkToFit="0" vertical="top" wrapText="1"/>
    </xf>
    <xf borderId="0" fillId="20" fontId="38" numFmtId="0" xfId="0" applyAlignment="1" applyFont="1">
      <alignment readingOrder="0" shrinkToFit="0" vertical="top" wrapText="1"/>
    </xf>
    <xf borderId="0" fillId="15" fontId="38" numFmtId="0" xfId="0" applyAlignment="1" applyFont="1">
      <alignment readingOrder="0" shrinkToFit="0" vertical="top" wrapText="1"/>
    </xf>
    <xf borderId="0" fillId="20" fontId="24" numFmtId="0" xfId="0" applyAlignment="1" applyFont="1">
      <alignment readingOrder="0" shrinkToFit="0" vertical="top" wrapText="1"/>
    </xf>
    <xf borderId="0" fillId="5" fontId="27" numFmtId="0" xfId="0" applyAlignment="1" applyFont="1">
      <alignment readingOrder="0" shrinkToFit="0" vertical="top" wrapText="1"/>
    </xf>
    <xf borderId="0" fillId="20" fontId="24" numFmtId="0" xfId="0" applyAlignment="1" applyFont="1">
      <alignment readingOrder="0" shrinkToFit="0" vertical="top" wrapText="1"/>
    </xf>
    <xf borderId="0" fillId="15" fontId="24" numFmtId="0" xfId="0" applyAlignment="1" applyFont="1">
      <alignment readingOrder="0" shrinkToFit="0" wrapText="1"/>
    </xf>
    <xf borderId="0" fillId="20" fontId="28" numFmtId="0" xfId="0" applyAlignment="1" applyFont="1">
      <alignment readingOrder="0" shrinkToFit="0" vertical="top" wrapText="1"/>
    </xf>
    <xf borderId="0" fillId="5" fontId="43" numFmtId="0" xfId="0" applyAlignment="1" applyFont="1">
      <alignment readingOrder="0" shrinkToFit="0" vertical="top" wrapText="1"/>
    </xf>
    <xf borderId="0" fillId="20" fontId="28" numFmtId="0" xfId="0" applyAlignment="1" applyFont="1">
      <alignment horizontal="left" readingOrder="0" shrinkToFit="0" vertical="top" wrapText="1"/>
    </xf>
    <xf borderId="0" fillId="15" fontId="38" numFmtId="0" xfId="0" applyAlignment="1" applyFont="1">
      <alignment shrinkToFit="0" vertical="top" wrapText="1"/>
    </xf>
    <xf borderId="0" fillId="20" fontId="38" numFmtId="0" xfId="0" applyAlignment="1" applyFont="1">
      <alignment shrinkToFit="0" vertical="top" wrapText="1"/>
    </xf>
    <xf borderId="0" fillId="20" fontId="44" numFmtId="0" xfId="0" applyAlignment="1" applyFont="1">
      <alignment readingOrder="0" shrinkToFit="0" vertical="top" wrapText="1"/>
    </xf>
    <xf borderId="0" fillId="15" fontId="38" numFmtId="0" xfId="0" applyAlignment="1" applyFont="1">
      <alignment shrinkToFit="0" vertical="top" wrapText="1"/>
    </xf>
    <xf borderId="0" fillId="15" fontId="44" numFmtId="0" xfId="0" applyAlignment="1" applyFont="1">
      <alignment readingOrder="0" shrinkToFit="0" vertical="top" wrapText="1"/>
    </xf>
    <xf borderId="0" fillId="20" fontId="1" numFmtId="0" xfId="0" applyAlignment="1" applyFont="1">
      <alignment readingOrder="0" shrinkToFit="0" vertical="top" wrapText="1"/>
    </xf>
    <xf borderId="0" fillId="15" fontId="1" numFmtId="0" xfId="0" applyAlignment="1" applyFont="1">
      <alignment readingOrder="0" shrinkToFit="0" vertical="top" wrapText="1"/>
    </xf>
    <xf borderId="0" fillId="20" fontId="24" numFmtId="0" xfId="0" applyAlignment="1" applyFont="1">
      <alignment shrinkToFit="0" vertical="top" wrapText="1"/>
    </xf>
    <xf borderId="0" fillId="12" fontId="24" numFmtId="0" xfId="0" applyAlignment="1" applyFont="1">
      <alignment readingOrder="0" vertical="top"/>
    </xf>
    <xf borderId="0" fillId="12" fontId="24" numFmtId="0" xfId="0" applyAlignment="1" applyFont="1">
      <alignment shrinkToFit="0" vertical="top" wrapText="1"/>
    </xf>
    <xf borderId="0" fillId="12" fontId="24" numFmtId="0" xfId="0" applyAlignment="1" applyFont="1">
      <alignment vertical="top"/>
    </xf>
    <xf borderId="5" fillId="6" fontId="27" numFmtId="0" xfId="0" applyAlignment="1" applyBorder="1" applyFont="1">
      <alignment readingOrder="0" shrinkToFit="0" vertical="top" wrapText="1"/>
    </xf>
    <xf borderId="6" fillId="0" fontId="28" numFmtId="0" xfId="0" applyAlignment="1" applyBorder="1" applyFont="1">
      <alignment horizontal="left" readingOrder="0" shrinkToFit="0" vertical="top" wrapText="1"/>
    </xf>
    <xf borderId="6" fillId="15" fontId="28" numFmtId="0" xfId="0" applyAlignment="1" applyBorder="1" applyFont="1">
      <alignment horizontal="left" readingOrder="0" shrinkToFit="0" vertical="top" wrapText="1"/>
    </xf>
    <xf borderId="6" fillId="20" fontId="28" numFmtId="0" xfId="0" applyAlignment="1" applyBorder="1" applyFont="1">
      <alignment horizontal="left" readingOrder="0" shrinkToFit="0" vertical="top" wrapText="1"/>
    </xf>
    <xf borderId="0" fillId="5" fontId="38" numFmtId="0" xfId="0" applyAlignment="1" applyFont="1">
      <alignment readingOrder="0" shrinkToFit="0" vertical="top" wrapText="1"/>
    </xf>
    <xf borderId="6" fillId="15" fontId="38" numFmtId="0" xfId="0" applyAlignment="1" applyBorder="1" applyFont="1">
      <alignment horizontal="left" readingOrder="0" shrinkToFit="0" vertical="top" wrapText="1"/>
    </xf>
    <xf borderId="6" fillId="12" fontId="28" numFmtId="0" xfId="0" applyAlignment="1" applyBorder="1" applyFont="1">
      <alignment horizontal="left" readingOrder="0" shrinkToFit="0" vertical="top" wrapText="1"/>
    </xf>
    <xf borderId="0" fillId="15" fontId="30" numFmtId="0" xfId="0" applyAlignment="1" applyFont="1">
      <alignment vertical="top"/>
    </xf>
    <xf borderId="0" fillId="12" fontId="28" numFmtId="0" xfId="0" applyAlignment="1" applyFont="1">
      <alignment horizontal="left" readingOrder="0" shrinkToFit="0" vertical="top" wrapText="1"/>
    </xf>
    <xf borderId="0" fillId="5" fontId="45" numFmtId="0" xfId="0" applyAlignment="1" applyFont="1">
      <alignment readingOrder="0" shrinkToFit="0" vertical="top" wrapText="1"/>
    </xf>
    <xf borderId="0" fillId="17" fontId="30" numFmtId="0" xfId="0" applyAlignment="1" applyFont="1">
      <alignment vertical="bottom"/>
    </xf>
    <xf borderId="0" fillId="17" fontId="23" numFmtId="0" xfId="0" applyAlignment="1" applyFont="1">
      <alignment horizontal="center" readingOrder="0" shrinkToFit="0" wrapText="1"/>
    </xf>
    <xf borderId="0" fillId="5" fontId="27" numFmtId="0" xfId="0" applyAlignment="1" applyFont="1">
      <alignment readingOrder="0" shrinkToFit="0" vertical="center" wrapText="1"/>
    </xf>
    <xf borderId="0" fillId="6" fontId="27" numFmtId="0" xfId="0" applyAlignment="1" applyFont="1">
      <alignment readingOrder="0" shrinkToFit="0" wrapText="1"/>
    </xf>
    <xf borderId="0" fillId="6" fontId="27" numFmtId="0" xfId="0" applyAlignment="1" applyFont="1">
      <alignment readingOrder="0" shrinkToFit="0" vertical="bottom" wrapText="1"/>
    </xf>
    <xf borderId="0" fillId="15" fontId="28" numFmtId="0" xfId="0" applyAlignment="1" applyFont="1">
      <alignment horizontal="left" readingOrder="0" shrinkToFit="0" vertical="center" wrapText="1"/>
    </xf>
    <xf borderId="0" fillId="17" fontId="23" numFmtId="0" xfId="0" applyAlignment="1" applyFont="1">
      <alignment horizontal="center" shrinkToFit="0" vertical="bottom" wrapText="1"/>
    </xf>
    <xf borderId="0" fillId="17" fontId="23" numFmtId="0" xfId="0" applyAlignment="1" applyFont="1">
      <alignment horizontal="center" shrinkToFit="0" vertical="top" wrapText="1"/>
    </xf>
    <xf borderId="0" fillId="15" fontId="28" numFmtId="0" xfId="0" applyAlignment="1" applyFont="1">
      <alignment horizontal="left" readingOrder="0" shrinkToFit="0" vertical="top" wrapText="1"/>
    </xf>
    <xf borderId="0" fillId="15" fontId="28" numFmtId="0" xfId="0" applyAlignment="1" applyFont="1">
      <alignment horizontal="left" readingOrder="0" shrinkToFit="0" vertical="center" wrapText="1"/>
    </xf>
    <xf borderId="0" fillId="19" fontId="27" numFmtId="0" xfId="0" applyAlignment="1" applyFont="1">
      <alignment horizontal="left" readingOrder="0" shrinkToFit="0" wrapText="1"/>
    </xf>
    <xf borderId="0" fillId="20" fontId="28" numFmtId="0" xfId="0" applyAlignment="1" applyFont="1">
      <alignment horizontal="left" readingOrder="0" shrinkToFit="0" vertical="center" wrapText="1"/>
    </xf>
    <xf borderId="0" fillId="0" fontId="28" numFmtId="0" xfId="0" applyAlignment="1" applyFont="1">
      <alignment horizontal="left" readingOrder="0" shrinkToFit="0" vertical="top" wrapText="1"/>
    </xf>
    <xf borderId="0" fillId="19" fontId="27" numFmtId="0" xfId="0" applyAlignment="1" applyFont="1">
      <alignment readingOrder="0" shrinkToFit="0" wrapText="1"/>
    </xf>
    <xf borderId="0" fillId="15" fontId="46" numFmtId="0" xfId="0" applyAlignment="1" applyFont="1">
      <alignment readingOrder="0" shrinkToFit="0" vertical="top" wrapText="1"/>
    </xf>
    <xf borderId="0" fillId="20" fontId="47" numFmtId="0" xfId="0" applyAlignment="1" applyFont="1">
      <alignment readingOrder="0" shrinkToFit="0" vertical="top" wrapText="1"/>
    </xf>
    <xf borderId="0" fillId="15" fontId="48" numFmtId="0" xfId="0" applyAlignment="1" applyFont="1">
      <alignment horizontal="left" readingOrder="0" shrinkToFit="0" wrapText="1"/>
    </xf>
    <xf borderId="0" fillId="0" fontId="31" numFmtId="0" xfId="0" applyAlignment="1" applyFont="1">
      <alignment vertical="top"/>
    </xf>
    <xf borderId="0" fillId="0" fontId="49" numFmtId="0" xfId="0" applyAlignment="1" applyFont="1">
      <alignment shrinkToFit="0" vertical="top" wrapText="1"/>
    </xf>
    <xf borderId="0" fillId="0" fontId="50" numFmtId="0" xfId="0" applyAlignment="1" applyFont="1">
      <alignment vertical="top"/>
    </xf>
    <xf borderId="7" fillId="22" fontId="51" numFmtId="0" xfId="0" applyAlignment="1" applyBorder="1" applyFill="1" applyFont="1">
      <alignment horizontal="center" shrinkToFit="0" vertical="top" wrapText="1"/>
    </xf>
    <xf borderId="7" fillId="22" fontId="52" numFmtId="0" xfId="0" applyAlignment="1" applyBorder="1" applyFont="1">
      <alignment horizontal="center" shrinkToFit="0" vertical="top" wrapText="1"/>
    </xf>
    <xf borderId="7" fillId="22" fontId="52" numFmtId="0" xfId="0" applyAlignment="1" applyBorder="1" applyFont="1">
      <alignment horizontal="center" readingOrder="0" shrinkToFit="0" vertical="top" wrapText="1"/>
    </xf>
    <xf borderId="0" fillId="0" fontId="53" numFmtId="0" xfId="0" applyAlignment="1" applyFont="1">
      <alignment shrinkToFit="0" vertical="top" wrapText="1"/>
    </xf>
    <xf borderId="0" fillId="0" fontId="54" numFmtId="0" xfId="0" applyAlignment="1" applyFont="1">
      <alignment horizontal="right" shrinkToFit="0" vertical="top" wrapText="1"/>
    </xf>
    <xf borderId="0" fillId="0" fontId="50" numFmtId="0" xfId="0" applyAlignment="1" applyFont="1">
      <alignment horizontal="right" shrinkToFit="0" vertical="top" wrapText="1"/>
    </xf>
    <xf borderId="0" fillId="0" fontId="50" numFmtId="0" xfId="0" applyAlignment="1" applyFont="1">
      <alignment shrinkToFit="0" vertical="top" wrapText="1"/>
    </xf>
    <xf borderId="0" fillId="0" fontId="49" numFmtId="0" xfId="0" applyAlignment="1" applyFont="1">
      <alignment horizontal="right" shrinkToFit="0" vertical="top" wrapText="1"/>
    </xf>
    <xf borderId="0" fillId="9" fontId="49" numFmtId="0" xfId="0" applyAlignment="1" applyFont="1">
      <alignment shrinkToFit="0" vertical="top" wrapText="1"/>
    </xf>
    <xf borderId="0" fillId="23" fontId="49" numFmtId="0" xfId="0" applyAlignment="1" applyFill="1" applyFont="1">
      <alignment shrinkToFit="0" vertical="top" wrapText="1"/>
    </xf>
    <xf borderId="0" fillId="0" fontId="55" numFmtId="0" xfId="0" applyAlignment="1" applyFont="1">
      <alignment shrinkToFit="0" vertical="top" wrapText="1"/>
    </xf>
    <xf borderId="0" fillId="15" fontId="49" numFmtId="0" xfId="0" applyAlignment="1" applyFont="1">
      <alignment shrinkToFit="0" vertical="top" wrapText="1"/>
    </xf>
    <xf borderId="0" fillId="0" fontId="49" numFmtId="0" xfId="0" applyAlignment="1" applyFont="1">
      <alignment horizontal="right" readingOrder="0" shrinkToFit="0" vertical="top" wrapText="1"/>
    </xf>
    <xf borderId="0" fillId="0" fontId="49" numFmtId="0" xfId="0" applyAlignment="1" applyFont="1">
      <alignment readingOrder="0" shrinkToFit="0" vertical="top" wrapText="1"/>
    </xf>
    <xf borderId="0" fillId="2" fontId="56" numFmtId="0" xfId="0" applyAlignment="1" applyFont="1">
      <alignment horizontal="right" shrinkToFit="0" vertical="top" wrapText="1"/>
    </xf>
    <xf borderId="0" fillId="2" fontId="56" numFmtId="0" xfId="0" applyAlignment="1" applyFont="1">
      <alignment shrinkToFit="0" vertical="top" wrapText="1"/>
    </xf>
    <xf borderId="0" fillId="2" fontId="50" numFmtId="0" xfId="0" applyAlignment="1" applyFont="1">
      <alignment vertical="top"/>
    </xf>
    <xf borderId="0" fillId="9" fontId="57" numFmtId="0" xfId="0" applyAlignment="1" applyFont="1">
      <alignment shrinkToFit="0" vertical="top" wrapText="1"/>
    </xf>
    <xf borderId="0" fillId="8" fontId="49" numFmtId="0" xfId="0" applyAlignment="1" applyFont="1">
      <alignment horizontal="right" shrinkToFit="0" vertical="top" wrapText="1"/>
    </xf>
    <xf borderId="0" fillId="8" fontId="49" numFmtId="0" xfId="0" applyAlignment="1" applyFont="1">
      <alignment shrinkToFit="0" vertical="top" wrapText="1"/>
    </xf>
    <xf borderId="0" fillId="8" fontId="50" numFmtId="0" xfId="0" applyAlignment="1" applyFont="1">
      <alignment vertical="top"/>
    </xf>
    <xf borderId="0" fillId="9" fontId="50" numFmtId="0" xfId="0" applyAlignment="1" applyFont="1">
      <alignment vertical="top"/>
    </xf>
    <xf borderId="0" fillId="0" fontId="56" numFmtId="0" xfId="0" applyAlignment="1" applyFont="1">
      <alignment horizontal="right" shrinkToFit="0" vertical="top" wrapText="1"/>
    </xf>
    <xf borderId="0" fillId="23" fontId="58" numFmtId="0" xfId="0" applyAlignment="1" applyFont="1">
      <alignment shrinkToFit="0" vertical="top" wrapText="1"/>
    </xf>
    <xf borderId="0" fillId="2" fontId="49" numFmtId="0" xfId="0" applyAlignment="1" applyFont="1">
      <alignment horizontal="right" shrinkToFit="0" vertical="top" wrapText="1"/>
    </xf>
    <xf borderId="0" fillId="2" fontId="49" numFmtId="0" xfId="0" applyAlignment="1" applyFont="1">
      <alignment shrinkToFit="0" vertical="top" wrapText="1"/>
    </xf>
    <xf borderId="0" fillId="23" fontId="59" numFmtId="0" xfId="0" applyAlignment="1" applyFont="1">
      <alignment shrinkToFit="0" vertical="top" wrapText="1"/>
    </xf>
    <xf borderId="0" fillId="0" fontId="59" numFmtId="0" xfId="0" applyAlignment="1" applyFont="1">
      <alignment shrinkToFit="0" vertical="top" wrapText="1"/>
    </xf>
    <xf borderId="0" fillId="23" fontId="59" numFmtId="0" xfId="0" applyAlignment="1" applyFont="1">
      <alignment shrinkToFit="0" vertical="bottom" wrapText="1"/>
    </xf>
    <xf borderId="0" fillId="0" fontId="59" numFmtId="0" xfId="0" applyAlignment="1" applyFont="1">
      <alignment shrinkToFit="0" vertical="bottom" wrapText="1"/>
    </xf>
    <xf borderId="0" fillId="10" fontId="50" numFmtId="0" xfId="0" applyAlignment="1" applyFont="1">
      <alignment vertical="top"/>
    </xf>
    <xf borderId="0" fillId="23" fontId="49" numFmtId="0" xfId="0" applyAlignment="1" applyFont="1">
      <alignment readingOrder="0" shrinkToFit="0" vertical="top" wrapText="1"/>
    </xf>
    <xf borderId="0" fillId="15" fontId="49" numFmtId="0" xfId="0" applyAlignment="1" applyFont="1">
      <alignment horizontal="right" readingOrder="0" shrinkToFit="0" vertical="top" wrapText="1"/>
    </xf>
    <xf borderId="0" fillId="15" fontId="49" numFmtId="0" xfId="0" applyAlignment="1" applyFont="1">
      <alignment horizontal="right" shrinkToFit="0" vertical="top" wrapText="1"/>
    </xf>
    <xf borderId="0" fillId="23" fontId="53" numFmtId="0" xfId="0" applyAlignment="1" applyFont="1">
      <alignment shrinkToFit="0" vertical="bottom" wrapText="1"/>
    </xf>
    <xf borderId="0" fillId="23" fontId="53" numFmtId="0" xfId="0" applyAlignment="1" applyFont="1">
      <alignment shrinkToFit="0" vertical="top" wrapText="1"/>
    </xf>
    <xf borderId="0" fillId="15" fontId="50" numFmtId="0" xfId="0" applyAlignment="1" applyFont="1">
      <alignment vertical="top"/>
    </xf>
    <xf borderId="0" fillId="23" fontId="49" numFmtId="0" xfId="0" applyAlignment="1" applyFont="1">
      <alignment shrinkToFit="0" vertical="bottom" wrapText="1"/>
    </xf>
    <xf borderId="0" fillId="0" fontId="49" numFmtId="0" xfId="0" applyAlignment="1" applyFont="1">
      <alignment shrinkToFit="0" vertical="bottom" wrapText="1"/>
    </xf>
    <xf borderId="0" fillId="24" fontId="49" numFmtId="0" xfId="0" applyAlignment="1" applyFill="1" applyFont="1">
      <alignment horizontal="right" shrinkToFit="0" vertical="top" wrapText="1"/>
    </xf>
    <xf borderId="0" fillId="24" fontId="50" numFmtId="0" xfId="0" applyAlignment="1" applyFont="1">
      <alignment vertical="top"/>
    </xf>
    <xf borderId="0" fillId="23" fontId="13" numFmtId="0" xfId="0" applyAlignment="1" applyFont="1">
      <alignment shrinkToFit="0" vertical="bottom" wrapText="1"/>
    </xf>
    <xf borderId="0" fillId="8" fontId="56" numFmtId="0" xfId="0" applyAlignment="1" applyFont="1">
      <alignment horizontal="right" shrinkToFit="0" vertical="top" wrapText="1"/>
    </xf>
    <xf borderId="0" fillId="8" fontId="56" numFmtId="0" xfId="0" applyAlignment="1" applyFont="1">
      <alignment shrinkToFit="0" vertical="top" wrapText="1"/>
    </xf>
    <xf borderId="0" fillId="23" fontId="49" numFmtId="0" xfId="0" applyAlignment="1" applyFont="1">
      <alignment readingOrder="0" shrinkToFit="0" vertical="bottom" wrapText="1"/>
    </xf>
    <xf borderId="0" fillId="25" fontId="49" numFmtId="0" xfId="0" applyAlignment="1" applyFill="1" applyFont="1">
      <alignment shrinkToFit="0" vertical="top" wrapText="1"/>
    </xf>
    <xf borderId="0" fillId="25" fontId="50" numFmtId="0" xfId="0" applyAlignment="1" applyFont="1">
      <alignment vertical="top"/>
    </xf>
    <xf borderId="0" fillId="23" fontId="50" numFmtId="0" xfId="0" applyAlignment="1" applyFont="1">
      <alignment shrinkToFit="0" vertical="top" wrapText="1"/>
    </xf>
    <xf borderId="0" fillId="17" fontId="49" numFmtId="0" xfId="0" applyAlignment="1" applyFont="1">
      <alignment horizontal="right" shrinkToFit="0" vertical="top" wrapText="1"/>
    </xf>
    <xf borderId="0" fillId="17" fontId="50" numFmtId="0" xfId="0" applyAlignment="1" applyFont="1">
      <alignment vertical="top"/>
    </xf>
    <xf borderId="0" fillId="17" fontId="49" numFmtId="0" xfId="0" applyAlignment="1" applyFont="1">
      <alignment shrinkToFit="0" vertical="top" wrapText="1"/>
    </xf>
    <xf borderId="0" fillId="9" fontId="49" numFmtId="0" xfId="0" applyAlignment="1" applyFont="1">
      <alignment vertical="top"/>
    </xf>
    <xf borderId="0" fillId="9" fontId="50" numFmtId="0" xfId="0" applyAlignment="1" applyFont="1">
      <alignment vertical="bottom"/>
    </xf>
    <xf borderId="0" fillId="9" fontId="49" numFmtId="0" xfId="0" applyAlignment="1" applyFont="1">
      <alignment vertical="bottom"/>
    </xf>
    <xf borderId="0" fillId="23" fontId="60" numFmtId="0" xfId="0" applyAlignment="1" applyFont="1">
      <alignment shrinkToFit="0" vertical="bottom" wrapText="1"/>
    </xf>
    <xf borderId="0" fillId="0" fontId="60" numFmtId="0" xfId="0" applyAlignment="1" applyFont="1">
      <alignment shrinkToFit="0" vertical="bottom" wrapText="1"/>
    </xf>
    <xf borderId="0" fillId="23" fontId="50" numFmtId="0" xfId="0" applyAlignment="1" applyFont="1">
      <alignment shrinkToFit="0" vertical="bottom" wrapText="1"/>
    </xf>
    <xf borderId="0" fillId="0" fontId="50" numFmtId="0" xfId="0" applyAlignment="1" applyFont="1">
      <alignment shrinkToFit="0" vertical="bottom" wrapText="1"/>
    </xf>
    <xf borderId="0" fillId="0" fontId="49" numFmtId="0" xfId="0" applyAlignment="1" applyFont="1">
      <alignment horizontal="right" vertical="bottom"/>
    </xf>
    <xf borderId="0" fillId="0" fontId="50" numFmtId="0" xfId="0" applyAlignment="1" applyFont="1">
      <alignment vertical="bottom"/>
    </xf>
    <xf borderId="0" fillId="0" fontId="49" numFmtId="0" xfId="0" applyAlignment="1" applyFont="1">
      <alignment horizontal="right" readingOrder="0" vertical="bottom"/>
    </xf>
    <xf borderId="0" fillId="23" fontId="60" numFmtId="0" xfId="0" applyAlignment="1" applyFont="1">
      <alignment readingOrder="0" shrinkToFit="0" vertical="bottom" wrapText="1"/>
    </xf>
    <xf borderId="0" fillId="17" fontId="49" numFmtId="0" xfId="0" applyAlignment="1" applyFont="1">
      <alignment horizontal="right" vertical="bottom"/>
    </xf>
    <xf borderId="0" fillId="23" fontId="61" numFmtId="0" xfId="0" applyAlignment="1" applyFont="1">
      <alignment shrinkToFit="0" vertical="bottom" wrapText="1"/>
    </xf>
    <xf borderId="0" fillId="0" fontId="53" numFmtId="0" xfId="0" applyAlignment="1" applyFont="1">
      <alignment shrinkToFit="0" vertical="bottom" wrapText="1"/>
    </xf>
    <xf borderId="0" fillId="15" fontId="49" numFmtId="0" xfId="0" applyAlignment="1" applyFont="1">
      <alignment vertical="bottom"/>
    </xf>
    <xf borderId="0" fillId="23" fontId="54" numFmtId="0" xfId="0" applyAlignment="1" applyFont="1">
      <alignment shrinkToFit="0" vertical="bottom" wrapText="1"/>
    </xf>
    <xf borderId="0" fillId="10" fontId="49" numFmtId="0" xfId="0" applyAlignment="1" applyFont="1">
      <alignment horizontal="right" shrinkToFit="0" vertical="top" wrapText="1"/>
    </xf>
    <xf borderId="0" fillId="10" fontId="49" numFmtId="0" xfId="0" applyAlignment="1" applyFont="1">
      <alignment shrinkToFit="0" vertical="top" wrapText="1"/>
    </xf>
    <xf borderId="0" fillId="10" fontId="50" numFmtId="0" xfId="0" applyAlignment="1" applyFont="1">
      <alignment shrinkToFit="0" vertical="top" wrapText="1"/>
    </xf>
    <xf borderId="0" fillId="2" fontId="50" numFmtId="0" xfId="0" applyAlignment="1" applyFont="1">
      <alignment vertical="bottom"/>
    </xf>
    <xf borderId="0" fillId="5" fontId="2" numFmtId="0" xfId="0" applyAlignment="1" applyFont="1">
      <alignment shrinkToFit="0" vertical="bottom" wrapText="1"/>
    </xf>
    <xf borderId="1" fillId="3" fontId="14" numFmtId="0" xfId="0" applyAlignment="1" applyBorder="1" applyFont="1">
      <alignment readingOrder="0" shrinkToFit="0" wrapText="1"/>
    </xf>
    <xf borderId="0" fillId="8" fontId="3" numFmtId="0" xfId="0" applyFont="1"/>
    <xf borderId="0" fillId="8" fontId="3" numFmtId="0" xfId="0" applyAlignment="1" applyFont="1">
      <alignment readingOrder="0"/>
    </xf>
    <xf borderId="0" fillId="8" fontId="3" numFmtId="0" xfId="0" applyAlignment="1" applyFont="1">
      <alignment readingOrder="0" shrinkToFit="0" wrapText="1"/>
    </xf>
    <xf borderId="0" fillId="8" fontId="3" numFmtId="0" xfId="0" applyAlignment="1" applyFont="1">
      <alignment vertical="bottom"/>
    </xf>
    <xf borderId="0" fillId="8" fontId="3" numFmtId="0" xfId="0" applyAlignment="1" applyFont="1">
      <alignment shrinkToFit="0" vertical="bottom" wrapText="1"/>
    </xf>
    <xf borderId="0" fillId="15" fontId="1" numFmtId="0" xfId="0" applyAlignment="1" applyFont="1">
      <alignment shrinkToFit="0" vertical="bottom" wrapText="1"/>
    </xf>
    <xf borderId="0" fillId="15" fontId="1" numFmtId="0" xfId="0" applyAlignment="1" applyFont="1">
      <alignment shrinkToFit="0" vertical="top" wrapText="1"/>
    </xf>
    <xf borderId="0" fillId="15" fontId="1" numFmtId="0" xfId="0" applyFont="1"/>
  </cellXfs>
  <cellStyles count="1">
    <cellStyle xfId="0" name="Normal" builtinId="0"/>
  </cellStyles>
  <dxfs count="7">
    <dxf>
      <font/>
      <fill>
        <patternFill patternType="none"/>
      </fill>
      <border/>
    </dxf>
    <dxf>
      <font/>
      <fill>
        <patternFill patternType="solid">
          <fgColor rgb="FFE8F0FE"/>
          <bgColor rgb="FFE8F0FE"/>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1C4587"/>
          <bgColor rgb="FF1C4587"/>
        </patternFill>
      </fill>
      <border/>
    </dxf>
    <dxf>
      <font/>
      <fill>
        <patternFill patternType="solid">
          <fgColor rgb="FFFFFFFF"/>
          <bgColor rgb="FFFFFFFF"/>
        </patternFill>
      </fill>
      <border/>
    </dxf>
    <dxf>
      <font/>
      <fill>
        <patternFill patternType="solid">
          <fgColor rgb="FF1C4587"/>
          <bgColor rgb="FF1C4587"/>
        </patternFill>
      </fill>
      <border/>
    </dxf>
  </dxfs>
  <tableStyles count="231">
    <tableStyle count="2" pivot="0" name="1.M Vocabulary Scope and Sequen-style">
      <tableStyleElement dxfId="1" type="firstRowStripe"/>
      <tableStyleElement dxfId="2" type="secondRowStripe"/>
    </tableStyle>
    <tableStyle count="2" pivot="0" name="1.M Vocabulary Scope and Sequen-style 2">
      <tableStyleElement dxfId="1" type="firstRowStripe"/>
      <tableStyleElement dxfId="2" type="secondRowStripe"/>
    </tableStyle>
    <tableStyle count="2" pivot="0" name="Vocabulary Scope and Sequence-style">
      <tableStyleElement dxfId="1" type="firstRowStripe"/>
      <tableStyleElement dxfId="2" type="secondRowStripe"/>
    </tableStyle>
    <tableStyle count="2" pivot="0" name="Vocabulary Scope and Sequence-style 2">
      <tableStyleElement dxfId="1" type="firstRowStripe"/>
      <tableStyleElement dxfId="2" type="secondRowStripe"/>
    </tableStyle>
    <tableStyle count="2" pivot="0" name="Vocabulary Scope and Sequence-style 3">
      <tableStyleElement dxfId="1" type="firstRowStripe"/>
      <tableStyleElement dxfId="2" type="secondRowStripe"/>
    </tableStyle>
    <tableStyle count="2" pivot="0" name="Vocabulary Scope and Sequence-style 4">
      <tableStyleElement dxfId="1" type="firstRowStripe"/>
      <tableStyleElement dxfId="2" type="secondRowStripe"/>
    </tableStyle>
    <tableStyle count="2" pivot="0" name="Vocabulary Scope and Sequence-style 5">
      <tableStyleElement dxfId="1" type="firstRowStripe"/>
      <tableStyleElement dxfId="2" type="secondRowStripe"/>
    </tableStyle>
    <tableStyle count="2" pivot="0" name="Vocabulary Scope and Sequence-style 6">
      <tableStyleElement dxfId="1" type="firstRowStripe"/>
      <tableStyleElement dxfId="2" type="secondRowStripe"/>
    </tableStyle>
    <tableStyle count="2" pivot="0" name="Vocabulary Scope and Sequence-style 7">
      <tableStyleElement dxfId="1" type="firstRowStripe"/>
      <tableStyleElement dxfId="2" type="secondRowStripe"/>
    </tableStyle>
    <tableStyle count="2" pivot="0" name="Vocabulary Scope and Sequence-style 8">
      <tableStyleElement dxfId="1" type="firstRowStripe"/>
      <tableStyleElement dxfId="2" type="secondRowStripe"/>
    </tableStyle>
    <tableStyle count="2" pivot="0" name="Vocabulary Scope and Sequence-style 9">
      <tableStyleElement dxfId="1" type="firstRowStripe"/>
      <tableStyleElement dxfId="2" type="secondRowStripe"/>
    </tableStyle>
    <tableStyle count="2" pivot="0" name="Vocabulary Scope and Sequence-style 10">
      <tableStyleElement dxfId="1" type="firstRowStripe"/>
      <tableStyleElement dxfId="2" type="secondRowStripe"/>
    </tableStyle>
    <tableStyle count="2" pivot="0" name="Vocabulary Scope and Sequence-style 11">
      <tableStyleElement dxfId="1" type="firstRowStripe"/>
      <tableStyleElement dxfId="2" type="secondRowStripe"/>
    </tableStyle>
    <tableStyle count="2" pivot="0" name="Vocabulary Scope and Sequence-style 12">
      <tableStyleElement dxfId="1" type="firstRowStripe"/>
      <tableStyleElement dxfId="2" type="secondRowStripe"/>
    </tableStyle>
    <tableStyle count="2" pivot="0" name="Vocabulary Scope and Sequence-style 13">
      <tableStyleElement dxfId="1" type="firstRowStripe"/>
      <tableStyleElement dxfId="2" type="secondRowStripe"/>
    </tableStyle>
    <tableStyle count="2" pivot="0" name="Vocabulary Scope and Sequence-style 14">
      <tableStyleElement dxfId="1" type="firstRowStripe"/>
      <tableStyleElement dxfId="2" type="secondRowStripe"/>
    </tableStyle>
    <tableStyle count="2" pivot="0" name="Vocabulary Scope and Sequence-style 15">
      <tableStyleElement dxfId="1" type="firstRowStripe"/>
      <tableStyleElement dxfId="2" type="secondRowStripe"/>
    </tableStyle>
    <tableStyle count="2" pivot="0" name="Vocabulary Scope and Sequence-style 16">
      <tableStyleElement dxfId="1" type="firstRowStripe"/>
      <tableStyleElement dxfId="2" type="secondRowStripe"/>
    </tableStyle>
    <tableStyle count="2" pivot="0" name="Vocabulary Scope and Sequence-style 17">
      <tableStyleElement dxfId="1" type="firstRowStripe"/>
      <tableStyleElement dxfId="2" type="secondRowStripe"/>
    </tableStyle>
    <tableStyle count="2" pivot="0" name="Vocabulary Scope and Sequence-style 18">
      <tableStyleElement dxfId="1" type="firstRowStripe"/>
      <tableStyleElement dxfId="2" type="secondRowStripe"/>
    </tableStyle>
    <tableStyle count="2" pivot="0" name="Vocabulary Scope and Sequence-style 19">
      <tableStyleElement dxfId="1" type="firstRowStripe"/>
      <tableStyleElement dxfId="2" type="secondRowStripe"/>
    </tableStyle>
    <tableStyle count="2" pivot="0" name="Vocabulary Scope and Sequence-style 20">
      <tableStyleElement dxfId="1" type="firstRowStripe"/>
      <tableStyleElement dxfId="2" type="secondRowStripe"/>
    </tableStyle>
    <tableStyle count="2" pivot="0" name="Vocabulary Scope and Sequence-style 21">
      <tableStyleElement dxfId="1" type="firstRowStripe"/>
      <tableStyleElement dxfId="2" type="secondRowStripe"/>
    </tableStyle>
    <tableStyle count="2" pivot="0" name="Vocabulary Scope and Sequence-style 22">
      <tableStyleElement dxfId="1" type="firstRowStripe"/>
      <tableStyleElement dxfId="2" type="secondRowStripe"/>
    </tableStyle>
    <tableStyle count="2" pivot="0" name="Writing Scope and Sequence-style">
      <tableStyleElement dxfId="2" type="firstRowStripe"/>
      <tableStyleElement dxfId="1" type="secondRowStripe"/>
    </tableStyle>
    <tableStyle count="2" pivot="0" name="Writing Scope and Sequence-style 2">
      <tableStyleElement dxfId="1" type="firstRowStripe"/>
      <tableStyleElement dxfId="2" type="secondRowStripe"/>
    </tableStyle>
    <tableStyle count="2" pivot="0" name="Writing Scope and Sequence-style 3">
      <tableStyleElement dxfId="1" type="firstRowStripe"/>
      <tableStyleElement dxfId="2" type="secondRowStripe"/>
    </tableStyle>
    <tableStyle count="2" pivot="0" name="Writing Scope and Sequence-style 4">
      <tableStyleElement dxfId="1" type="firstRowStripe"/>
      <tableStyleElement dxfId="2" type="secondRowStripe"/>
    </tableStyle>
    <tableStyle count="2" pivot="0" name="Writing Scope and Sequence-style 5">
      <tableStyleElement dxfId="1" type="firstRowStripe"/>
      <tableStyleElement dxfId="2" type="secondRowStripe"/>
    </tableStyle>
    <tableStyle count="2" pivot="0" name="Writing Scope and Sequence-style 6">
      <tableStyleElement dxfId="1" type="firstRowStripe"/>
      <tableStyleElement dxfId="2" type="secondRowStripe"/>
    </tableStyle>
    <tableStyle count="2" pivot="0" name="Writing Scope and Sequence-style 7">
      <tableStyleElement dxfId="1" type="firstRowStripe"/>
      <tableStyleElement dxfId="2" type="secondRowStripe"/>
    </tableStyle>
    <tableStyle count="2" pivot="0" name="Writing Scope and Sequence-style 8">
      <tableStyleElement dxfId="1" type="firstRowStripe"/>
      <tableStyleElement dxfId="2" type="secondRowStripe"/>
    </tableStyle>
    <tableStyle count="2" pivot="0" name="Writing Scope and Sequence-style 9">
      <tableStyleElement dxfId="1" type="firstRowStripe"/>
      <tableStyleElement dxfId="2" type="secondRowStripe"/>
    </tableStyle>
    <tableStyle count="2" pivot="0" name="Writing Scope and Sequence-style 10">
      <tableStyleElement dxfId="1" type="firstRowStripe"/>
      <tableStyleElement dxfId="2" type="secondRowStripe"/>
    </tableStyle>
    <tableStyle count="2" pivot="0" name="Writing Scope and Sequence-style 11">
      <tableStyleElement dxfId="1" type="firstRowStripe"/>
      <tableStyleElement dxfId="2" type="secondRowStripe"/>
    </tableStyle>
    <tableStyle count="2" pivot="0" name="Writing Scope and Sequence-style 12">
      <tableStyleElement dxfId="1" type="firstRowStripe"/>
      <tableStyleElement dxfId="2" type="secondRowStripe"/>
    </tableStyle>
    <tableStyle count="2" pivot="0" name="Writing Scope and Sequence-style 13">
      <tableStyleElement dxfId="1" type="firstRowStripe"/>
      <tableStyleElement dxfId="2" type="secondRowStripe"/>
    </tableStyle>
    <tableStyle count="2" pivot="0" name="Writing Scope and Sequence-style 14">
      <tableStyleElement dxfId="1" type="firstRowStripe"/>
      <tableStyleElement dxfId="2" type="secondRowStripe"/>
    </tableStyle>
    <tableStyle count="2" pivot="0" name="Writing Scope and Sequence-style 15">
      <tableStyleElement dxfId="1" type="firstRowStripe"/>
      <tableStyleElement dxfId="2" type="secondRowStripe"/>
    </tableStyle>
    <tableStyle count="2" pivot="0" name="Writing Scope and Sequence-style 16">
      <tableStyleElement dxfId="1" type="firstRowStripe"/>
      <tableStyleElement dxfId="2" type="secondRowStripe"/>
    </tableStyle>
    <tableStyle count="2" pivot="0" name="Writing Scope and Sequence-style 17">
      <tableStyleElement dxfId="1" type="firstRowStripe"/>
      <tableStyleElement dxfId="2" type="secondRowStripe"/>
    </tableStyle>
    <tableStyle count="2" pivot="0" name="Writing Scope and Sequence-style 18">
      <tableStyleElement dxfId="1" type="firstRowStripe"/>
      <tableStyleElement dxfId="2" type="secondRowStripe"/>
    </tableStyle>
    <tableStyle count="2" pivot="0" name="Writing Scope and Sequence-style 19">
      <tableStyleElement dxfId="1" type="firstRowStripe"/>
      <tableStyleElement dxfId="2" type="secondRowStripe"/>
    </tableStyle>
    <tableStyle count="2" pivot="0" name="Writing Scope and Sequence-style 20">
      <tableStyleElement dxfId="1" type="firstRowStripe"/>
      <tableStyleElement dxfId="2" type="secondRowStripe"/>
    </tableStyle>
    <tableStyle count="2" pivot="0" name="Writing Scope and Sequence-style 21">
      <tableStyleElement dxfId="1" type="firstRowStripe"/>
      <tableStyleElement dxfId="2" type="secondRowStripe"/>
    </tableStyle>
    <tableStyle count="2" pivot="0" name="Writing Scope and Sequence-style 22">
      <tableStyleElement dxfId="1" type="firstRowStripe"/>
      <tableStyleElement dxfId="2" type="secondRowStripe"/>
    </tableStyle>
    <tableStyle count="2" pivot="0" name="Writing Scope and Sequence-style 23">
      <tableStyleElement dxfId="1" type="firstRowStripe"/>
      <tableStyleElement dxfId="2" type="secondRowStripe"/>
    </tableStyle>
    <tableStyle count="2" pivot="0" name="Writing Scope and Sequence-style 24">
      <tableStyleElement dxfId="1" type="firstRowStripe"/>
      <tableStyleElement dxfId="2" type="secondRowStripe"/>
    </tableStyle>
    <tableStyle count="2" pivot="0" name="Writing Scope and Sequence-style 25">
      <tableStyleElement dxfId="1" type="firstRowStripe"/>
      <tableStyleElement dxfId="2" type="secondRowStripe"/>
    </tableStyle>
    <tableStyle count="2" pivot="0" name="Writing Scope and Sequence-style 26">
      <tableStyleElement dxfId="1" type="firstRowStripe"/>
      <tableStyleElement dxfId="2" type="secondRowStripe"/>
    </tableStyle>
    <tableStyle count="2" pivot="0" name="Writing Scope and Sequence-style 27">
      <tableStyleElement dxfId="1" type="firstRowStripe"/>
      <tableStyleElement dxfId="2" type="secondRowStripe"/>
    </tableStyle>
    <tableStyle count="2" pivot="0" name="Writing Scope and Sequence-style 28">
      <tableStyleElement dxfId="1" type="firstRowStripe"/>
      <tableStyleElement dxfId="2" type="secondRowStripe"/>
    </tableStyle>
    <tableStyle count="2" pivot="0" name="Writing Scope and Sequence-style 29">
      <tableStyleElement dxfId="1" type="firstRowStripe"/>
      <tableStyleElement dxfId="2" type="secondRowStripe"/>
    </tableStyle>
    <tableStyle count="2" pivot="0" name="Writing Scope and Sequence-style 30">
      <tableStyleElement dxfId="1" type="firstRowStripe"/>
      <tableStyleElement dxfId="2" type="secondRowStripe"/>
    </tableStyle>
    <tableStyle count="2" pivot="0" name="Writing Scope and Sequence-style 31">
      <tableStyleElement dxfId="1" type="firstRowStripe"/>
      <tableStyleElement dxfId="2" type="secondRowStripe"/>
    </tableStyle>
    <tableStyle count="2" pivot="0" name="Writing Scope and Sequence-style 32">
      <tableStyleElement dxfId="2" type="firstRowStripe"/>
      <tableStyleElement dxfId="1" type="secondRowStripe"/>
    </tableStyle>
    <tableStyle count="2" pivot="0" name="Writing Scope and Sequence-style 33">
      <tableStyleElement dxfId="2" type="firstRowStripe"/>
      <tableStyleElement dxfId="1" type="secondRowStripe"/>
    </tableStyle>
    <tableStyle count="2" pivot="0" name="Writing Scope and Sequence-style 34">
      <tableStyleElement dxfId="2" type="firstRowStripe"/>
      <tableStyleElement dxfId="1" type="secondRowStripe"/>
    </tableStyle>
    <tableStyle count="2" pivot="0" name="Writing Scope and Sequence-style 35">
      <tableStyleElement dxfId="2" type="firstRowStripe"/>
      <tableStyleElement dxfId="1" type="secondRowStripe"/>
    </tableStyle>
    <tableStyle count="2" pivot="0" name="Writing Scope and Sequence-style 36">
      <tableStyleElement dxfId="1" type="firstRowStripe"/>
      <tableStyleElement dxfId="2" type="secondRowStripe"/>
    </tableStyle>
    <tableStyle count="2" pivot="0" name="Writing Scope and Sequence-style 37">
      <tableStyleElement dxfId="1" type="firstRowStripe"/>
      <tableStyleElement dxfId="2" type="secondRowStripe"/>
    </tableStyle>
    <tableStyle count="2" pivot="0" name="Writing Scope and Sequence-style 38">
      <tableStyleElement dxfId="1" type="firstRowStripe"/>
      <tableStyleElement dxfId="2" type="secondRowStripe"/>
    </tableStyle>
    <tableStyle count="2" pivot="0" name="Writing Scope and Sequence-style 39">
      <tableStyleElement dxfId="1" type="firstRowStripe"/>
      <tableStyleElement dxfId="2" type="secondRowStripe"/>
    </tableStyle>
    <tableStyle count="2" pivot="0" name="Writing Scope and Sequence-style 40">
      <tableStyleElement dxfId="1" type="firstRowStripe"/>
      <tableStyleElement dxfId="2" type="secondRowStripe"/>
    </tableStyle>
    <tableStyle count="2" pivot="0" name="Writing Scope and Sequence-style 41">
      <tableStyleElement dxfId="1" type="firstRowStripe"/>
      <tableStyleElement dxfId="2" type="secondRowStripe"/>
    </tableStyle>
    <tableStyle count="2" pivot="0" name="Writing Scope and Sequence-style 42">
      <tableStyleElement dxfId="1" type="firstRowStripe"/>
      <tableStyleElement dxfId="2" type="secondRowStripe"/>
    </tableStyle>
    <tableStyle count="2" pivot="0" name="Writing Scope and Sequence-style 43">
      <tableStyleElement dxfId="1" type="firstRowStripe"/>
      <tableStyleElement dxfId="2" type="secondRowStripe"/>
    </tableStyle>
    <tableStyle count="2" pivot="0" name="Writing Scope and Sequence-style 44">
      <tableStyleElement dxfId="1" type="firstRowStripe"/>
      <tableStyleElement dxfId="2" type="secondRowStripe"/>
    </tableStyle>
    <tableStyle count="2" pivot="0" name="Writing Scope and Sequence-style 45">
      <tableStyleElement dxfId="1" type="firstRowStripe"/>
      <tableStyleElement dxfId="2" type="secondRowStripe"/>
    </tableStyle>
    <tableStyle count="2" pivot="0" name="Writing Scope and Sequence-style 46">
      <tableStyleElement dxfId="1" type="firstRowStripe"/>
      <tableStyleElement dxfId="2" type="secondRowStripe"/>
    </tableStyle>
    <tableStyle count="2" pivot="0" name="Writing Scope and Sequence-style 47">
      <tableStyleElement dxfId="1" type="firstRowStripe"/>
      <tableStyleElement dxfId="2" type="secondRowStripe"/>
    </tableStyle>
    <tableStyle count="2" pivot="0" name="Writing Scope and Sequence-style 48">
      <tableStyleElement dxfId="1" type="firstRowStripe"/>
      <tableStyleElement dxfId="2" type="secondRowStripe"/>
    </tableStyle>
    <tableStyle count="2" pivot="0" name="Writing Scope and Sequence-style 49">
      <tableStyleElement dxfId="1" type="firstRowStripe"/>
      <tableStyleElement dxfId="2" type="secondRowStripe"/>
    </tableStyle>
    <tableStyle count="2" pivot="0" name="Writing Scope and Sequence-style 50">
      <tableStyleElement dxfId="1" type="firstRowStripe"/>
      <tableStyleElement dxfId="2" type="secondRowStripe"/>
    </tableStyle>
    <tableStyle count="2" pivot="0" name="Writing Scope and Sequence-style 51">
      <tableStyleElement dxfId="1" type="firstRowStripe"/>
      <tableStyleElement dxfId="2" type="secondRowStripe"/>
    </tableStyle>
    <tableStyle count="2" pivot="0" name="Writing Scope and Sequence-style 52">
      <tableStyleElement dxfId="1" type="firstRowStripe"/>
      <tableStyleElement dxfId="2" type="secondRowStripe"/>
    </tableStyle>
    <tableStyle count="2" pivot="0" name="Writing Scope and Sequence-style 53">
      <tableStyleElement dxfId="1" type="firstRowStripe"/>
      <tableStyleElement dxfId="2" type="secondRowStripe"/>
    </tableStyle>
    <tableStyle count="2" pivot="0" name="Writing Scope and Sequence-style 54">
      <tableStyleElement dxfId="1" type="firstRowStripe"/>
      <tableStyleElement dxfId="2" type="secondRowStripe"/>
    </tableStyle>
    <tableStyle count="2" pivot="0" name="Writing Scope and Sequence-style 55">
      <tableStyleElement dxfId="1" type="firstRowStripe"/>
      <tableStyleElement dxfId="2" type="secondRowStripe"/>
    </tableStyle>
    <tableStyle count="2" pivot="0" name="Writing Scope and Sequence-style 56">
      <tableStyleElement dxfId="1" type="firstRowStripe"/>
      <tableStyleElement dxfId="2" type="secondRowStripe"/>
    </tableStyle>
    <tableStyle count="2" pivot="0" name="Writing Scope and Sequence-style 57">
      <tableStyleElement dxfId="1" type="firstRowStripe"/>
      <tableStyleElement dxfId="2" type="secondRowStripe"/>
    </tableStyle>
    <tableStyle count="2" pivot="0" name="Writing Scope and Sequence-style 58">
      <tableStyleElement dxfId="1" type="firstRowStripe"/>
      <tableStyleElement dxfId="2" type="secondRowStripe"/>
    </tableStyle>
    <tableStyle count="2" pivot="0" name="Writing Scope and Sequence-style 59">
      <tableStyleElement dxfId="6" type="firstRowStripe"/>
      <tableStyleElement dxfId="6" type="secondRowStripe"/>
    </tableStyle>
    <tableStyle count="2" pivot="0" name="Writing Scope and Sequence-style 60">
      <tableStyleElement dxfId="1" type="firstRowStripe"/>
      <tableStyleElement dxfId="2" type="secondRowStripe"/>
    </tableStyle>
    <tableStyle count="2" pivot="0" name="Writing Scope and Sequence-style 61">
      <tableStyleElement dxfId="1" type="firstRowStripe"/>
      <tableStyleElement dxfId="2" type="secondRowStripe"/>
    </tableStyle>
    <tableStyle count="2" pivot="0" name="Writing Scope and Sequence-style 62">
      <tableStyleElement dxfId="1" type="firstRowStripe"/>
      <tableStyleElement dxfId="2" type="secondRowStripe"/>
    </tableStyle>
    <tableStyle count="2" pivot="0" name="Writing Scope and Sequence-style 63">
      <tableStyleElement dxfId="1" type="firstRowStripe"/>
      <tableStyleElement dxfId="2" type="secondRowStripe"/>
    </tableStyle>
    <tableStyle count="2" pivot="0" name="Writing Scope and Sequence-style 64">
      <tableStyleElement dxfId="1" type="firstRowStripe"/>
      <tableStyleElement dxfId="2" type="secondRowStripe"/>
    </tableStyle>
    <tableStyle count="2" pivot="0" name="Writing Scope and Sequence-style 65">
      <tableStyleElement dxfId="1" type="firstRowStripe"/>
      <tableStyleElement dxfId="2" type="secondRowStripe"/>
    </tableStyle>
    <tableStyle count="2" pivot="0" name="Writing Scope and Sequence-style 66">
      <tableStyleElement dxfId="1" type="firstRowStripe"/>
      <tableStyleElement dxfId="2" type="secondRowStripe"/>
    </tableStyle>
    <tableStyle count="2" pivot="0" name="Writing Scope and Sequence-style 67">
      <tableStyleElement dxfId="1" type="firstRowStripe"/>
      <tableStyleElement dxfId="2" type="secondRowStripe"/>
    </tableStyle>
    <tableStyle count="2" pivot="0" name="Writing Scope and Sequence-style 68">
      <tableStyleElement dxfId="1" type="firstRowStripe"/>
      <tableStyleElement dxfId="2" type="secondRowStripe"/>
    </tableStyle>
    <tableStyle count="2" pivot="0" name="Writing Scope and Sequence-style 69">
      <tableStyleElement dxfId="1" type="firstRowStripe"/>
      <tableStyleElement dxfId="2" type="secondRowStripe"/>
    </tableStyle>
    <tableStyle count="2" pivot="0" name="Writing Scope and Sequence-style 70">
      <tableStyleElement dxfId="1" type="firstRowStripe"/>
      <tableStyleElement dxfId="2" type="secondRowStripe"/>
    </tableStyle>
    <tableStyle count="2" pivot="0" name="Writing Scope and Sequence-style 71">
      <tableStyleElement dxfId="1" type="firstRowStripe"/>
      <tableStyleElement dxfId="2" type="secondRowStripe"/>
    </tableStyle>
    <tableStyle count="2" pivot="0" name="Writing Scope and Sequence-style 72">
      <tableStyleElement dxfId="1" type="firstRowStripe"/>
      <tableStyleElement dxfId="2" type="secondRowStripe"/>
    </tableStyle>
    <tableStyle count="2" pivot="0" name="Writing Scope and Sequence-style 73">
      <tableStyleElement dxfId="1" type="firstRowStripe"/>
      <tableStyleElement dxfId="2" type="secondRowStripe"/>
    </tableStyle>
    <tableStyle count="2" pivot="0" name="Writing Scope and Sequence-style 74">
      <tableStyleElement dxfId="1" type="firstRowStripe"/>
      <tableStyleElement dxfId="2" type="secondRowStripe"/>
    </tableStyle>
    <tableStyle count="2" pivot="0" name="Writing Scope and Sequence-style 75">
      <tableStyleElement dxfId="1" type="firstRowStripe"/>
      <tableStyleElement dxfId="2" type="secondRowStripe"/>
    </tableStyle>
    <tableStyle count="2" pivot="0" name="Writing Scope and Sequence-style 76">
      <tableStyleElement dxfId="1" type="firstRowStripe"/>
      <tableStyleElement dxfId="2" type="secondRowStripe"/>
    </tableStyle>
    <tableStyle count="2" pivot="0" name="Writing Scope and Sequence-style 77">
      <tableStyleElement dxfId="1" type="firstRowStripe"/>
      <tableStyleElement dxfId="2" type="secondRowStripe"/>
    </tableStyle>
    <tableStyle count="2" pivot="0" name="Writing Scope and Sequence-style 78">
      <tableStyleElement dxfId="1" type="firstRowStripe"/>
      <tableStyleElement dxfId="2" type="secondRowStripe"/>
    </tableStyle>
    <tableStyle count="2" pivot="0" name="Writing Scope and Sequence-style 79">
      <tableStyleElement dxfId="1" type="firstRowStripe"/>
      <tableStyleElement dxfId="2" type="secondRowStripe"/>
    </tableStyle>
    <tableStyle count="2" pivot="0" name="Writing Scope and Sequence-style 80">
      <tableStyleElement dxfId="1" type="firstRowStripe"/>
      <tableStyleElement dxfId="2" type="secondRowStripe"/>
    </tableStyle>
    <tableStyle count="2" pivot="0" name="Writing Scope and Sequence-style 81">
      <tableStyleElement dxfId="1" type="firstRowStripe"/>
      <tableStyleElement dxfId="2" type="secondRowStripe"/>
    </tableStyle>
    <tableStyle count="2" pivot="0" name="Writing Scope and Sequence-style 82">
      <tableStyleElement dxfId="1" type="firstRowStripe"/>
      <tableStyleElement dxfId="2" type="secondRowStripe"/>
    </tableStyle>
    <tableStyle count="2" pivot="0" name="Writing Scope and Sequence-style 83">
      <tableStyleElement dxfId="1" type="firstRowStripe"/>
      <tableStyleElement dxfId="2" type="secondRowStripe"/>
    </tableStyle>
    <tableStyle count="2" pivot="0" name="Writing Scope and Sequence-style 84">
      <tableStyleElement dxfId="1" type="firstRowStripe"/>
      <tableStyleElement dxfId="2" type="secondRowStripe"/>
    </tableStyle>
    <tableStyle count="2" pivot="0" name="Writing Scope and Sequence-style 85">
      <tableStyleElement dxfId="1" type="firstRowStripe"/>
      <tableStyleElement dxfId="2" type="secondRowStripe"/>
    </tableStyle>
    <tableStyle count="2" pivot="0" name="Writing Scope and Sequence-style 86">
      <tableStyleElement dxfId="1" type="firstRowStripe"/>
      <tableStyleElement dxfId="2" type="secondRowStripe"/>
    </tableStyle>
    <tableStyle count="2" pivot="0" name="Writing Scope and Sequence-style 87">
      <tableStyleElement dxfId="1" type="firstRowStripe"/>
      <tableStyleElement dxfId="2" type="secondRowStripe"/>
    </tableStyle>
    <tableStyle count="2" pivot="0" name="Writing Scope and Sequence-style 88">
      <tableStyleElement dxfId="1" type="firstRowStripe"/>
      <tableStyleElement dxfId="2" type="secondRowStripe"/>
    </tableStyle>
    <tableStyle count="2" pivot="0" name="Writing Scope and Sequence-style 89">
      <tableStyleElement dxfId="1" type="firstRowStripe"/>
      <tableStyleElement dxfId="2" type="secondRowStripe"/>
    </tableStyle>
    <tableStyle count="2" pivot="0" name="Writing Scope and Sequence-style 90">
      <tableStyleElement dxfId="1" type="firstRowStripe"/>
      <tableStyleElement dxfId="2" type="secondRowStripe"/>
    </tableStyle>
    <tableStyle count="2" pivot="0" name="Writing Scope and Sequence-style 91">
      <tableStyleElement dxfId="1" type="firstRowStripe"/>
      <tableStyleElement dxfId="2" type="secondRowStripe"/>
    </tableStyle>
    <tableStyle count="2" pivot="0" name="Writing Scope and Sequence-style 92">
      <tableStyleElement dxfId="1" type="firstRowStripe"/>
      <tableStyleElement dxfId="2" type="secondRowStripe"/>
    </tableStyle>
    <tableStyle count="2" pivot="0" name="Writing Scope and Sequence-style 93">
      <tableStyleElement dxfId="1" type="firstRowStripe"/>
      <tableStyleElement dxfId="2" type="secondRowStripe"/>
    </tableStyle>
    <tableStyle count="2" pivot="0" name="Writing Scope and Sequence-style 94">
      <tableStyleElement dxfId="1" type="firstRowStripe"/>
      <tableStyleElement dxfId="2" type="secondRowStripe"/>
    </tableStyle>
    <tableStyle count="2" pivot="0" name="Writing Scope and Sequence-style 95">
      <tableStyleElement dxfId="1" type="firstRowStripe"/>
      <tableStyleElement dxfId="2" type="secondRowStripe"/>
    </tableStyle>
    <tableStyle count="2" pivot="0" name="Writing Scope and Sequence-style 96">
      <tableStyleElement dxfId="1" type="firstRowStripe"/>
      <tableStyleElement dxfId="2" type="secondRowStripe"/>
    </tableStyle>
    <tableStyle count="2" pivot="0" name="Writing Scope and Sequence-style 97">
      <tableStyleElement dxfId="1" type="firstRowStripe"/>
      <tableStyleElement dxfId="2" type="secondRowStripe"/>
    </tableStyle>
    <tableStyle count="2" pivot="0" name="Writing Scope and Sequence-style 98">
      <tableStyleElement dxfId="1" type="firstRowStripe"/>
      <tableStyleElement dxfId="2" type="secondRowStripe"/>
    </tableStyle>
    <tableStyle count="2" pivot="0" name="Writing Scope and Sequence-style 99">
      <tableStyleElement dxfId="1" type="firstRowStripe"/>
      <tableStyleElement dxfId="2" type="secondRowStripe"/>
    </tableStyle>
    <tableStyle count="2" pivot="0" name="Writing Scope and Sequence-style 100">
      <tableStyleElement dxfId="1" type="firstRowStripe"/>
      <tableStyleElement dxfId="2" type="secondRowStripe"/>
    </tableStyle>
    <tableStyle count="2" pivot="0" name="Writing Scope and Sequence-style 101">
      <tableStyleElement dxfId="1" type="firstRowStripe"/>
      <tableStyleElement dxfId="2" type="secondRowStripe"/>
    </tableStyle>
    <tableStyle count="2" pivot="0" name="Writing Scope and Sequence-style 102">
      <tableStyleElement dxfId="1" type="firstRowStripe"/>
      <tableStyleElement dxfId="2" type="secondRowStripe"/>
    </tableStyle>
    <tableStyle count="2" pivot="0" name="Writing Scope and Sequence-style 103">
      <tableStyleElement dxfId="1" type="firstRowStripe"/>
      <tableStyleElement dxfId="2" type="secondRowStripe"/>
    </tableStyle>
    <tableStyle count="2" pivot="0" name="Writing Scope and Sequence-style 104">
      <tableStyleElement dxfId="1" type="firstRowStripe"/>
      <tableStyleElement dxfId="2" type="secondRowStripe"/>
    </tableStyle>
    <tableStyle count="2" pivot="0" name="Writing Scope and Sequence-style 105">
      <tableStyleElement dxfId="1" type="firstRowStripe"/>
      <tableStyleElement dxfId="2" type="secondRowStripe"/>
    </tableStyle>
    <tableStyle count="2" pivot="0" name="Writing Scope and Sequence-style 106">
      <tableStyleElement dxfId="1" type="firstRowStripe"/>
      <tableStyleElement dxfId="2" type="secondRowStripe"/>
    </tableStyle>
    <tableStyle count="2" pivot="0" name="Writing Scope and Sequence-style 107">
      <tableStyleElement dxfId="1" type="firstRowStripe"/>
      <tableStyleElement dxfId="2" type="secondRowStripe"/>
    </tableStyle>
    <tableStyle count="2" pivot="0" name="Writing Scope and Sequence-style 108">
      <tableStyleElement dxfId="1" type="firstRowStripe"/>
      <tableStyleElement dxfId="2" type="secondRowStripe"/>
    </tableStyle>
    <tableStyle count="2" pivot="0" name="Writing Scope and Sequence-style 109">
      <tableStyleElement dxfId="1" type="firstRowStripe"/>
      <tableStyleElement dxfId="2" type="secondRowStripe"/>
    </tableStyle>
    <tableStyle count="2" pivot="0" name="Writing Scope and Sequence-style 110">
      <tableStyleElement dxfId="1" type="firstRowStripe"/>
      <tableStyleElement dxfId="2" type="secondRowStripe"/>
    </tableStyle>
    <tableStyle count="2" pivot="0" name="Writing Scope and Sequence-style 111">
      <tableStyleElement dxfId="1" type="firstRowStripe"/>
      <tableStyleElement dxfId="2" type="secondRowStripe"/>
    </tableStyle>
    <tableStyle count="2" pivot="0" name="Writing Scope and Sequence-style 112">
      <tableStyleElement dxfId="1" type="firstRowStripe"/>
      <tableStyleElement dxfId="2" type="secondRowStripe"/>
    </tableStyle>
    <tableStyle count="2" pivot="0" name="Writing Scope and Sequence-style 113">
      <tableStyleElement dxfId="1" type="firstRowStripe"/>
      <tableStyleElement dxfId="2" type="secondRowStripe"/>
    </tableStyle>
    <tableStyle count="2" pivot="0" name="Writing Scope and Sequence-style 114">
      <tableStyleElement dxfId="1" type="firstRowStripe"/>
      <tableStyleElement dxfId="2" type="secondRowStripe"/>
    </tableStyle>
    <tableStyle count="2" pivot="0" name="Writing Scope and Sequence-style 115">
      <tableStyleElement dxfId="1" type="firstRowStripe"/>
      <tableStyleElement dxfId="2" type="secondRowStripe"/>
    </tableStyle>
    <tableStyle count="2" pivot="0" name="Writing Scope and Sequence-style 116">
      <tableStyleElement dxfId="1" type="firstRowStripe"/>
      <tableStyleElement dxfId="2" type="secondRowStripe"/>
    </tableStyle>
    <tableStyle count="2" pivot="0" name="Writing Scope and Sequence-style 117">
      <tableStyleElement dxfId="1" type="firstRowStripe"/>
      <tableStyleElement dxfId="2" type="secondRowStripe"/>
    </tableStyle>
    <tableStyle count="2" pivot="0" name="Writing Scope and Sequence-style 118">
      <tableStyleElement dxfId="1" type="firstRowStripe"/>
      <tableStyleElement dxfId="2" type="secondRowStripe"/>
    </tableStyle>
    <tableStyle count="2" pivot="0" name="Writing Scope and Sequence-style 119">
      <tableStyleElement dxfId="1" type="firstRowStripe"/>
      <tableStyleElement dxfId="2" type="secondRowStripe"/>
    </tableStyle>
    <tableStyle count="2" pivot="0" name="Writing Scope and Sequence-style 120">
      <tableStyleElement dxfId="1" type="firstRowStripe"/>
      <tableStyleElement dxfId="2" type="secondRowStripe"/>
    </tableStyle>
    <tableStyle count="2" pivot="0" name="Writing Scope and Sequence-style 121">
      <tableStyleElement dxfId="1" type="firstRowStripe"/>
      <tableStyleElement dxfId="2" type="secondRowStripe"/>
    </tableStyle>
    <tableStyle count="2" pivot="0" name="Writing Scope and Sequence-style 122">
      <tableStyleElement dxfId="1" type="firstRowStripe"/>
      <tableStyleElement dxfId="2" type="secondRowStripe"/>
    </tableStyle>
    <tableStyle count="2" pivot="0" name="Writing Scope and Sequence-style 123">
      <tableStyleElement dxfId="1" type="firstRowStripe"/>
      <tableStyleElement dxfId="2" type="secondRowStripe"/>
    </tableStyle>
    <tableStyle count="2" pivot="0" name="Research Scope and Sequence-style">
      <tableStyleElement dxfId="1" type="firstRowStripe"/>
      <tableStyleElement dxfId="2" type="secondRowStripe"/>
    </tableStyle>
    <tableStyle count="2" pivot="0" name="Research Scope and Sequence-style 2">
      <tableStyleElement dxfId="1" type="firstRowStripe"/>
      <tableStyleElement dxfId="2" type="secondRowStripe"/>
    </tableStyle>
    <tableStyle count="2" pivot="0" name="Research Scope and Sequence-style 3">
      <tableStyleElement dxfId="1" type="firstRowStripe"/>
      <tableStyleElement dxfId="2" type="secondRowStripe"/>
    </tableStyle>
    <tableStyle count="2" pivot="0" name="Research Scope and Sequence-style 4">
      <tableStyleElement dxfId="1" type="firstRowStripe"/>
      <tableStyleElement dxfId="2" type="secondRowStripe"/>
    </tableStyle>
    <tableStyle count="2" pivot="0" name="Research Scope and Sequence-style 5">
      <tableStyleElement dxfId="1" type="firstRowStripe"/>
      <tableStyleElement dxfId="2" type="secondRowStripe"/>
    </tableStyle>
    <tableStyle count="2" pivot="0" name="Research Scope and Sequence-style 6">
      <tableStyleElement dxfId="1" type="firstRowStripe"/>
      <tableStyleElement dxfId="2" type="secondRowStripe"/>
    </tableStyle>
    <tableStyle count="2" pivot="0" name="Research Scope and Sequence-style 7">
      <tableStyleElement dxfId="1" type="firstRowStripe"/>
      <tableStyleElement dxfId="2" type="secondRowStripe"/>
    </tableStyle>
    <tableStyle count="2" pivot="0" name="Research Scope and Sequence-style 8">
      <tableStyleElement dxfId="1" type="firstRowStripe"/>
      <tableStyleElement dxfId="2" type="secondRowStripe"/>
    </tableStyle>
    <tableStyle count="2" pivot="0" name="Research Scope and Sequence-style 9">
      <tableStyleElement dxfId="1" type="firstRowStripe"/>
      <tableStyleElement dxfId="2" type="secondRowStripe"/>
    </tableStyle>
    <tableStyle count="2" pivot="0" name="Research Scope and Sequence-style 10">
      <tableStyleElement dxfId="1" type="firstRowStripe"/>
      <tableStyleElement dxfId="2" type="secondRowStripe"/>
    </tableStyle>
    <tableStyle count="2" pivot="0" name="Research Scope and Sequence-style 11">
      <tableStyleElement dxfId="1" type="firstRowStripe"/>
      <tableStyleElement dxfId="2" type="secondRowStripe"/>
    </tableStyle>
    <tableStyle count="2" pivot="0" name="Research Scope and Sequence-style 12">
      <tableStyleElement dxfId="1" type="firstRowStripe"/>
      <tableStyleElement dxfId="2" type="secondRowStripe"/>
    </tableStyle>
    <tableStyle count="2" pivot="0" name="Research Scope and Sequence-style 13">
      <tableStyleElement dxfId="1" type="firstRowStripe"/>
      <tableStyleElement dxfId="2" type="secondRowStripe"/>
    </tableStyle>
    <tableStyle count="2" pivot="0" name="Research Scope and Sequence-style 14">
      <tableStyleElement dxfId="1" type="firstRowStripe"/>
      <tableStyleElement dxfId="2" type="secondRowStripe"/>
    </tableStyle>
    <tableStyle count="2" pivot="0" name="Research Scope and Sequence-style 15">
      <tableStyleElement dxfId="1" type="firstRowStripe"/>
      <tableStyleElement dxfId="2" type="secondRowStripe"/>
    </tableStyle>
    <tableStyle count="2" pivot="0" name="Research Scope and Sequence-style 16">
      <tableStyleElement dxfId="1" type="firstRowStripe"/>
      <tableStyleElement dxfId="2" type="secondRowStripe"/>
    </tableStyle>
    <tableStyle count="2" pivot="0" name="Research Scope and Sequence-style 17">
      <tableStyleElement dxfId="1" type="firstRowStripe"/>
      <tableStyleElement dxfId="2" type="secondRowStripe"/>
    </tableStyle>
    <tableStyle count="2" pivot="0" name="Research Scope and Sequence-style 18">
      <tableStyleElement dxfId="1" type="firstRowStripe"/>
      <tableStyleElement dxfId="2" type="secondRowStripe"/>
    </tableStyle>
    <tableStyle count="2" pivot="0" name="Research Scope and Sequence-style 19">
      <tableStyleElement dxfId="1" type="firstRowStripe"/>
      <tableStyleElement dxfId="2" type="secondRowStripe"/>
    </tableStyle>
    <tableStyle count="2" pivot="0" name="Research Scope and Sequence-style 20">
      <tableStyleElement dxfId="1" type="firstRowStripe"/>
      <tableStyleElement dxfId="2" type="secondRowStripe"/>
    </tableStyle>
    <tableStyle count="2" pivot="0" name="Research Scope and Sequence-style 21">
      <tableStyleElement dxfId="1" type="firstRowStripe"/>
      <tableStyleElement dxfId="2" type="secondRowStripe"/>
    </tableStyle>
    <tableStyle count="2" pivot="0" name="Research Scope and Sequence-style 22">
      <tableStyleElement dxfId="1" type="firstRowStripe"/>
      <tableStyleElement dxfId="2" type="secondRowStripe"/>
    </tableStyle>
    <tableStyle count="2" pivot="0" name="Research Scope and Sequence-style 23">
      <tableStyleElement dxfId="1" type="firstRowStripe"/>
      <tableStyleElement dxfId="2" type="secondRowStripe"/>
    </tableStyle>
    <tableStyle count="2" pivot="0" name="Research Scope and Sequence-style 24">
      <tableStyleElement dxfId="1" type="firstRowStripe"/>
      <tableStyleElement dxfId="2" type="secondRowStripe"/>
    </tableStyle>
    <tableStyle count="2" pivot="0" name="Research Scope and Sequence-style 25">
      <tableStyleElement dxfId="1" type="firstRowStripe"/>
      <tableStyleElement dxfId="2" type="secondRowStripe"/>
    </tableStyle>
    <tableStyle count="2" pivot="0" name="Research Scope and Sequence-style 26">
      <tableStyleElement dxfId="1" type="firstRowStripe"/>
      <tableStyleElement dxfId="2" type="secondRowStripe"/>
    </tableStyle>
    <tableStyle count="2" pivot="0" name="Research Scope and Sequence-style 27">
      <tableStyleElement dxfId="1" type="firstRowStripe"/>
      <tableStyleElement dxfId="2" type="secondRowStripe"/>
    </tableStyle>
    <tableStyle count="2" pivot="0" name="Research Scope and Sequence-style 28">
      <tableStyleElement dxfId="1" type="firstRowStripe"/>
      <tableStyleElement dxfId="2" type="secondRowStripe"/>
    </tableStyle>
    <tableStyle count="2" pivot="0" name="Research Scope and Sequence-style 29">
      <tableStyleElement dxfId="1" type="firstRowStripe"/>
      <tableStyleElement dxfId="2" type="secondRowStripe"/>
    </tableStyle>
    <tableStyle count="2" pivot="0" name="Research Scope and Sequence-style 30">
      <tableStyleElement dxfId="1" type="firstRowStripe"/>
      <tableStyleElement dxfId="2" type="secondRowStripe"/>
    </tableStyle>
    <tableStyle count="2" pivot="0" name="Research Scope and Sequence-style 31">
      <tableStyleElement dxfId="1" type="firstRowStripe"/>
      <tableStyleElement dxfId="2" type="secondRowStripe"/>
    </tableStyle>
    <tableStyle count="2" pivot="0" name="Research Scope and Sequence-style 32">
      <tableStyleElement dxfId="1" type="firstRowStripe"/>
      <tableStyleElement dxfId="2" type="secondRowStripe"/>
    </tableStyle>
    <tableStyle count="2" pivot="0" name="Research Scope and Sequence-style 33">
      <tableStyleElement dxfId="1" type="firstRowStripe"/>
      <tableStyleElement dxfId="2" type="secondRowStripe"/>
    </tableStyle>
    <tableStyle count="2" pivot="0" name="Research Scope and Sequence-style 34">
      <tableStyleElement dxfId="1" type="firstRowStripe"/>
      <tableStyleElement dxfId="2" type="secondRowStripe"/>
    </tableStyle>
    <tableStyle count="2" pivot="0" name="Research Scope and Sequence-style 35">
      <tableStyleElement dxfId="1" type="firstRowStripe"/>
      <tableStyleElement dxfId="2" type="secondRowStripe"/>
    </tableStyle>
    <tableStyle count="2" pivot="0" name="Research Scope and Sequence-style 36">
      <tableStyleElement dxfId="1" type="firstRowStripe"/>
      <tableStyleElement dxfId="2" type="secondRowStripe"/>
    </tableStyle>
    <tableStyle count="2" pivot="0" name="Research Scope and Sequence-style 37">
      <tableStyleElement dxfId="1" type="firstRowStripe"/>
      <tableStyleElement dxfId="2" type="secondRowStripe"/>
    </tableStyle>
    <tableStyle count="2" pivot="0" name="Research Scope and Sequence-style 38">
      <tableStyleElement dxfId="1" type="firstRowStripe"/>
      <tableStyleElement dxfId="2" type="secondRowStripe"/>
    </tableStyle>
    <tableStyle count="2" pivot="0" name="Research Scope and Sequence-style 39">
      <tableStyleElement dxfId="1" type="firstRowStripe"/>
      <tableStyleElement dxfId="2" type="secondRowStripe"/>
    </tableStyle>
    <tableStyle count="2" pivot="0" name="Research Scope and Sequence-style 40">
      <tableStyleElement dxfId="1" type="firstRowStripe"/>
      <tableStyleElement dxfId="2" type="secondRowStripe"/>
    </tableStyle>
    <tableStyle count="2" pivot="0" name="Research Scope and Sequence-style 41">
      <tableStyleElement dxfId="1" type="firstRowStripe"/>
      <tableStyleElement dxfId="2" type="secondRowStripe"/>
    </tableStyle>
    <tableStyle count="2" pivot="0" name="Research Scope and Sequence-style 42">
      <tableStyleElement dxfId="1" type="firstRowStripe"/>
      <tableStyleElement dxfId="2" type="secondRowStripe"/>
    </tableStyle>
    <tableStyle count="2" pivot="0" name="Research Scope and Sequence-style 43">
      <tableStyleElement dxfId="1" type="firstRowStripe"/>
      <tableStyleElement dxfId="2" type="secondRowStripe"/>
    </tableStyle>
    <tableStyle count="2" pivot="0" name="Research Scope and Sequence-style 44">
      <tableStyleElement dxfId="1" type="firstRowStripe"/>
      <tableStyleElement dxfId="2" type="secondRowStripe"/>
    </tableStyle>
    <tableStyle count="2" pivot="0" name="Research Scope and Sequence-style 45">
      <tableStyleElement dxfId="1" type="firstRowStripe"/>
      <tableStyleElement dxfId="2" type="secondRowStripe"/>
    </tableStyle>
    <tableStyle count="2" pivot="0" name="Research Scope and Sequence-style 46">
      <tableStyleElement dxfId="1" type="firstRowStripe"/>
      <tableStyleElement dxfId="2" type="secondRowStripe"/>
    </tableStyle>
    <tableStyle count="2" pivot="0" name="Research Scope and Sequence-style 47">
      <tableStyleElement dxfId="1" type="firstRowStripe"/>
      <tableStyleElement dxfId="2" type="secondRowStripe"/>
    </tableStyle>
    <tableStyle count="2" pivot="0" name="Research Scope and Sequence-style 48">
      <tableStyleElement dxfId="1" type="firstRowStripe"/>
      <tableStyleElement dxfId="2" type="secondRowStripe"/>
    </tableStyle>
    <tableStyle count="2" pivot="0" name="Grammar Scope and Sequence-style">
      <tableStyleElement dxfId="1" type="firstRowStripe"/>
      <tableStyleElement dxfId="2" type="secondRowStripe"/>
    </tableStyle>
    <tableStyle count="2" pivot="0" name="Grammar Scope and Sequence-style 2">
      <tableStyleElement dxfId="1" type="firstRowStripe"/>
      <tableStyleElement dxfId="2" type="secondRowStripe"/>
    </tableStyle>
    <tableStyle count="2" pivot="0" name="Grammar Scope and Sequence-style 3">
      <tableStyleElement dxfId="1" type="firstRowStripe"/>
      <tableStyleElement dxfId="2" type="secondRowStripe"/>
    </tableStyle>
    <tableStyle count="2" pivot="0" name="Grammar Scope and Sequence-style 4">
      <tableStyleElement dxfId="1" type="firstRowStripe"/>
      <tableStyleElement dxfId="2" type="secondRowStripe"/>
    </tableStyle>
    <tableStyle count="2" pivot="0" name="Grammar Scope and Sequence-style 5">
      <tableStyleElement dxfId="1" type="firstRowStripe"/>
      <tableStyleElement dxfId="2" type="secondRowStripe"/>
    </tableStyle>
    <tableStyle count="2" pivot="0" name="Grammar Scope and Sequence-style 6">
      <tableStyleElement dxfId="1" type="firstRowStripe"/>
      <tableStyleElement dxfId="2" type="secondRowStripe"/>
    </tableStyle>
    <tableStyle count="2" pivot="0" name="Grammar Scope and Sequence-style 7">
      <tableStyleElement dxfId="1" type="firstRowStripe"/>
      <tableStyleElement dxfId="2" type="secondRowStripe"/>
    </tableStyle>
    <tableStyle count="2" pivot="0" name="Grammar Scope and Sequence-style 8">
      <tableStyleElement dxfId="1" type="firstRowStripe"/>
      <tableStyleElement dxfId="2" type="secondRowStripe"/>
    </tableStyle>
    <tableStyle count="2" pivot="0" name="Grammar Scope and Sequence-style 9">
      <tableStyleElement dxfId="1" type="firstRowStripe"/>
      <tableStyleElement dxfId="2" type="secondRowStripe"/>
    </tableStyle>
    <tableStyle count="2" pivot="0" name="Grammar Scope and Sequence-style 10">
      <tableStyleElement dxfId="1" type="firstRowStripe"/>
      <tableStyleElement dxfId="2" type="secondRowStripe"/>
    </tableStyle>
    <tableStyle count="2" pivot="0" name="Grammar Scope and Sequence-style 11">
      <tableStyleElement dxfId="1" type="firstRowStripe"/>
      <tableStyleElement dxfId="2" type="secondRowStripe"/>
    </tableStyle>
    <tableStyle count="2" pivot="0" name="Grammar Scope and Sequence-style 12">
      <tableStyleElement dxfId="1" type="firstRowStripe"/>
      <tableStyleElement dxfId="2" type="secondRowStripe"/>
    </tableStyle>
    <tableStyle count="2" pivot="0" name="Grammar Scope and Sequence-style 13">
      <tableStyleElement dxfId="1" type="firstRowStripe"/>
      <tableStyleElement dxfId="2" type="secondRowStripe"/>
    </tableStyle>
    <tableStyle count="2" pivot="0" name="Grammar Scope and Sequence-style 14">
      <tableStyleElement dxfId="1" type="firstRowStripe"/>
      <tableStyleElement dxfId="2" type="secondRowStripe"/>
    </tableStyle>
    <tableStyle count="2" pivot="0" name="Grammar Scope and Sequence-style 15">
      <tableStyleElement dxfId="1" type="firstRowStripe"/>
      <tableStyleElement dxfId="2" type="secondRowStripe"/>
    </tableStyle>
    <tableStyle count="2" pivot="0" name="Grammar Scope and Sequence-style 16">
      <tableStyleElement dxfId="1" type="firstRowStripe"/>
      <tableStyleElement dxfId="2" type="secondRowStripe"/>
    </tableStyle>
    <tableStyle count="2" pivot="0" name="Grammar Scope and Sequence-style 17">
      <tableStyleElement dxfId="1" type="firstRowStripe"/>
      <tableStyleElement dxfId="2" type="secondRowStripe"/>
    </tableStyle>
    <tableStyle count="2" pivot="0" name="Grammar Scope and Sequence-style 18">
      <tableStyleElement dxfId="1" type="firstRowStripe"/>
      <tableStyleElement dxfId="2" type="secondRowStripe"/>
    </tableStyle>
    <tableStyle count="2" pivot="0" name="Grammar Scope and Sequence-style 19">
      <tableStyleElement dxfId="1" type="firstRowStripe"/>
      <tableStyleElement dxfId="2" type="secondRowStripe"/>
    </tableStyle>
    <tableStyle count="2" pivot="0" name="Grammar Scope and Sequence-style 20">
      <tableStyleElement dxfId="1" type="firstRowStripe"/>
      <tableStyleElement dxfId="2" type="secondRowStripe"/>
    </tableStyle>
    <tableStyle count="2" pivot="0" name="Grammar Scope and Sequence-style 21">
      <tableStyleElement dxfId="1" type="firstRowStripe"/>
      <tableStyleElement dxfId="2" type="secondRowStripe"/>
    </tableStyle>
    <tableStyle count="2" pivot="0" name="Grammar Scope and Sequence-style 22">
      <tableStyleElement dxfId="1" type="firstRowStripe"/>
      <tableStyleElement dxfId="2" type="secondRowStripe"/>
    </tableStyle>
    <tableStyle count="2" pivot="0" name="Grammar Scope and Sequence-style 23">
      <tableStyleElement dxfId="1" type="firstRowStripe"/>
      <tableStyleElement dxfId="2" type="secondRowStripe"/>
    </tableStyle>
    <tableStyle count="2" pivot="0" name="Grammar Scope and Sequence-style 24">
      <tableStyleElement dxfId="1" type="firstRowStripe"/>
      <tableStyleElement dxfId="2" type="secondRowStripe"/>
    </tableStyle>
    <tableStyle count="2" pivot="0" name="Grammar Scope and Sequence-style 25">
      <tableStyleElement dxfId="1" type="firstRowStripe"/>
      <tableStyleElement dxfId="2" type="secondRowStripe"/>
    </tableStyle>
    <tableStyle count="2" pivot="0" name="Grammar Scope and Sequence-style 26">
      <tableStyleElement dxfId="1" type="firstRowStripe"/>
      <tableStyleElement dxfId="2" type="secondRowStripe"/>
    </tableStyle>
    <tableStyle count="2" pivot="0" name="Grammar Scope and Sequence-style 27">
      <tableStyleElement dxfId="1" type="firstRowStripe"/>
      <tableStyleElement dxfId="2" type="secondRowStripe"/>
    </tableStyle>
    <tableStyle count="2" pivot="0" name="Grammar Scope and Sequence-style 28">
      <tableStyleElement dxfId="1" type="firstRowStripe"/>
      <tableStyleElement dxfId="2" type="secondRowStripe"/>
    </tableStyle>
    <tableStyle count="2" pivot="0" name="Grammar Scope and Sequence-style 29">
      <tableStyleElement dxfId="1" type="firstRowStripe"/>
      <tableStyleElement dxfId="2" type="secondRowStripe"/>
    </tableStyle>
    <tableStyle count="2" pivot="0" name="Grammar Scope and Sequence-style 30">
      <tableStyleElement dxfId="1" type="firstRowStripe"/>
      <tableStyleElement dxfId="2" type="secondRowStripe"/>
    </tableStyle>
    <tableStyle count="2" pivot="0" name="Grammar Scope and Sequence-style 31">
      <tableStyleElement dxfId="1" type="firstRowStripe"/>
      <tableStyleElement dxfId="2" type="secondRowStripe"/>
    </tableStyle>
    <tableStyle count="2" pivot="0" name="Grammar Scope and Sequence-style 32">
      <tableStyleElement dxfId="1" type="firstRowStripe"/>
      <tableStyleElement dxfId="2" type="secondRowStripe"/>
    </tableStyle>
    <tableStyle count="2" pivot="0" name="Grammar Scope and Sequence-style 33">
      <tableStyleElement dxfId="1" type="firstRowStripe"/>
      <tableStyleElement dxfId="2" type="secondRowStripe"/>
    </tableStyle>
    <tableStyle count="2" pivot="0" name="Grammar Scope and Sequence-style 34">
      <tableStyleElement dxfId="1" type="firstRowStripe"/>
      <tableStyleElement dxfId="2" type="secondRowStripe"/>
    </tableStyle>
    <tableStyle count="2" pivot="0" name="1.k Grammar Scope and Sequence-style">
      <tableStyleElement dxfId="1" type="firstRowStripe"/>
      <tableStyleElement dxfId="2" type="secondRowStripe"/>
    </tableStyle>
    <tableStyle count="2" pivot="0" name="1.k Grammar Scope and Sequence-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16:W20"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1.M Vocabulary Scope and Sequen-style" showColumnStripes="0" showFirstColumn="1" showLastColumn="1" showRowStripes="1"/>
</table>
</file>

<file path=xl/tables/table2.xml><?xml version="1.0" encoding="utf-8"?>
<table xmlns="http://schemas.openxmlformats.org/spreadsheetml/2006/main" headerRowCount="0" ref="F21:I36" displayName="Table_2" name="Table_2" id="2">
  <tableColumns count="4">
    <tableColumn name="Column1" id="1"/>
    <tableColumn name="Column2" id="2"/>
    <tableColumn name="Column3" id="3"/>
    <tableColumn name="Column4" id="4"/>
  </tableColumns>
  <tableStyleInfo name="1.M Vocabulary Scope and Sequen-style 2" showColumnStripes="0" showFirstColumn="1" showLastColumn="1" showRowStripes="1"/>
</table>
</file>

<file path=xl/tables/table3.xml><?xml version="1.0" encoding="utf-8"?>
<table xmlns="http://schemas.openxmlformats.org/spreadsheetml/2006/main" headerRowCount="0" ref="B15:B16" displayName="Table_3" name="Table_3" id="3">
  <tableColumns count="1">
    <tableColumn name="Column1" id="1"/>
  </tableColumns>
  <tableStyleInfo name="Vocabulary Scope and Sequence-style" showColumnStripes="0" showFirstColumn="1" showLastColumn="1" showRowStripes="1"/>
</table>
</file>

<file path=xl/tables/table4.xml><?xml version="1.0" encoding="utf-8"?>
<table xmlns="http://schemas.openxmlformats.org/spreadsheetml/2006/main" headerRowCount="0" ref="B17:E20" displayName="Table_4" name="Table_4" id="4">
  <tableColumns count="4">
    <tableColumn name="Column1" id="1"/>
    <tableColumn name="Column2" id="2"/>
    <tableColumn name="Column3" id="3"/>
    <tableColumn name="Column4" id="4"/>
  </tableColumns>
  <tableStyleInfo name="Vocabulary Scope and Sequence-style 2" showColumnStripes="0" showFirstColumn="1" showLastColumn="1" showRowStripes="1"/>
</table>
</file>

<file path=xl/tables/table5.xml><?xml version="1.0" encoding="utf-8"?>
<table xmlns="http://schemas.openxmlformats.org/spreadsheetml/2006/main" headerRowCount="0" ref="B27:B28" displayName="Table_5" name="Table_5" id="5">
  <tableColumns count="1">
    <tableColumn name="Column1" id="1"/>
  </tableColumns>
  <tableStyleInfo name="Vocabulary Scope and Sequence-style 3" showColumnStripes="0" showFirstColumn="1" showLastColumn="1" showRowStripes="1"/>
</table>
</file>

<file path=xl/tables/table6.xml><?xml version="1.0" encoding="utf-8"?>
<table xmlns="http://schemas.openxmlformats.org/spreadsheetml/2006/main" headerRowCount="0" ref="B29:E31" displayName="Table_6" name="Table_6" id="6">
  <tableColumns count="4">
    <tableColumn name="Column1" id="1"/>
    <tableColumn name="Column2" id="2"/>
    <tableColumn name="Column3" id="3"/>
    <tableColumn name="Column4" id="4"/>
  </tableColumns>
  <tableStyleInfo name="Vocabulary Scope and Sequence-style 4" showColumnStripes="0" showFirstColumn="1" showLastColumn="1" showRowStripes="1"/>
</table>
</file>

<file path=xl/tables/table7.xml><?xml version="1.0" encoding="utf-8"?>
<table xmlns="http://schemas.openxmlformats.org/spreadsheetml/2006/main" headerRowCount="0" ref="B38:B39" displayName="Table_7" name="Table_7" id="7">
  <tableColumns count="1">
    <tableColumn name="Column1" id="1"/>
  </tableColumns>
  <tableStyleInfo name="Vocabulary Scope and Sequence-style 5" showColumnStripes="0" showFirstColumn="1" showLastColumn="1" showRowStripes="1"/>
</table>
</file>

<file path=xl/tables/table8.xml><?xml version="1.0" encoding="utf-8"?>
<table xmlns="http://schemas.openxmlformats.org/spreadsheetml/2006/main" headerRowCount="0" ref="B40:E43" displayName="Table_8" name="Table_8" id="8">
  <tableColumns count="4">
    <tableColumn name="Column1" id="1"/>
    <tableColumn name="Column2" id="2"/>
    <tableColumn name="Column3" id="3"/>
    <tableColumn name="Column4" id="4"/>
  </tableColumns>
  <tableStyleInfo name="Vocabulary Scope and Sequence-style 6" showColumnStripes="0" showFirstColumn="1" showLastColumn="1" showRowStripes="1"/>
</table>
</file>

<file path=xl/tables/table9.xml><?xml version="1.0" encoding="utf-8"?>
<table xmlns="http://schemas.openxmlformats.org/spreadsheetml/2006/main" headerRowCount="0" ref="B50:B51" displayName="Table_9" name="Table_9" id="9">
  <tableColumns count="1">
    <tableColumn name="Column1" id="1"/>
  </tableColumns>
  <tableStyleInfo name="Vocabulary Scope and Sequence-style 7" showColumnStripes="0" showFirstColumn="1" showLastColumn="1" showRowStripes="1"/>
</table>
</file>

<file path=xl/tables/table10.xml><?xml version="1.0" encoding="utf-8"?>
<table xmlns="http://schemas.openxmlformats.org/spreadsheetml/2006/main" headerRowCount="0" ref="B52:E55" displayName="Table_10" name="Table_10" id="10">
  <tableColumns count="4">
    <tableColumn name="Column1" id="1"/>
    <tableColumn name="Column2" id="2"/>
    <tableColumn name="Column3" id="3"/>
    <tableColumn name="Column4" id="4"/>
  </tableColumns>
  <tableStyleInfo name="Vocabulary Scope and Sequence-style 8" showColumnStripes="0" showFirstColumn="1" showLastColumn="1" showRowStripes="1"/>
</table>
</file>

<file path=xl/tables/table11.xml><?xml version="1.0" encoding="utf-8"?>
<table xmlns="http://schemas.openxmlformats.org/spreadsheetml/2006/main" headerRowCount="0" ref="B62:B63" displayName="Table_11" name="Table_11" id="11">
  <tableColumns count="1">
    <tableColumn name="Column1" id="1"/>
  </tableColumns>
  <tableStyleInfo name="Vocabulary Scope and Sequence-style 9" showColumnStripes="0" showFirstColumn="1" showLastColumn="1" showRowStripes="1"/>
</table>
</file>

<file path=xl/tables/table12.xml><?xml version="1.0" encoding="utf-8"?>
<table xmlns="http://schemas.openxmlformats.org/spreadsheetml/2006/main" headerRowCount="0" ref="I62:J63" displayName="Table_12" name="Table_12" id="12">
  <tableColumns count="2">
    <tableColumn name="Column1" id="1"/>
    <tableColumn name="Column2" id="2"/>
  </tableColumns>
  <tableStyleInfo name="Vocabulary Scope and Sequence-style 10" showColumnStripes="0" showFirstColumn="1" showLastColumn="1" showRowStripes="1"/>
</table>
</file>

<file path=xl/tables/table13.xml><?xml version="1.0" encoding="utf-8"?>
<table xmlns="http://schemas.openxmlformats.org/spreadsheetml/2006/main" headerRowCount="0" ref="B92:B93" displayName="Table_13" name="Table_13" id="13">
  <tableColumns count="1">
    <tableColumn name="Column1" id="1"/>
  </tableColumns>
  <tableStyleInfo name="Vocabulary Scope and Sequence-style 11" showColumnStripes="0" showFirstColumn="1" showLastColumn="1" showRowStripes="1"/>
</table>
</file>

<file path=xl/tables/table14.xml><?xml version="1.0" encoding="utf-8"?>
<table xmlns="http://schemas.openxmlformats.org/spreadsheetml/2006/main" headerRowCount="0" ref="I92:J93" displayName="Table_14" name="Table_14" id="14">
  <tableColumns count="2">
    <tableColumn name="Column1" id="1"/>
    <tableColumn name="Column2" id="2"/>
  </tableColumns>
  <tableStyleInfo name="Vocabulary Scope and Sequence-style 12" showColumnStripes="0" showFirstColumn="1" showLastColumn="1" showRowStripes="1"/>
</table>
</file>

<file path=xl/tables/table15.xml><?xml version="1.0" encoding="utf-8"?>
<table xmlns="http://schemas.openxmlformats.org/spreadsheetml/2006/main" headerRowCount="0" ref="B104:B105" displayName="Table_15" name="Table_15" id="15">
  <tableColumns count="1">
    <tableColumn name="Column1" id="1"/>
  </tableColumns>
  <tableStyleInfo name="Vocabulary Scope and Sequence-style 13" showColumnStripes="0" showFirstColumn="1" showLastColumn="1" showRowStripes="1"/>
</table>
</file>

<file path=xl/tables/table16.xml><?xml version="1.0" encoding="utf-8"?>
<table xmlns="http://schemas.openxmlformats.org/spreadsheetml/2006/main" headerRowCount="0" ref="I104:J105" displayName="Table_16" name="Table_16" id="16">
  <tableColumns count="2">
    <tableColumn name="Column1" id="1"/>
    <tableColumn name="Column2" id="2"/>
  </tableColumns>
  <tableStyleInfo name="Vocabulary Scope and Sequence-style 14" showColumnStripes="0" showFirstColumn="1" showLastColumn="1" showRowStripes="1"/>
</table>
</file>

<file path=xl/tables/table17.xml><?xml version="1.0" encoding="utf-8"?>
<table xmlns="http://schemas.openxmlformats.org/spreadsheetml/2006/main" headerRowCount="0" ref="I134:J135" displayName="Table_17" name="Table_17" id="17">
  <tableColumns count="2">
    <tableColumn name="Column1" id="1"/>
    <tableColumn name="Column2" id="2"/>
  </tableColumns>
  <tableStyleInfo name="Vocabulary Scope and Sequence-style 15" showColumnStripes="0" showFirstColumn="1" showLastColumn="1" showRowStripes="1"/>
</table>
</file>

<file path=xl/tables/table18.xml><?xml version="1.0" encoding="utf-8"?>
<table xmlns="http://schemas.openxmlformats.org/spreadsheetml/2006/main" headerRowCount="0" ref="I146:J147" displayName="Table_18" name="Table_18" id="18">
  <tableColumns count="2">
    <tableColumn name="Column1" id="1"/>
    <tableColumn name="Column2" id="2"/>
  </tableColumns>
  <tableStyleInfo name="Vocabulary Scope and Sequence-style 16" showColumnStripes="0" showFirstColumn="1" showLastColumn="1" showRowStripes="1"/>
</table>
</file>

<file path=xl/tables/table19.xml><?xml version="1.0" encoding="utf-8"?>
<table xmlns="http://schemas.openxmlformats.org/spreadsheetml/2006/main" headerRowCount="0" ref="I178:J179" displayName="Table_19" name="Table_19" id="19">
  <tableColumns count="2">
    <tableColumn name="Column1" id="1"/>
    <tableColumn name="Column2" id="2"/>
  </tableColumns>
  <tableStyleInfo name="Vocabulary Scope and Sequence-style 17" showColumnStripes="0" showFirstColumn="1" showLastColumn="1" showRowStripes="1"/>
</table>
</file>

<file path=xl/tables/table20.xml><?xml version="1.0" encoding="utf-8"?>
<table xmlns="http://schemas.openxmlformats.org/spreadsheetml/2006/main" headerRowCount="0" ref="I191:J191" displayName="Table_20" name="Table_20" id="20">
  <tableColumns count="2">
    <tableColumn name="Column1" id="1"/>
    <tableColumn name="Column2" id="2"/>
  </tableColumns>
  <tableStyleInfo name="Vocabulary Scope and Sequence-style 18" showColumnStripes="0" showFirstColumn="1" showLastColumn="1" showRowStripes="1"/>
</table>
</file>

<file path=xl/tables/table21.xml><?xml version="1.0" encoding="utf-8"?>
<table xmlns="http://schemas.openxmlformats.org/spreadsheetml/2006/main" headerRowCount="0" ref="I220:J221" displayName="Table_21" name="Table_21" id="21">
  <tableColumns count="2">
    <tableColumn name="Column1" id="1"/>
    <tableColumn name="Column2" id="2"/>
  </tableColumns>
  <tableStyleInfo name="Vocabulary Scope and Sequence-style 19" showColumnStripes="0" showFirstColumn="1" showLastColumn="1" showRowStripes="1"/>
</table>
</file>

<file path=xl/tables/table22.xml><?xml version="1.0" encoding="utf-8"?>
<table xmlns="http://schemas.openxmlformats.org/spreadsheetml/2006/main" headerRowCount="0" ref="I232:J233" displayName="Table_22" name="Table_22" id="22">
  <tableColumns count="2">
    <tableColumn name="Column1" id="1"/>
    <tableColumn name="Column2" id="2"/>
  </tableColumns>
  <tableStyleInfo name="Vocabulary Scope and Sequence-style 20" showColumnStripes="0" showFirstColumn="1" showLastColumn="1" showRowStripes="1"/>
</table>
</file>

<file path=xl/tables/table23.xml><?xml version="1.0" encoding="utf-8"?>
<table xmlns="http://schemas.openxmlformats.org/spreadsheetml/2006/main" headerRowCount="0" ref="I263:J264" displayName="Table_23" name="Table_23" id="23">
  <tableColumns count="2">
    <tableColumn name="Column1" id="1"/>
    <tableColumn name="Column2" id="2"/>
  </tableColumns>
  <tableStyleInfo name="Vocabulary Scope and Sequence-style 21" showColumnStripes="0" showFirstColumn="1" showLastColumn="1" showRowStripes="1"/>
</table>
</file>

<file path=xl/tables/table24.xml><?xml version="1.0" encoding="utf-8"?>
<table xmlns="http://schemas.openxmlformats.org/spreadsheetml/2006/main" headerRowCount="0" ref="I275:J276" displayName="Table_24" name="Table_24" id="24">
  <tableColumns count="2">
    <tableColumn name="Column1" id="1"/>
    <tableColumn name="Column2" id="2"/>
  </tableColumns>
  <tableStyleInfo name="Vocabulary Scope and Sequence-style 22" showColumnStripes="0" showFirstColumn="1" showLastColumn="1" showRowStripes="1"/>
</table>
</file>

<file path=xl/tables/table25.xml><?xml version="1.0" encoding="utf-8"?>
<table xmlns="http://schemas.openxmlformats.org/spreadsheetml/2006/main" headerRowCount="0" ref="A2:K2" displayName="Table_25" name="Table_25" id="2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Writing Scope and Sequence-style" showColumnStripes="0" showFirstColumn="1" showLastColumn="1" showRowStripes="1"/>
</table>
</file>

<file path=xl/tables/table26.xml><?xml version="1.0" encoding="utf-8"?>
<table xmlns="http://schemas.openxmlformats.org/spreadsheetml/2006/main" headerRowCount="0" ref="B4:D11" displayName="Table_26" name="Table_26" id="26">
  <tableColumns count="3">
    <tableColumn name="Column1" id="1"/>
    <tableColumn name="Column2" id="2"/>
    <tableColumn name="Column3" id="3"/>
  </tableColumns>
  <tableStyleInfo name="Writing Scope and Sequence-style 2" showColumnStripes="0" showFirstColumn="1" showLastColumn="1" showRowStripes="1"/>
</table>
</file>

<file path=xl/tables/table27.xml><?xml version="1.0" encoding="utf-8"?>
<table xmlns="http://schemas.openxmlformats.org/spreadsheetml/2006/main" headerRowCount="0" ref="G4:K11" displayName="Table_27" name="Table_27" id="27">
  <tableColumns count="5">
    <tableColumn name="Column1" id="1"/>
    <tableColumn name="Column2" id="2"/>
    <tableColumn name="Column3" id="3"/>
    <tableColumn name="Column4" id="4"/>
    <tableColumn name="Column5" id="5"/>
  </tableColumns>
  <tableStyleInfo name="Writing Scope and Sequence-style 3" showColumnStripes="0" showFirstColumn="1" showLastColumn="1" showRowStripes="1"/>
</table>
</file>

<file path=xl/tables/table28.xml><?xml version="1.0" encoding="utf-8"?>
<table xmlns="http://schemas.openxmlformats.org/spreadsheetml/2006/main" headerRowCount="0" ref="B16:D16" displayName="Table_28" name="Table_28" id="28">
  <tableColumns count="3">
    <tableColumn name="Column1" id="1"/>
    <tableColumn name="Column2" id="2"/>
    <tableColumn name="Column3" id="3"/>
  </tableColumns>
  <tableStyleInfo name="Writing Scope and Sequence-style 4" showColumnStripes="0" showFirstColumn="1" showLastColumn="1" showRowStripes="1"/>
</table>
</file>

<file path=xl/tables/table29.xml><?xml version="1.0" encoding="utf-8"?>
<table xmlns="http://schemas.openxmlformats.org/spreadsheetml/2006/main" headerRowCount="0" ref="G16:J16" displayName="Table_29" name="Table_29" id="29">
  <tableColumns count="4">
    <tableColumn name="Column1" id="1"/>
    <tableColumn name="Column2" id="2"/>
    <tableColumn name="Column3" id="3"/>
    <tableColumn name="Column4" id="4"/>
  </tableColumns>
  <tableStyleInfo name="Writing Scope and Sequence-style 5" showColumnStripes="0" showFirstColumn="1" showLastColumn="1" showRowStripes="1"/>
</table>
</file>

<file path=xl/tables/table30.xml><?xml version="1.0" encoding="utf-8"?>
<table xmlns="http://schemas.openxmlformats.org/spreadsheetml/2006/main" headerRowCount="0" ref="B17:D17" displayName="Table_30" name="Table_30" id="30">
  <tableColumns count="3">
    <tableColumn name="Column1" id="1"/>
    <tableColumn name="Column2" id="2"/>
    <tableColumn name="Column3" id="3"/>
  </tableColumns>
  <tableStyleInfo name="Writing Scope and Sequence-style 6" showColumnStripes="0" showFirstColumn="1" showLastColumn="1" showRowStripes="1"/>
</table>
</file>

<file path=xl/tables/table31.xml><?xml version="1.0" encoding="utf-8"?>
<table xmlns="http://schemas.openxmlformats.org/spreadsheetml/2006/main" headerRowCount="0" ref="G17:J17" displayName="Table_31" name="Table_31" id="31">
  <tableColumns count="4">
    <tableColumn name="Column1" id="1"/>
    <tableColumn name="Column2" id="2"/>
    <tableColumn name="Column3" id="3"/>
    <tableColumn name="Column4" id="4"/>
  </tableColumns>
  <tableStyleInfo name="Writing Scope and Sequence-style 7" showColumnStripes="0" showFirstColumn="1" showLastColumn="1" showRowStripes="1"/>
</table>
</file>

<file path=xl/tables/table32.xml><?xml version="1.0" encoding="utf-8"?>
<table xmlns="http://schemas.openxmlformats.org/spreadsheetml/2006/main" headerRowCount="0" ref="B18:D19" displayName="Table_32" name="Table_32" id="32">
  <tableColumns count="3">
    <tableColumn name="Column1" id="1"/>
    <tableColumn name="Column2" id="2"/>
    <tableColumn name="Column3" id="3"/>
  </tableColumns>
  <tableStyleInfo name="Writing Scope and Sequence-style 8" showColumnStripes="0" showFirstColumn="1" showLastColumn="1" showRowStripes="1"/>
</table>
</file>

<file path=xl/tables/table33.xml><?xml version="1.0" encoding="utf-8"?>
<table xmlns="http://schemas.openxmlformats.org/spreadsheetml/2006/main" headerRowCount="0" ref="G18:J19" displayName="Table_33" name="Table_33" id="33">
  <tableColumns count="4">
    <tableColumn name="Column1" id="1"/>
    <tableColumn name="Column2" id="2"/>
    <tableColumn name="Column3" id="3"/>
    <tableColumn name="Column4" id="4"/>
  </tableColumns>
  <tableStyleInfo name="Writing Scope and Sequence-style 9" showColumnStripes="0" showFirstColumn="1" showLastColumn="1" showRowStripes="1"/>
</table>
</file>

<file path=xl/tables/table34.xml><?xml version="1.0" encoding="utf-8"?>
<table xmlns="http://schemas.openxmlformats.org/spreadsheetml/2006/main" headerRowCount="0" ref="B20:F20" displayName="Table_34" name="Table_34" id="34">
  <tableColumns count="5">
    <tableColumn name="Column1" id="1"/>
    <tableColumn name="Column2" id="2"/>
    <tableColumn name="Column3" id="3"/>
    <tableColumn name="Column4" id="4"/>
    <tableColumn name="Column5" id="5"/>
  </tableColumns>
  <tableStyleInfo name="Writing Scope and Sequence-style 10" showColumnStripes="0" showFirstColumn="1" showLastColumn="1" showRowStripes="1"/>
</table>
</file>

<file path=xl/tables/table35.xml><?xml version="1.0" encoding="utf-8"?>
<table xmlns="http://schemas.openxmlformats.org/spreadsheetml/2006/main" headerRowCount="0" ref="G20:J20" displayName="Table_35" name="Table_35" id="35">
  <tableColumns count="4">
    <tableColumn name="Column1" id="1"/>
    <tableColumn name="Column2" id="2"/>
    <tableColumn name="Column3" id="3"/>
    <tableColumn name="Column4" id="4"/>
  </tableColumns>
  <tableStyleInfo name="Writing Scope and Sequence-style 11" showColumnStripes="0" showFirstColumn="1" showLastColumn="1" showRowStripes="1"/>
</table>
</file>

<file path=xl/tables/table36.xml><?xml version="1.0" encoding="utf-8"?>
<table xmlns="http://schemas.openxmlformats.org/spreadsheetml/2006/main" headerRowCount="0" ref="B21:D21" displayName="Table_36" name="Table_36" id="36">
  <tableColumns count="3">
    <tableColumn name="Column1" id="1"/>
    <tableColumn name="Column2" id="2"/>
    <tableColumn name="Column3" id="3"/>
  </tableColumns>
  <tableStyleInfo name="Writing Scope and Sequence-style 12" showColumnStripes="0" showFirstColumn="1" showLastColumn="1" showRowStripes="1"/>
</table>
</file>

<file path=xl/tables/table37.xml><?xml version="1.0" encoding="utf-8"?>
<table xmlns="http://schemas.openxmlformats.org/spreadsheetml/2006/main" headerRowCount="0" ref="G21:J21" displayName="Table_37" name="Table_37" id="37">
  <tableColumns count="4">
    <tableColumn name="Column1" id="1"/>
    <tableColumn name="Column2" id="2"/>
    <tableColumn name="Column3" id="3"/>
    <tableColumn name="Column4" id="4"/>
  </tableColumns>
  <tableStyleInfo name="Writing Scope and Sequence-style 13" showColumnStripes="0" showFirstColumn="1" showLastColumn="1" showRowStripes="1"/>
</table>
</file>

<file path=xl/tables/table38.xml><?xml version="1.0" encoding="utf-8"?>
<table xmlns="http://schemas.openxmlformats.org/spreadsheetml/2006/main" headerRowCount="0" ref="J22:K23" displayName="Table_38" name="Table_38" id="38">
  <tableColumns count="2">
    <tableColumn name="Column1" id="1"/>
    <tableColumn name="Column2" id="2"/>
  </tableColumns>
  <tableStyleInfo name="Writing Scope and Sequence-style 14" showColumnStripes="0" showFirstColumn="1" showLastColumn="1" showRowStripes="1"/>
</table>
</file>

<file path=xl/tables/table39.xml><?xml version="1.0" encoding="utf-8"?>
<table xmlns="http://schemas.openxmlformats.org/spreadsheetml/2006/main" headerRowCount="0" ref="B24:E31" displayName="Table_39" name="Table_39" id="39">
  <tableColumns count="4">
    <tableColumn name="Column1" id="1"/>
    <tableColumn name="Column2" id="2"/>
    <tableColumn name="Column3" id="3"/>
    <tableColumn name="Column4" id="4"/>
  </tableColumns>
  <tableStyleInfo name="Writing Scope and Sequence-style 15" showColumnStripes="0" showFirstColumn="1" showLastColumn="1" showRowStripes="1"/>
</table>
</file>

<file path=xl/tables/table40.xml><?xml version="1.0" encoding="utf-8"?>
<table xmlns="http://schemas.openxmlformats.org/spreadsheetml/2006/main" headerRowCount="0" ref="G24:K28" displayName="Table_40" name="Table_40" id="40">
  <tableColumns count="5">
    <tableColumn name="Column1" id="1"/>
    <tableColumn name="Column2" id="2"/>
    <tableColumn name="Column3" id="3"/>
    <tableColumn name="Column4" id="4"/>
    <tableColumn name="Column5" id="5"/>
  </tableColumns>
  <tableStyleInfo name="Writing Scope and Sequence-style 16" showColumnStripes="0" showFirstColumn="1" showLastColumn="1" showRowStripes="1"/>
</table>
</file>

<file path=xl/tables/table41.xml><?xml version="1.0" encoding="utf-8"?>
<table xmlns="http://schemas.openxmlformats.org/spreadsheetml/2006/main" headerRowCount="0" ref="G29:J30" displayName="Table_41" name="Table_41" id="41">
  <tableColumns count="4">
    <tableColumn name="Column1" id="1"/>
    <tableColumn name="Column2" id="2"/>
    <tableColumn name="Column3" id="3"/>
    <tableColumn name="Column4" id="4"/>
  </tableColumns>
  <tableStyleInfo name="Writing Scope and Sequence-style 17" showColumnStripes="0" showFirstColumn="1" showLastColumn="1" showRowStripes="1"/>
</table>
</file>

<file path=xl/tables/table42.xml><?xml version="1.0" encoding="utf-8"?>
<table xmlns="http://schemas.openxmlformats.org/spreadsheetml/2006/main" headerRowCount="0" ref="G31:J31" displayName="Table_42" name="Table_42" id="42">
  <tableColumns count="4">
    <tableColumn name="Column1" id="1"/>
    <tableColumn name="Column2" id="2"/>
    <tableColumn name="Column3" id="3"/>
    <tableColumn name="Column4" id="4"/>
  </tableColumns>
  <tableStyleInfo name="Writing Scope and Sequence-style 18" showColumnStripes="0" showFirstColumn="1" showLastColumn="1" showRowStripes="1"/>
</table>
</file>

<file path=xl/tables/table43.xml><?xml version="1.0" encoding="utf-8"?>
<table xmlns="http://schemas.openxmlformats.org/spreadsheetml/2006/main" headerRowCount="0" ref="B36:D36" displayName="Table_43" name="Table_43" id="43">
  <tableColumns count="3">
    <tableColumn name="Column1" id="1"/>
    <tableColumn name="Column2" id="2"/>
    <tableColumn name="Column3" id="3"/>
  </tableColumns>
  <tableStyleInfo name="Writing Scope and Sequence-style 19" showColumnStripes="0" showFirstColumn="1" showLastColumn="1" showRowStripes="1"/>
</table>
</file>

<file path=xl/tables/table44.xml><?xml version="1.0" encoding="utf-8"?>
<table xmlns="http://schemas.openxmlformats.org/spreadsheetml/2006/main" headerRowCount="0" ref="G36:J36" displayName="Table_44" name="Table_44" id="44">
  <tableColumns count="4">
    <tableColumn name="Column1" id="1"/>
    <tableColumn name="Column2" id="2"/>
    <tableColumn name="Column3" id="3"/>
    <tableColumn name="Column4" id="4"/>
  </tableColumns>
  <tableStyleInfo name="Writing Scope and Sequence-style 20" showColumnStripes="0" showFirstColumn="1" showLastColumn="1" showRowStripes="1"/>
</table>
</file>

<file path=xl/tables/table45.xml><?xml version="1.0" encoding="utf-8"?>
<table xmlns="http://schemas.openxmlformats.org/spreadsheetml/2006/main" headerRowCount="0" ref="B37:D37" displayName="Table_45" name="Table_45" id="45">
  <tableColumns count="3">
    <tableColumn name="Column1" id="1"/>
    <tableColumn name="Column2" id="2"/>
    <tableColumn name="Column3" id="3"/>
  </tableColumns>
  <tableStyleInfo name="Writing Scope and Sequence-style 21" showColumnStripes="0" showFirstColumn="1" showLastColumn="1" showRowStripes="1"/>
</table>
</file>

<file path=xl/tables/table46.xml><?xml version="1.0" encoding="utf-8"?>
<table xmlns="http://schemas.openxmlformats.org/spreadsheetml/2006/main" headerRowCount="0" ref="G37:J37" displayName="Table_46" name="Table_46" id="46">
  <tableColumns count="4">
    <tableColumn name="Column1" id="1"/>
    <tableColumn name="Column2" id="2"/>
    <tableColumn name="Column3" id="3"/>
    <tableColumn name="Column4" id="4"/>
  </tableColumns>
  <tableStyleInfo name="Writing Scope and Sequence-style 22" showColumnStripes="0" showFirstColumn="1" showLastColumn="1" showRowStripes="1"/>
</table>
</file>

<file path=xl/tables/table47.xml><?xml version="1.0" encoding="utf-8"?>
<table xmlns="http://schemas.openxmlformats.org/spreadsheetml/2006/main" headerRowCount="0" ref="B38:D38" displayName="Table_47" name="Table_47" id="47">
  <tableColumns count="3">
    <tableColumn name="Column1" id="1"/>
    <tableColumn name="Column2" id="2"/>
    <tableColumn name="Column3" id="3"/>
  </tableColumns>
  <tableStyleInfo name="Writing Scope and Sequence-style 23" showColumnStripes="0" showFirstColumn="1" showLastColumn="1" showRowStripes="1"/>
</table>
</file>

<file path=xl/tables/table48.xml><?xml version="1.0" encoding="utf-8"?>
<table xmlns="http://schemas.openxmlformats.org/spreadsheetml/2006/main" headerRowCount="0" ref="G38:J38" displayName="Table_48" name="Table_48" id="48">
  <tableColumns count="4">
    <tableColumn name="Column1" id="1"/>
    <tableColumn name="Column2" id="2"/>
    <tableColumn name="Column3" id="3"/>
    <tableColumn name="Column4" id="4"/>
  </tableColumns>
  <tableStyleInfo name="Writing Scope and Sequence-style 24" showColumnStripes="0" showFirstColumn="1" showLastColumn="1" showRowStripes="1"/>
</table>
</file>

<file path=xl/tables/table49.xml><?xml version="1.0" encoding="utf-8"?>
<table xmlns="http://schemas.openxmlformats.org/spreadsheetml/2006/main" headerRowCount="0" ref="B39:D42" displayName="Table_49" name="Table_49" id="49">
  <tableColumns count="3">
    <tableColumn name="Column1" id="1"/>
    <tableColumn name="Column2" id="2"/>
    <tableColumn name="Column3" id="3"/>
  </tableColumns>
  <tableStyleInfo name="Writing Scope and Sequence-style 25" showColumnStripes="0" showFirstColumn="1" showLastColumn="1" showRowStripes="1"/>
</table>
</file>

<file path=xl/tables/table50.xml><?xml version="1.0" encoding="utf-8"?>
<table xmlns="http://schemas.openxmlformats.org/spreadsheetml/2006/main" headerRowCount="0" ref="G39:J39" displayName="Table_50" name="Table_50" id="50">
  <tableColumns count="4">
    <tableColumn name="Column1" id="1"/>
    <tableColumn name="Column2" id="2"/>
    <tableColumn name="Column3" id="3"/>
    <tableColumn name="Column4" id="4"/>
  </tableColumns>
  <tableStyleInfo name="Writing Scope and Sequence-style 26" showColumnStripes="0" showFirstColumn="1" showLastColumn="1" showRowStripes="1"/>
</table>
</file>

<file path=xl/tables/table51.xml><?xml version="1.0" encoding="utf-8"?>
<table xmlns="http://schemas.openxmlformats.org/spreadsheetml/2006/main" headerRowCount="0" ref="G40:J41" displayName="Table_51" name="Table_51" id="51">
  <tableColumns count="4">
    <tableColumn name="Column1" id="1"/>
    <tableColumn name="Column2" id="2"/>
    <tableColumn name="Column3" id="3"/>
    <tableColumn name="Column4" id="4"/>
  </tableColumns>
  <tableStyleInfo name="Writing Scope and Sequence-style 27" showColumnStripes="0" showFirstColumn="1" showLastColumn="1" showRowStripes="1"/>
</table>
</file>

<file path=xl/tables/table52.xml><?xml version="1.0" encoding="utf-8"?>
<table xmlns="http://schemas.openxmlformats.org/spreadsheetml/2006/main" headerRowCount="0" ref="G42:J42" displayName="Table_52" name="Table_52" id="52">
  <tableColumns count="4">
    <tableColumn name="Column1" id="1"/>
    <tableColumn name="Column2" id="2"/>
    <tableColumn name="Column3" id="3"/>
    <tableColumn name="Column4" id="4"/>
  </tableColumns>
  <tableStyleInfo name="Writing Scope and Sequence-style 28" showColumnStripes="0" showFirstColumn="1" showLastColumn="1" showRowStripes="1"/>
</table>
</file>

<file path=xl/tables/table53.xml><?xml version="1.0" encoding="utf-8"?>
<table xmlns="http://schemas.openxmlformats.org/spreadsheetml/2006/main" headerRowCount="0" ref="J43:K44" displayName="Table_53" name="Table_53" id="53">
  <tableColumns count="2">
    <tableColumn name="Column1" id="1"/>
    <tableColumn name="Column2" id="2"/>
  </tableColumns>
  <tableStyleInfo name="Writing Scope and Sequence-style 29" showColumnStripes="0" showFirstColumn="1" showLastColumn="1" showRowStripes="1"/>
</table>
</file>

<file path=xl/tables/table54.xml><?xml version="1.0" encoding="utf-8"?>
<table xmlns="http://schemas.openxmlformats.org/spreadsheetml/2006/main" headerRowCount="0" ref="B45:F51" displayName="Table_54" name="Table_54" id="54">
  <tableColumns count="5">
    <tableColumn name="Column1" id="1"/>
    <tableColumn name="Column2" id="2"/>
    <tableColumn name="Column3" id="3"/>
    <tableColumn name="Column4" id="4"/>
    <tableColumn name="Column5" id="5"/>
  </tableColumns>
  <tableStyleInfo name="Writing Scope and Sequence-style 30" showColumnStripes="0" showFirstColumn="1" showLastColumn="1" showRowStripes="1"/>
</table>
</file>

<file path=xl/tables/table55.xml><?xml version="1.0" encoding="utf-8"?>
<table xmlns="http://schemas.openxmlformats.org/spreadsheetml/2006/main" headerRowCount="0" ref="G45:K49" displayName="Table_55" name="Table_55" id="55">
  <tableColumns count="5">
    <tableColumn name="Column1" id="1"/>
    <tableColumn name="Column2" id="2"/>
    <tableColumn name="Column3" id="3"/>
    <tableColumn name="Column4" id="4"/>
    <tableColumn name="Column5" id="5"/>
  </tableColumns>
  <tableStyleInfo name="Writing Scope and Sequence-style 31" showColumnStripes="0" showFirstColumn="1" showLastColumn="1" showRowStripes="1"/>
</table>
</file>

<file path=xl/tables/table56.xml><?xml version="1.0" encoding="utf-8"?>
<table xmlns="http://schemas.openxmlformats.org/spreadsheetml/2006/main" headerRowCount="0" ref="G56:I57" displayName="Table_56" name="Table_56" id="56">
  <tableColumns count="3">
    <tableColumn name="Column1" id="1"/>
    <tableColumn name="Column2" id="2"/>
    <tableColumn name="Column3" id="3"/>
  </tableColumns>
  <tableStyleInfo name="Writing Scope and Sequence-style 32" showColumnStripes="0" showFirstColumn="1" showLastColumn="1" showRowStripes="1"/>
</table>
</file>

<file path=xl/tables/table57.xml><?xml version="1.0" encoding="utf-8"?>
<table xmlns="http://schemas.openxmlformats.org/spreadsheetml/2006/main" headerRowCount="0" ref="B57:D57" displayName="Table_57" name="Table_57" id="57">
  <tableColumns count="3">
    <tableColumn name="Column1" id="1"/>
    <tableColumn name="Column2" id="2"/>
    <tableColumn name="Column3" id="3"/>
  </tableColumns>
  <tableStyleInfo name="Writing Scope and Sequence-style 33" showColumnStripes="0" showFirstColumn="1" showLastColumn="1" showRowStripes="1"/>
</table>
</file>

<file path=xl/tables/table58.xml><?xml version="1.0" encoding="utf-8"?>
<table xmlns="http://schemas.openxmlformats.org/spreadsheetml/2006/main" headerRowCount="0" ref="G58:I58" displayName="Table_58" name="Table_58" id="58">
  <tableColumns count="3">
    <tableColumn name="Column1" id="1"/>
    <tableColumn name="Column2" id="2"/>
    <tableColumn name="Column3" id="3"/>
  </tableColumns>
  <tableStyleInfo name="Writing Scope and Sequence-style 34" showColumnStripes="0" showFirstColumn="1" showLastColumn="1" showRowStripes="1"/>
</table>
</file>

<file path=xl/tables/table59.xml><?xml version="1.0" encoding="utf-8"?>
<table xmlns="http://schemas.openxmlformats.org/spreadsheetml/2006/main" headerRowCount="0" ref="B59:D59" displayName="Table_59" name="Table_59" id="59">
  <tableColumns count="3">
    <tableColumn name="Column1" id="1"/>
    <tableColumn name="Column2" id="2"/>
    <tableColumn name="Column3" id="3"/>
  </tableColumns>
  <tableStyleInfo name="Writing Scope and Sequence-style 35" showColumnStripes="0" showFirstColumn="1" showLastColumn="1" showRowStripes="1"/>
</table>
</file>

<file path=xl/tables/table60.xml><?xml version="1.0" encoding="utf-8"?>
<table xmlns="http://schemas.openxmlformats.org/spreadsheetml/2006/main" headerRowCount="0" ref="B60:E60" displayName="Table_60" name="Table_60" id="60">
  <tableColumns count="4">
    <tableColumn name="Column1" id="1"/>
    <tableColumn name="Column2" id="2"/>
    <tableColumn name="Column3" id="3"/>
    <tableColumn name="Column4" id="4"/>
  </tableColumns>
  <tableStyleInfo name="Writing Scope and Sequence-style 36" showColumnStripes="0" showFirstColumn="1" showLastColumn="1" showRowStripes="1"/>
</table>
</file>

<file path=xl/tables/table61.xml><?xml version="1.0" encoding="utf-8"?>
<table xmlns="http://schemas.openxmlformats.org/spreadsheetml/2006/main" headerRowCount="0" ref="J62:K63" displayName="Table_61" name="Table_61" id="61">
  <tableColumns count="2">
    <tableColumn name="Column1" id="1"/>
    <tableColumn name="Column2" id="2"/>
  </tableColumns>
  <tableStyleInfo name="Writing Scope and Sequence-style 37" showColumnStripes="0" showFirstColumn="1" showLastColumn="1" showRowStripes="1"/>
</table>
</file>

<file path=xl/tables/table62.xml><?xml version="1.0" encoding="utf-8"?>
<table xmlns="http://schemas.openxmlformats.org/spreadsheetml/2006/main" headerRowCount="0" ref="B64:F71" displayName="Table_62" name="Table_62" id="62">
  <tableColumns count="5">
    <tableColumn name="Column1" id="1"/>
    <tableColumn name="Column2" id="2"/>
    <tableColumn name="Column3" id="3"/>
    <tableColumn name="Column4" id="4"/>
    <tableColumn name="Column5" id="5"/>
  </tableColumns>
  <tableStyleInfo name="Writing Scope and Sequence-style 38" showColumnStripes="0" showFirstColumn="1" showLastColumn="1" showRowStripes="1"/>
</table>
</file>

<file path=xl/tables/table63.xml><?xml version="1.0" encoding="utf-8"?>
<table xmlns="http://schemas.openxmlformats.org/spreadsheetml/2006/main" headerRowCount="0" ref="G64:K68" displayName="Table_63" name="Table_63" id="63">
  <tableColumns count="5">
    <tableColumn name="Column1" id="1"/>
    <tableColumn name="Column2" id="2"/>
    <tableColumn name="Column3" id="3"/>
    <tableColumn name="Column4" id="4"/>
    <tableColumn name="Column5" id="5"/>
  </tableColumns>
  <tableStyleInfo name="Writing Scope and Sequence-style 39" showColumnStripes="0" showFirstColumn="1" showLastColumn="1" showRowStripes="1"/>
</table>
</file>

<file path=xl/tables/table64.xml><?xml version="1.0" encoding="utf-8"?>
<table xmlns="http://schemas.openxmlformats.org/spreadsheetml/2006/main" headerRowCount="0" ref="J72:K73" displayName="Table_64" name="Table_64" id="64">
  <tableColumns count="2">
    <tableColumn name="Column1" id="1"/>
    <tableColumn name="Column2" id="2"/>
  </tableColumns>
  <tableStyleInfo name="Writing Scope and Sequence-style 40" showColumnStripes="0" showFirstColumn="1" showLastColumn="1" showRowStripes="1"/>
</table>
</file>

<file path=xl/tables/table65.xml><?xml version="1.0" encoding="utf-8"?>
<table xmlns="http://schemas.openxmlformats.org/spreadsheetml/2006/main" headerRowCount="0" ref="B74:F81" displayName="Table_65" name="Table_65" id="65">
  <tableColumns count="5">
    <tableColumn name="Column1" id="1"/>
    <tableColumn name="Column2" id="2"/>
    <tableColumn name="Column3" id="3"/>
    <tableColumn name="Column4" id="4"/>
    <tableColumn name="Column5" id="5"/>
  </tableColumns>
  <tableStyleInfo name="Writing Scope and Sequence-style 41" showColumnStripes="0" showFirstColumn="1" showLastColumn="1" showRowStripes="1"/>
</table>
</file>

<file path=xl/tables/table66.xml><?xml version="1.0" encoding="utf-8"?>
<table xmlns="http://schemas.openxmlformats.org/spreadsheetml/2006/main" headerRowCount="0" ref="J82:K83" displayName="Table_66" name="Table_66" id="66">
  <tableColumns count="2">
    <tableColumn name="Column1" id="1"/>
    <tableColumn name="Column2" id="2"/>
  </tableColumns>
  <tableStyleInfo name="Writing Scope and Sequence-style 42" showColumnStripes="0" showFirstColumn="1" showLastColumn="1" showRowStripes="1"/>
</table>
</file>

<file path=xl/tables/table67.xml><?xml version="1.0" encoding="utf-8"?>
<table xmlns="http://schemas.openxmlformats.org/spreadsheetml/2006/main" headerRowCount="0" ref="B84:F91" displayName="Table_67" name="Table_67" id="67">
  <tableColumns count="5">
    <tableColumn name="Column1" id="1"/>
    <tableColumn name="Column2" id="2"/>
    <tableColumn name="Column3" id="3"/>
    <tableColumn name="Column4" id="4"/>
    <tableColumn name="Column5" id="5"/>
  </tableColumns>
  <tableStyleInfo name="Writing Scope and Sequence-style 43" showColumnStripes="0" showFirstColumn="1" showLastColumn="1" showRowStripes="1"/>
</table>
</file>

<file path=xl/tables/table68.xml><?xml version="1.0" encoding="utf-8"?>
<table xmlns="http://schemas.openxmlformats.org/spreadsheetml/2006/main" headerRowCount="0" ref="J92:K93" displayName="Table_68" name="Table_68" id="68">
  <tableColumns count="2">
    <tableColumn name="Column1" id="1"/>
    <tableColumn name="Column2" id="2"/>
  </tableColumns>
  <tableStyleInfo name="Writing Scope and Sequence-style 44" showColumnStripes="0" showFirstColumn="1" showLastColumn="1" showRowStripes="1"/>
</table>
</file>

<file path=xl/tables/table69.xml><?xml version="1.0" encoding="utf-8"?>
<table xmlns="http://schemas.openxmlformats.org/spreadsheetml/2006/main" headerRowCount="0" ref="B94:F101" displayName="Table_69" name="Table_69" id="69">
  <tableColumns count="5">
    <tableColumn name="Column1" id="1"/>
    <tableColumn name="Column2" id="2"/>
    <tableColumn name="Column3" id="3"/>
    <tableColumn name="Column4" id="4"/>
    <tableColumn name="Column5" id="5"/>
  </tableColumns>
  <tableStyleInfo name="Writing Scope and Sequence-style 45" showColumnStripes="0" showFirstColumn="1" showLastColumn="1" showRowStripes="1"/>
</table>
</file>

<file path=xl/tables/table70.xml><?xml version="1.0" encoding="utf-8"?>
<table xmlns="http://schemas.openxmlformats.org/spreadsheetml/2006/main" headerRowCount="0" ref="J102:K103" displayName="Table_70" name="Table_70" id="70">
  <tableColumns count="2">
    <tableColumn name="Column1" id="1"/>
    <tableColumn name="Column2" id="2"/>
  </tableColumns>
  <tableStyleInfo name="Writing Scope and Sequence-style 46" showColumnStripes="0" showFirstColumn="1" showLastColumn="1" showRowStripes="1"/>
</table>
</file>

<file path=xl/tables/table71.xml><?xml version="1.0" encoding="utf-8"?>
<table xmlns="http://schemas.openxmlformats.org/spreadsheetml/2006/main" headerRowCount="0" ref="B104:E112" displayName="Table_71" name="Table_71" id="71">
  <tableColumns count="4">
    <tableColumn name="Column1" id="1"/>
    <tableColumn name="Column2" id="2"/>
    <tableColumn name="Column3" id="3"/>
    <tableColumn name="Column4" id="4"/>
  </tableColumns>
  <tableStyleInfo name="Writing Scope and Sequence-style 47" showColumnStripes="0" showFirstColumn="1" showLastColumn="1" showRowStripes="1"/>
</table>
</file>

<file path=xl/tables/table72.xml><?xml version="1.0" encoding="utf-8"?>
<table xmlns="http://schemas.openxmlformats.org/spreadsheetml/2006/main" headerRowCount="0" ref="J113:K114" displayName="Table_72" name="Table_72" id="72">
  <tableColumns count="2">
    <tableColumn name="Column1" id="1"/>
    <tableColumn name="Column2" id="2"/>
  </tableColumns>
  <tableStyleInfo name="Writing Scope and Sequence-style 48" showColumnStripes="0" showFirstColumn="1" showLastColumn="1" showRowStripes="1"/>
</table>
</file>

<file path=xl/tables/table73.xml><?xml version="1.0" encoding="utf-8"?>
<table xmlns="http://schemas.openxmlformats.org/spreadsheetml/2006/main" headerRowCount="0" ref="B115:F123" displayName="Table_73" name="Table_73" id="73">
  <tableColumns count="5">
    <tableColumn name="Column1" id="1"/>
    <tableColumn name="Column2" id="2"/>
    <tableColumn name="Column3" id="3"/>
    <tableColumn name="Column4" id="4"/>
    <tableColumn name="Column5" id="5"/>
  </tableColumns>
  <tableStyleInfo name="Writing Scope and Sequence-style 49" showColumnStripes="0" showFirstColumn="1" showLastColumn="1" showRowStripes="1"/>
</table>
</file>

<file path=xl/tables/table74.xml><?xml version="1.0" encoding="utf-8"?>
<table xmlns="http://schemas.openxmlformats.org/spreadsheetml/2006/main" headerRowCount="0" ref="J124:K125" displayName="Table_74" name="Table_74" id="74">
  <tableColumns count="2">
    <tableColumn name="Column1" id="1"/>
    <tableColumn name="Column2" id="2"/>
  </tableColumns>
  <tableStyleInfo name="Writing Scope and Sequence-style 50" showColumnStripes="0" showFirstColumn="1" showLastColumn="1" showRowStripes="1"/>
</table>
</file>

<file path=xl/tables/table75.xml><?xml version="1.0" encoding="utf-8"?>
<table xmlns="http://schemas.openxmlformats.org/spreadsheetml/2006/main" headerRowCount="0" ref="B126:F133" displayName="Table_75" name="Table_75" id="75">
  <tableColumns count="5">
    <tableColumn name="Column1" id="1"/>
    <tableColumn name="Column2" id="2"/>
    <tableColumn name="Column3" id="3"/>
    <tableColumn name="Column4" id="4"/>
    <tableColumn name="Column5" id="5"/>
  </tableColumns>
  <tableStyleInfo name="Writing Scope and Sequence-style 51" showColumnStripes="0" showFirstColumn="1" showLastColumn="1" showRowStripes="1"/>
</table>
</file>

<file path=xl/tables/table76.xml><?xml version="1.0" encoding="utf-8"?>
<table xmlns="http://schemas.openxmlformats.org/spreadsheetml/2006/main" headerRowCount="0" ref="J134:K135" displayName="Table_76" name="Table_76" id="76">
  <tableColumns count="2">
    <tableColumn name="Column1" id="1"/>
    <tableColumn name="Column2" id="2"/>
  </tableColumns>
  <tableStyleInfo name="Writing Scope and Sequence-style 52" showColumnStripes="0" showFirstColumn="1" showLastColumn="1" showRowStripes="1"/>
</table>
</file>

<file path=xl/tables/table77.xml><?xml version="1.0" encoding="utf-8"?>
<table xmlns="http://schemas.openxmlformats.org/spreadsheetml/2006/main" headerRowCount="0" ref="B136:F142" displayName="Table_77" name="Table_77" id="77">
  <tableColumns count="5">
    <tableColumn name="Column1" id="1"/>
    <tableColumn name="Column2" id="2"/>
    <tableColumn name="Column3" id="3"/>
    <tableColumn name="Column4" id="4"/>
    <tableColumn name="Column5" id="5"/>
  </tableColumns>
  <tableStyleInfo name="Writing Scope and Sequence-style 53" showColumnStripes="0" showFirstColumn="1" showLastColumn="1" showRowStripes="1"/>
</table>
</file>

<file path=xl/tables/table78.xml><?xml version="1.0" encoding="utf-8"?>
<table xmlns="http://schemas.openxmlformats.org/spreadsheetml/2006/main" headerRowCount="0" ref="J143:K144" displayName="Table_78" name="Table_78" id="78">
  <tableColumns count="2">
    <tableColumn name="Column1" id="1"/>
    <tableColumn name="Column2" id="2"/>
  </tableColumns>
  <tableStyleInfo name="Writing Scope and Sequence-style 54" showColumnStripes="0" showFirstColumn="1" showLastColumn="1" showRowStripes="1"/>
</table>
</file>

<file path=xl/tables/table79.xml><?xml version="1.0" encoding="utf-8"?>
<table xmlns="http://schemas.openxmlformats.org/spreadsheetml/2006/main" headerRowCount="0" ref="B145:F152" displayName="Table_79" name="Table_79" id="79">
  <tableColumns count="5">
    <tableColumn name="Column1" id="1"/>
    <tableColumn name="Column2" id="2"/>
    <tableColumn name="Column3" id="3"/>
    <tableColumn name="Column4" id="4"/>
    <tableColumn name="Column5" id="5"/>
  </tableColumns>
  <tableStyleInfo name="Writing Scope and Sequence-style 55" showColumnStripes="0" showFirstColumn="1" showLastColumn="1" showRowStripes="1"/>
</table>
</file>

<file path=xl/tables/table80.xml><?xml version="1.0" encoding="utf-8"?>
<table xmlns="http://schemas.openxmlformats.org/spreadsheetml/2006/main" headerRowCount="0" ref="J153:K154" displayName="Table_80" name="Table_80" id="80">
  <tableColumns count="2">
    <tableColumn name="Column1" id="1"/>
    <tableColumn name="Column2" id="2"/>
  </tableColumns>
  <tableStyleInfo name="Writing Scope and Sequence-style 56" showColumnStripes="0" showFirstColumn="1" showLastColumn="1" showRowStripes="1"/>
</table>
</file>

<file path=xl/tables/table81.xml><?xml version="1.0" encoding="utf-8"?>
<table xmlns="http://schemas.openxmlformats.org/spreadsheetml/2006/main" headerRowCount="0" ref="B155:F162" displayName="Table_81" name="Table_81" id="81">
  <tableColumns count="5">
    <tableColumn name="Column1" id="1"/>
    <tableColumn name="Column2" id="2"/>
    <tableColumn name="Column3" id="3"/>
    <tableColumn name="Column4" id="4"/>
    <tableColumn name="Column5" id="5"/>
  </tableColumns>
  <tableStyleInfo name="Writing Scope and Sequence-style 57" showColumnStripes="0" showFirstColumn="1" showLastColumn="1" showRowStripes="1"/>
</table>
</file>

<file path=xl/tables/table82.xml><?xml version="1.0" encoding="utf-8"?>
<table xmlns="http://schemas.openxmlformats.org/spreadsheetml/2006/main" headerRowCount="0" ref="J163:K164" displayName="Table_82" name="Table_82" id="82">
  <tableColumns count="2">
    <tableColumn name="Column1" id="1"/>
    <tableColumn name="Column2" id="2"/>
  </tableColumns>
  <tableStyleInfo name="Writing Scope and Sequence-style 58" showColumnStripes="0" showFirstColumn="1" showLastColumn="1" showRowStripes="1"/>
</table>
</file>

<file path=xl/tables/table83.xml><?xml version="1.0" encoding="utf-8"?>
<table xmlns="http://schemas.openxmlformats.org/spreadsheetml/2006/main" headerRowCount="0" ref="B165:F172" displayName="Table_83" name="Table_83" id="83">
  <tableColumns count="5">
    <tableColumn name="Column1" id="1"/>
    <tableColumn name="Column2" id="2"/>
    <tableColumn name="Column3" id="3"/>
    <tableColumn name="Column4" id="4"/>
    <tableColumn name="Column5" id="5"/>
  </tableColumns>
  <tableStyleInfo name="Writing Scope and Sequence-style 59" showColumnStripes="0" showFirstColumn="1" showLastColumn="1" showRowStripes="1"/>
</table>
</file>

<file path=xl/tables/table84.xml><?xml version="1.0" encoding="utf-8"?>
<table xmlns="http://schemas.openxmlformats.org/spreadsheetml/2006/main" headerRowCount="0" ref="J173:K174" displayName="Table_84" name="Table_84" id="84">
  <tableColumns count="2">
    <tableColumn name="Column1" id="1"/>
    <tableColumn name="Column2" id="2"/>
  </tableColumns>
  <tableStyleInfo name="Writing Scope and Sequence-style 60" showColumnStripes="0" showFirstColumn="1" showLastColumn="1" showRowStripes="1"/>
</table>
</file>

<file path=xl/tables/table85.xml><?xml version="1.0" encoding="utf-8"?>
<table xmlns="http://schemas.openxmlformats.org/spreadsheetml/2006/main" headerRowCount="0" ref="B175:F183" displayName="Table_85" name="Table_85" id="85">
  <tableColumns count="5">
    <tableColumn name="Column1" id="1"/>
    <tableColumn name="Column2" id="2"/>
    <tableColumn name="Column3" id="3"/>
    <tableColumn name="Column4" id="4"/>
    <tableColumn name="Column5" id="5"/>
  </tableColumns>
  <tableStyleInfo name="Writing Scope and Sequence-style 61" showColumnStripes="0" showFirstColumn="1" showLastColumn="1" showRowStripes="1"/>
</table>
</file>

<file path=xl/tables/table86.xml><?xml version="1.0" encoding="utf-8"?>
<table xmlns="http://schemas.openxmlformats.org/spreadsheetml/2006/main" headerRowCount="0" ref="J184:K185" displayName="Table_86" name="Table_86" id="86">
  <tableColumns count="2">
    <tableColumn name="Column1" id="1"/>
    <tableColumn name="Column2" id="2"/>
  </tableColumns>
  <tableStyleInfo name="Writing Scope and Sequence-style 62" showColumnStripes="0" showFirstColumn="1" showLastColumn="1" showRowStripes="1"/>
</table>
</file>

<file path=xl/tables/table87.xml><?xml version="1.0" encoding="utf-8"?>
<table xmlns="http://schemas.openxmlformats.org/spreadsheetml/2006/main" headerRowCount="0" ref="B186:F194" displayName="Table_87" name="Table_87" id="87">
  <tableColumns count="5">
    <tableColumn name="Column1" id="1"/>
    <tableColumn name="Column2" id="2"/>
    <tableColumn name="Column3" id="3"/>
    <tableColumn name="Column4" id="4"/>
    <tableColumn name="Column5" id="5"/>
  </tableColumns>
  <tableStyleInfo name="Writing Scope and Sequence-style 63" showColumnStripes="0" showFirstColumn="1" showLastColumn="1" showRowStripes="1"/>
</table>
</file>

<file path=xl/tables/table88.xml><?xml version="1.0" encoding="utf-8"?>
<table xmlns="http://schemas.openxmlformats.org/spreadsheetml/2006/main" headerRowCount="0" ref="J195:K196" displayName="Table_88" name="Table_88" id="88">
  <tableColumns count="2">
    <tableColumn name="Column1" id="1"/>
    <tableColumn name="Column2" id="2"/>
  </tableColumns>
  <tableStyleInfo name="Writing Scope and Sequence-style 64" showColumnStripes="0" showFirstColumn="1" showLastColumn="1" showRowStripes="1"/>
</table>
</file>

<file path=xl/tables/table89.xml><?xml version="1.0" encoding="utf-8"?>
<table xmlns="http://schemas.openxmlformats.org/spreadsheetml/2006/main" headerRowCount="0" ref="B197:F204" displayName="Table_89" name="Table_89" id="89">
  <tableColumns count="5">
    <tableColumn name="Column1" id="1"/>
    <tableColumn name="Column2" id="2"/>
    <tableColumn name="Column3" id="3"/>
    <tableColumn name="Column4" id="4"/>
    <tableColumn name="Column5" id="5"/>
  </tableColumns>
  <tableStyleInfo name="Writing Scope and Sequence-style 65" showColumnStripes="0" showFirstColumn="1" showLastColumn="1" showRowStripes="1"/>
</table>
</file>

<file path=xl/tables/table90.xml><?xml version="1.0" encoding="utf-8"?>
<table xmlns="http://schemas.openxmlformats.org/spreadsheetml/2006/main" headerRowCount="0" ref="J205:K206" displayName="Table_90" name="Table_90" id="90">
  <tableColumns count="2">
    <tableColumn name="Column1" id="1"/>
    <tableColumn name="Column2" id="2"/>
  </tableColumns>
  <tableStyleInfo name="Writing Scope and Sequence-style 66" showColumnStripes="0" showFirstColumn="1" showLastColumn="1" showRowStripes="1"/>
</table>
</file>

<file path=xl/tables/table91.xml><?xml version="1.0" encoding="utf-8"?>
<table xmlns="http://schemas.openxmlformats.org/spreadsheetml/2006/main" headerRowCount="0" ref="B207:F214" displayName="Table_91" name="Table_91" id="91">
  <tableColumns count="5">
    <tableColumn name="Column1" id="1"/>
    <tableColumn name="Column2" id="2"/>
    <tableColumn name="Column3" id="3"/>
    <tableColumn name="Column4" id="4"/>
    <tableColumn name="Column5" id="5"/>
  </tableColumns>
  <tableStyleInfo name="Writing Scope and Sequence-style 67" showColumnStripes="0" showFirstColumn="1" showLastColumn="1" showRowStripes="1"/>
</table>
</file>

<file path=xl/tables/table92.xml><?xml version="1.0" encoding="utf-8"?>
<table xmlns="http://schemas.openxmlformats.org/spreadsheetml/2006/main" headerRowCount="0" ref="J215:K216" displayName="Table_92" name="Table_92" id="92">
  <tableColumns count="2">
    <tableColumn name="Column1" id="1"/>
    <tableColumn name="Column2" id="2"/>
  </tableColumns>
  <tableStyleInfo name="Writing Scope and Sequence-style 68" showColumnStripes="0" showFirstColumn="1" showLastColumn="1" showRowStripes="1"/>
</table>
</file>

<file path=xl/tables/table93.xml><?xml version="1.0" encoding="utf-8"?>
<table xmlns="http://schemas.openxmlformats.org/spreadsheetml/2006/main" headerRowCount="0" ref="B217:F224" displayName="Table_93" name="Table_93" id="93">
  <tableColumns count="5">
    <tableColumn name="Column1" id="1"/>
    <tableColumn name="Column2" id="2"/>
    <tableColumn name="Column3" id="3"/>
    <tableColumn name="Column4" id="4"/>
    <tableColumn name="Column5" id="5"/>
  </tableColumns>
  <tableStyleInfo name="Writing Scope and Sequence-style 69" showColumnStripes="0" showFirstColumn="1" showLastColumn="1" showRowStripes="1"/>
</table>
</file>

<file path=xl/tables/table94.xml><?xml version="1.0" encoding="utf-8"?>
<table xmlns="http://schemas.openxmlformats.org/spreadsheetml/2006/main" headerRowCount="0" ref="J225:K226" displayName="Table_94" name="Table_94" id="94">
  <tableColumns count="2">
    <tableColumn name="Column1" id="1"/>
    <tableColumn name="Column2" id="2"/>
  </tableColumns>
  <tableStyleInfo name="Writing Scope and Sequence-style 70" showColumnStripes="0" showFirstColumn="1" showLastColumn="1" showRowStripes="1"/>
</table>
</file>

<file path=xl/tables/table95.xml><?xml version="1.0" encoding="utf-8"?>
<table xmlns="http://schemas.openxmlformats.org/spreadsheetml/2006/main" headerRowCount="0" ref="B227:F234" displayName="Table_95" name="Table_95" id="95">
  <tableColumns count="5">
    <tableColumn name="Column1" id="1"/>
    <tableColumn name="Column2" id="2"/>
    <tableColumn name="Column3" id="3"/>
    <tableColumn name="Column4" id="4"/>
    <tableColumn name="Column5" id="5"/>
  </tableColumns>
  <tableStyleInfo name="Writing Scope and Sequence-style 71" showColumnStripes="0" showFirstColumn="1" showLastColumn="1" showRowStripes="1"/>
</table>
</file>

<file path=xl/tables/table96.xml><?xml version="1.0" encoding="utf-8"?>
<table xmlns="http://schemas.openxmlformats.org/spreadsheetml/2006/main" headerRowCount="0" ref="J235:K236" displayName="Table_96" name="Table_96" id="96">
  <tableColumns count="2">
    <tableColumn name="Column1" id="1"/>
    <tableColumn name="Column2" id="2"/>
  </tableColumns>
  <tableStyleInfo name="Writing Scope and Sequence-style 72" showColumnStripes="0" showFirstColumn="1" showLastColumn="1" showRowStripes="1"/>
</table>
</file>

<file path=xl/tables/table97.xml><?xml version="1.0" encoding="utf-8"?>
<table xmlns="http://schemas.openxmlformats.org/spreadsheetml/2006/main" headerRowCount="0" ref="B237:F245" displayName="Table_97" name="Table_97" id="97">
  <tableColumns count="5">
    <tableColumn name="Column1" id="1"/>
    <tableColumn name="Column2" id="2"/>
    <tableColumn name="Column3" id="3"/>
    <tableColumn name="Column4" id="4"/>
    <tableColumn name="Column5" id="5"/>
  </tableColumns>
  <tableStyleInfo name="Writing Scope and Sequence-style 73" showColumnStripes="0" showFirstColumn="1" showLastColumn="1" showRowStripes="1"/>
</table>
</file>

<file path=xl/tables/table98.xml><?xml version="1.0" encoding="utf-8"?>
<table xmlns="http://schemas.openxmlformats.org/spreadsheetml/2006/main" headerRowCount="0" ref="J246:K247" displayName="Table_98" name="Table_98" id="98">
  <tableColumns count="2">
    <tableColumn name="Column1" id="1"/>
    <tableColumn name="Column2" id="2"/>
  </tableColumns>
  <tableStyleInfo name="Writing Scope and Sequence-style 74" showColumnStripes="0" showFirstColumn="1" showLastColumn="1" showRowStripes="1"/>
</table>
</file>

<file path=xl/tables/table99.xml><?xml version="1.0" encoding="utf-8"?>
<table xmlns="http://schemas.openxmlformats.org/spreadsheetml/2006/main" headerRowCount="0" ref="B248:F256" displayName="Table_99" name="Table_99" id="99">
  <tableColumns count="5">
    <tableColumn name="Column1" id="1"/>
    <tableColumn name="Column2" id="2"/>
    <tableColumn name="Column3" id="3"/>
    <tableColumn name="Column4" id="4"/>
    <tableColumn name="Column5" id="5"/>
  </tableColumns>
  <tableStyleInfo name="Writing Scope and Sequence-style 75" showColumnStripes="0" showFirstColumn="1" showLastColumn="1" showRowStripes="1"/>
</table>
</file>

<file path=xl/tables/table100.xml><?xml version="1.0" encoding="utf-8"?>
<table xmlns="http://schemas.openxmlformats.org/spreadsheetml/2006/main" headerRowCount="0" ref="J257:K258" displayName="Table_100" name="Table_100" id="100">
  <tableColumns count="2">
    <tableColumn name="Column1" id="1"/>
    <tableColumn name="Column2" id="2"/>
  </tableColumns>
  <tableStyleInfo name="Writing Scope and Sequence-style 76" showColumnStripes="0" showFirstColumn="1" showLastColumn="1" showRowStripes="1"/>
</table>
</file>

<file path=xl/tables/table101.xml><?xml version="1.0" encoding="utf-8"?>
<table xmlns="http://schemas.openxmlformats.org/spreadsheetml/2006/main" headerRowCount="0" ref="B259:F268" displayName="Table_101" name="Table_101" id="101">
  <tableColumns count="5">
    <tableColumn name="Column1" id="1"/>
    <tableColumn name="Column2" id="2"/>
    <tableColumn name="Column3" id="3"/>
    <tableColumn name="Column4" id="4"/>
    <tableColumn name="Column5" id="5"/>
  </tableColumns>
  <tableStyleInfo name="Writing Scope and Sequence-style 77" showColumnStripes="0" showFirstColumn="1" showLastColumn="1" showRowStripes="1"/>
</table>
</file>

<file path=xl/tables/table102.xml><?xml version="1.0" encoding="utf-8"?>
<table xmlns="http://schemas.openxmlformats.org/spreadsheetml/2006/main" headerRowCount="0" ref="J269:K270" displayName="Table_102" name="Table_102" id="102">
  <tableColumns count="2">
    <tableColumn name="Column1" id="1"/>
    <tableColumn name="Column2" id="2"/>
  </tableColumns>
  <tableStyleInfo name="Writing Scope and Sequence-style 78" showColumnStripes="0" showFirstColumn="1" showLastColumn="1" showRowStripes="1"/>
</table>
</file>

<file path=xl/tables/table103.xml><?xml version="1.0" encoding="utf-8"?>
<table xmlns="http://schemas.openxmlformats.org/spreadsheetml/2006/main" headerRowCount="0" ref="B271:E278" displayName="Table_103" name="Table_103" id="103">
  <tableColumns count="4">
    <tableColumn name="Column1" id="1"/>
    <tableColumn name="Column2" id="2"/>
    <tableColumn name="Column3" id="3"/>
    <tableColumn name="Column4" id="4"/>
  </tableColumns>
  <tableStyleInfo name="Writing Scope and Sequence-style 79" showColumnStripes="0" showFirstColumn="1" showLastColumn="1" showRowStripes="1"/>
</table>
</file>

<file path=xl/tables/table104.xml><?xml version="1.0" encoding="utf-8"?>
<table xmlns="http://schemas.openxmlformats.org/spreadsheetml/2006/main" headerRowCount="0" ref="J279:K280" displayName="Table_104" name="Table_104" id="104">
  <tableColumns count="2">
    <tableColumn name="Column1" id="1"/>
    <tableColumn name="Column2" id="2"/>
  </tableColumns>
  <tableStyleInfo name="Writing Scope and Sequence-style 80" showColumnStripes="0" showFirstColumn="1" showLastColumn="1" showRowStripes="1"/>
</table>
</file>

<file path=xl/tables/table105.xml><?xml version="1.0" encoding="utf-8"?>
<table xmlns="http://schemas.openxmlformats.org/spreadsheetml/2006/main" headerRowCount="0" ref="B281:F288" displayName="Table_105" name="Table_105" id="105">
  <tableColumns count="5">
    <tableColumn name="Column1" id="1"/>
    <tableColumn name="Column2" id="2"/>
    <tableColumn name="Column3" id="3"/>
    <tableColumn name="Column4" id="4"/>
    <tableColumn name="Column5" id="5"/>
  </tableColumns>
  <tableStyleInfo name="Writing Scope and Sequence-style 81" showColumnStripes="0" showFirstColumn="1" showLastColumn="1" showRowStripes="1"/>
</table>
</file>

<file path=xl/tables/table106.xml><?xml version="1.0" encoding="utf-8"?>
<table xmlns="http://schemas.openxmlformats.org/spreadsheetml/2006/main" headerRowCount="0" ref="J289:K290" displayName="Table_106" name="Table_106" id="106">
  <tableColumns count="2">
    <tableColumn name="Column1" id="1"/>
    <tableColumn name="Column2" id="2"/>
  </tableColumns>
  <tableStyleInfo name="Writing Scope and Sequence-style 82" showColumnStripes="0" showFirstColumn="1" showLastColumn="1" showRowStripes="1"/>
</table>
</file>

<file path=xl/tables/table107.xml><?xml version="1.0" encoding="utf-8"?>
<table xmlns="http://schemas.openxmlformats.org/spreadsheetml/2006/main" headerRowCount="0" ref="B291:E298" displayName="Table_107" name="Table_107" id="107">
  <tableColumns count="4">
    <tableColumn name="Column1" id="1"/>
    <tableColumn name="Column2" id="2"/>
    <tableColumn name="Column3" id="3"/>
    <tableColumn name="Column4" id="4"/>
  </tableColumns>
  <tableStyleInfo name="Writing Scope and Sequence-style 83" showColumnStripes="0" showFirstColumn="1" showLastColumn="1" showRowStripes="1"/>
</table>
</file>

<file path=xl/tables/table108.xml><?xml version="1.0" encoding="utf-8"?>
<table xmlns="http://schemas.openxmlformats.org/spreadsheetml/2006/main" headerRowCount="0" ref="J299:K300" displayName="Table_108" name="Table_108" id="108">
  <tableColumns count="2">
    <tableColumn name="Column1" id="1"/>
    <tableColumn name="Column2" id="2"/>
  </tableColumns>
  <tableStyleInfo name="Writing Scope and Sequence-style 84" showColumnStripes="0" showFirstColumn="1" showLastColumn="1" showRowStripes="1"/>
</table>
</file>

<file path=xl/tables/table109.xml><?xml version="1.0" encoding="utf-8"?>
<table xmlns="http://schemas.openxmlformats.org/spreadsheetml/2006/main" headerRowCount="0" ref="B301:F308" displayName="Table_109" name="Table_109" id="109">
  <tableColumns count="5">
    <tableColumn name="Column1" id="1"/>
    <tableColumn name="Column2" id="2"/>
    <tableColumn name="Column3" id="3"/>
    <tableColumn name="Column4" id="4"/>
    <tableColumn name="Column5" id="5"/>
  </tableColumns>
  <tableStyleInfo name="Writing Scope and Sequence-style 85" showColumnStripes="0" showFirstColumn="1" showLastColumn="1" showRowStripes="1"/>
</table>
</file>

<file path=xl/tables/table110.xml><?xml version="1.0" encoding="utf-8"?>
<table xmlns="http://schemas.openxmlformats.org/spreadsheetml/2006/main" headerRowCount="0" ref="J309:K310" displayName="Table_110" name="Table_110" id="110">
  <tableColumns count="2">
    <tableColumn name="Column1" id="1"/>
    <tableColumn name="Column2" id="2"/>
  </tableColumns>
  <tableStyleInfo name="Writing Scope and Sequence-style 86" showColumnStripes="0" showFirstColumn="1" showLastColumn="1" showRowStripes="1"/>
</table>
</file>

<file path=xl/tables/table111.xml><?xml version="1.0" encoding="utf-8"?>
<table xmlns="http://schemas.openxmlformats.org/spreadsheetml/2006/main" headerRowCount="0" ref="B311:F318" displayName="Table_111" name="Table_111" id="111">
  <tableColumns count="5">
    <tableColumn name="Column1" id="1"/>
    <tableColumn name="Column2" id="2"/>
    <tableColumn name="Column3" id="3"/>
    <tableColumn name="Column4" id="4"/>
    <tableColumn name="Column5" id="5"/>
  </tableColumns>
  <tableStyleInfo name="Writing Scope and Sequence-style 87" showColumnStripes="0" showFirstColumn="1" showLastColumn="1" showRowStripes="1"/>
</table>
</file>

<file path=xl/tables/table112.xml><?xml version="1.0" encoding="utf-8"?>
<table xmlns="http://schemas.openxmlformats.org/spreadsheetml/2006/main" headerRowCount="0" ref="J319:K320" displayName="Table_112" name="Table_112" id="112">
  <tableColumns count="2">
    <tableColumn name="Column1" id="1"/>
    <tableColumn name="Column2" id="2"/>
  </tableColumns>
  <tableStyleInfo name="Writing Scope and Sequence-style 88" showColumnStripes="0" showFirstColumn="1" showLastColumn="1" showRowStripes="1"/>
</table>
</file>

<file path=xl/tables/table113.xml><?xml version="1.0" encoding="utf-8"?>
<table xmlns="http://schemas.openxmlformats.org/spreadsheetml/2006/main" headerRowCount="0" ref="B321:F329" displayName="Table_113" name="Table_113" id="113">
  <tableColumns count="5">
    <tableColumn name="Column1" id="1"/>
    <tableColumn name="Column2" id="2"/>
    <tableColumn name="Column3" id="3"/>
    <tableColumn name="Column4" id="4"/>
    <tableColumn name="Column5" id="5"/>
  </tableColumns>
  <tableStyleInfo name="Writing Scope and Sequence-style 89" showColumnStripes="0" showFirstColumn="1" showLastColumn="1" showRowStripes="1"/>
</table>
</file>

<file path=xl/tables/table114.xml><?xml version="1.0" encoding="utf-8"?>
<table xmlns="http://schemas.openxmlformats.org/spreadsheetml/2006/main" headerRowCount="0" ref="J330:K331" displayName="Table_114" name="Table_114" id="114">
  <tableColumns count="2">
    <tableColumn name="Column1" id="1"/>
    <tableColumn name="Column2" id="2"/>
  </tableColumns>
  <tableStyleInfo name="Writing Scope and Sequence-style 90" showColumnStripes="0" showFirstColumn="1" showLastColumn="1" showRowStripes="1"/>
</table>
</file>

<file path=xl/tables/table115.xml><?xml version="1.0" encoding="utf-8"?>
<table xmlns="http://schemas.openxmlformats.org/spreadsheetml/2006/main" headerRowCount="0" ref="B332:F341" displayName="Table_115" name="Table_115" id="115">
  <tableColumns count="5">
    <tableColumn name="Column1" id="1"/>
    <tableColumn name="Column2" id="2"/>
    <tableColumn name="Column3" id="3"/>
    <tableColumn name="Column4" id="4"/>
    <tableColumn name="Column5" id="5"/>
  </tableColumns>
  <tableStyleInfo name="Writing Scope and Sequence-style 91" showColumnStripes="0" showFirstColumn="1" showLastColumn="1" showRowStripes="1"/>
</table>
</file>

<file path=xl/tables/table116.xml><?xml version="1.0" encoding="utf-8"?>
<table xmlns="http://schemas.openxmlformats.org/spreadsheetml/2006/main" headerRowCount="0" ref="J342:K343" displayName="Table_116" name="Table_116" id="116">
  <tableColumns count="2">
    <tableColumn name="Column1" id="1"/>
    <tableColumn name="Column2" id="2"/>
  </tableColumns>
  <tableStyleInfo name="Writing Scope and Sequence-style 92" showColumnStripes="0" showFirstColumn="1" showLastColumn="1" showRowStripes="1"/>
</table>
</file>

<file path=xl/tables/table117.xml><?xml version="1.0" encoding="utf-8"?>
<table xmlns="http://schemas.openxmlformats.org/spreadsheetml/2006/main" headerRowCount="0" ref="B344:F351" displayName="Table_117" name="Table_117" id="117">
  <tableColumns count="5">
    <tableColumn name="Column1" id="1"/>
    <tableColumn name="Column2" id="2"/>
    <tableColumn name="Column3" id="3"/>
    <tableColumn name="Column4" id="4"/>
    <tableColumn name="Column5" id="5"/>
  </tableColumns>
  <tableStyleInfo name="Writing Scope and Sequence-style 93" showColumnStripes="0" showFirstColumn="1" showLastColumn="1" showRowStripes="1"/>
</table>
</file>

<file path=xl/tables/table118.xml><?xml version="1.0" encoding="utf-8"?>
<table xmlns="http://schemas.openxmlformats.org/spreadsheetml/2006/main" headerRowCount="0" ref="J352:K353" displayName="Table_118" name="Table_118" id="118">
  <tableColumns count="2">
    <tableColumn name="Column1" id="1"/>
    <tableColumn name="Column2" id="2"/>
  </tableColumns>
  <tableStyleInfo name="Writing Scope and Sequence-style 94" showColumnStripes="0" showFirstColumn="1" showLastColumn="1" showRowStripes="1"/>
</table>
</file>

<file path=xl/tables/table119.xml><?xml version="1.0" encoding="utf-8"?>
<table xmlns="http://schemas.openxmlformats.org/spreadsheetml/2006/main" headerRowCount="0" ref="B354:F360" displayName="Table_119" name="Table_119" id="119">
  <tableColumns count="5">
    <tableColumn name="Column1" id="1"/>
    <tableColumn name="Column2" id="2"/>
    <tableColumn name="Column3" id="3"/>
    <tableColumn name="Column4" id="4"/>
    <tableColumn name="Column5" id="5"/>
  </tableColumns>
  <tableStyleInfo name="Writing Scope and Sequence-style 95" showColumnStripes="0" showFirstColumn="1" showLastColumn="1" showRowStripes="1"/>
</table>
</file>

<file path=xl/tables/table120.xml><?xml version="1.0" encoding="utf-8"?>
<table xmlns="http://schemas.openxmlformats.org/spreadsheetml/2006/main" headerRowCount="0" ref="J361:K362" displayName="Table_120" name="Table_120" id="120">
  <tableColumns count="2">
    <tableColumn name="Column1" id="1"/>
    <tableColumn name="Column2" id="2"/>
  </tableColumns>
  <tableStyleInfo name="Writing Scope and Sequence-style 96" showColumnStripes="0" showFirstColumn="1" showLastColumn="1" showRowStripes="1"/>
</table>
</file>

<file path=xl/tables/table121.xml><?xml version="1.0" encoding="utf-8"?>
<table xmlns="http://schemas.openxmlformats.org/spreadsheetml/2006/main" headerRowCount="0" ref="B363:F370" displayName="Table_121" name="Table_121" id="121">
  <tableColumns count="5">
    <tableColumn name="Column1" id="1"/>
    <tableColumn name="Column2" id="2"/>
    <tableColumn name="Column3" id="3"/>
    <tableColumn name="Column4" id="4"/>
    <tableColumn name="Column5" id="5"/>
  </tableColumns>
  <tableStyleInfo name="Writing Scope and Sequence-style 97" showColumnStripes="0" showFirstColumn="1" showLastColumn="1" showRowStripes="1"/>
</table>
</file>

<file path=xl/tables/table122.xml><?xml version="1.0" encoding="utf-8"?>
<table xmlns="http://schemas.openxmlformats.org/spreadsheetml/2006/main" headerRowCount="0" ref="J371:K372" displayName="Table_122" name="Table_122" id="122">
  <tableColumns count="2">
    <tableColumn name="Column1" id="1"/>
    <tableColumn name="Column2" id="2"/>
  </tableColumns>
  <tableStyleInfo name="Writing Scope and Sequence-style 98" showColumnStripes="0" showFirstColumn="1" showLastColumn="1" showRowStripes="1"/>
</table>
</file>

<file path=xl/tables/table123.xml><?xml version="1.0" encoding="utf-8"?>
<table xmlns="http://schemas.openxmlformats.org/spreadsheetml/2006/main" headerRowCount="0" ref="B373:F380" displayName="Table_123" name="Table_123" id="123">
  <tableColumns count="5">
    <tableColumn name="Column1" id="1"/>
    <tableColumn name="Column2" id="2"/>
    <tableColumn name="Column3" id="3"/>
    <tableColumn name="Column4" id="4"/>
    <tableColumn name="Column5" id="5"/>
  </tableColumns>
  <tableStyleInfo name="Writing Scope and Sequence-style 99" showColumnStripes="0" showFirstColumn="1" showLastColumn="1" showRowStripes="1"/>
</table>
</file>

<file path=xl/tables/table124.xml><?xml version="1.0" encoding="utf-8"?>
<table xmlns="http://schemas.openxmlformats.org/spreadsheetml/2006/main" headerRowCount="0" ref="J381:K382" displayName="Table_124" name="Table_124" id="124">
  <tableColumns count="2">
    <tableColumn name="Column1" id="1"/>
    <tableColumn name="Column2" id="2"/>
  </tableColumns>
  <tableStyleInfo name="Writing Scope and Sequence-style 100" showColumnStripes="0" showFirstColumn="1" showLastColumn="1" showRowStripes="1"/>
</table>
</file>

<file path=xl/tables/table125.xml><?xml version="1.0" encoding="utf-8"?>
<table xmlns="http://schemas.openxmlformats.org/spreadsheetml/2006/main" headerRowCount="0" ref="B383:F390" displayName="Table_125" name="Table_125" id="125">
  <tableColumns count="5">
    <tableColumn name="Column1" id="1"/>
    <tableColumn name="Column2" id="2"/>
    <tableColumn name="Column3" id="3"/>
    <tableColumn name="Column4" id="4"/>
    <tableColumn name="Column5" id="5"/>
  </tableColumns>
  <tableStyleInfo name="Writing Scope and Sequence-style 101" showColumnStripes="0" showFirstColumn="1" showLastColumn="1" showRowStripes="1"/>
</table>
</file>

<file path=xl/tables/table126.xml><?xml version="1.0" encoding="utf-8"?>
<table xmlns="http://schemas.openxmlformats.org/spreadsheetml/2006/main" headerRowCount="0" ref="J391:K392" displayName="Table_126" name="Table_126" id="126">
  <tableColumns count="2">
    <tableColumn name="Column1" id="1"/>
    <tableColumn name="Column2" id="2"/>
  </tableColumns>
  <tableStyleInfo name="Writing Scope and Sequence-style 102" showColumnStripes="0" showFirstColumn="1" showLastColumn="1" showRowStripes="1"/>
</table>
</file>

<file path=xl/tables/table127.xml><?xml version="1.0" encoding="utf-8"?>
<table xmlns="http://schemas.openxmlformats.org/spreadsheetml/2006/main" headerRowCount="0" ref="B393:F401" displayName="Table_127" name="Table_127" id="127">
  <tableColumns count="5">
    <tableColumn name="Column1" id="1"/>
    <tableColumn name="Column2" id="2"/>
    <tableColumn name="Column3" id="3"/>
    <tableColumn name="Column4" id="4"/>
    <tableColumn name="Column5" id="5"/>
  </tableColumns>
  <tableStyleInfo name="Writing Scope and Sequence-style 103" showColumnStripes="0" showFirstColumn="1" showLastColumn="1" showRowStripes="1"/>
</table>
</file>

<file path=xl/tables/table128.xml><?xml version="1.0" encoding="utf-8"?>
<table xmlns="http://schemas.openxmlformats.org/spreadsheetml/2006/main" headerRowCount="0" ref="J402:K403" displayName="Table_128" name="Table_128" id="128">
  <tableColumns count="2">
    <tableColumn name="Column1" id="1"/>
    <tableColumn name="Column2" id="2"/>
  </tableColumns>
  <tableStyleInfo name="Writing Scope and Sequence-style 104" showColumnStripes="0" showFirstColumn="1" showLastColumn="1" showRowStripes="1"/>
</table>
</file>

<file path=xl/tables/table129.xml><?xml version="1.0" encoding="utf-8"?>
<table xmlns="http://schemas.openxmlformats.org/spreadsheetml/2006/main" headerRowCount="0" ref="B404:F412" displayName="Table_129" name="Table_129" id="129">
  <tableColumns count="5">
    <tableColumn name="Column1" id="1"/>
    <tableColumn name="Column2" id="2"/>
    <tableColumn name="Column3" id="3"/>
    <tableColumn name="Column4" id="4"/>
    <tableColumn name="Column5" id="5"/>
  </tableColumns>
  <tableStyleInfo name="Writing Scope and Sequence-style 105" showColumnStripes="0" showFirstColumn="1" showLastColumn="1" showRowStripes="1"/>
</table>
</file>

<file path=xl/tables/table130.xml><?xml version="1.0" encoding="utf-8"?>
<table xmlns="http://schemas.openxmlformats.org/spreadsheetml/2006/main" headerRowCount="0" ref="J413:K414" displayName="Table_130" name="Table_130" id="130">
  <tableColumns count="2">
    <tableColumn name="Column1" id="1"/>
    <tableColumn name="Column2" id="2"/>
  </tableColumns>
  <tableStyleInfo name="Writing Scope and Sequence-style 106" showColumnStripes="0" showFirstColumn="1" showLastColumn="1" showRowStripes="1"/>
</table>
</file>

<file path=xl/tables/table131.xml><?xml version="1.0" encoding="utf-8"?>
<table xmlns="http://schemas.openxmlformats.org/spreadsheetml/2006/main" headerRowCount="0" ref="B415:F422" displayName="Table_131" name="Table_131" id="131">
  <tableColumns count="5">
    <tableColumn name="Column1" id="1"/>
    <tableColumn name="Column2" id="2"/>
    <tableColumn name="Column3" id="3"/>
    <tableColumn name="Column4" id="4"/>
    <tableColumn name="Column5" id="5"/>
  </tableColumns>
  <tableStyleInfo name="Writing Scope and Sequence-style 107" showColumnStripes="0" showFirstColumn="1" showLastColumn="1" showRowStripes="1"/>
</table>
</file>

<file path=xl/tables/table132.xml><?xml version="1.0" encoding="utf-8"?>
<table xmlns="http://schemas.openxmlformats.org/spreadsheetml/2006/main" headerRowCount="0" ref="J423:K424" displayName="Table_132" name="Table_132" id="132">
  <tableColumns count="2">
    <tableColumn name="Column1" id="1"/>
    <tableColumn name="Column2" id="2"/>
  </tableColumns>
  <tableStyleInfo name="Writing Scope and Sequence-style 108" showColumnStripes="0" showFirstColumn="1" showLastColumn="1" showRowStripes="1"/>
</table>
</file>

<file path=xl/tables/table133.xml><?xml version="1.0" encoding="utf-8"?>
<table xmlns="http://schemas.openxmlformats.org/spreadsheetml/2006/main" headerRowCount="0" ref="B425:F432" displayName="Table_133" name="Table_133" id="133">
  <tableColumns count="5">
    <tableColumn name="Column1" id="1"/>
    <tableColumn name="Column2" id="2"/>
    <tableColumn name="Column3" id="3"/>
    <tableColumn name="Column4" id="4"/>
    <tableColumn name="Column5" id="5"/>
  </tableColumns>
  <tableStyleInfo name="Writing Scope and Sequence-style 109" showColumnStripes="0" showFirstColumn="1" showLastColumn="1" showRowStripes="1"/>
</table>
</file>

<file path=xl/tables/table134.xml><?xml version="1.0" encoding="utf-8"?>
<table xmlns="http://schemas.openxmlformats.org/spreadsheetml/2006/main" headerRowCount="0" ref="J433:K434" displayName="Table_134" name="Table_134" id="134">
  <tableColumns count="2">
    <tableColumn name="Column1" id="1"/>
    <tableColumn name="Column2" id="2"/>
  </tableColumns>
  <tableStyleInfo name="Writing Scope and Sequence-style 110" showColumnStripes="0" showFirstColumn="1" showLastColumn="1" showRowStripes="1"/>
</table>
</file>

<file path=xl/tables/table135.xml><?xml version="1.0" encoding="utf-8"?>
<table xmlns="http://schemas.openxmlformats.org/spreadsheetml/2006/main" headerRowCount="0" ref="B435:F442" displayName="Table_135" name="Table_135" id="135">
  <tableColumns count="5">
    <tableColumn name="Column1" id="1"/>
    <tableColumn name="Column2" id="2"/>
    <tableColumn name="Column3" id="3"/>
    <tableColumn name="Column4" id="4"/>
    <tableColumn name="Column5" id="5"/>
  </tableColumns>
  <tableStyleInfo name="Writing Scope and Sequence-style 111" showColumnStripes="0" showFirstColumn="1" showLastColumn="1" showRowStripes="1"/>
</table>
</file>

<file path=xl/tables/table136.xml><?xml version="1.0" encoding="utf-8"?>
<table xmlns="http://schemas.openxmlformats.org/spreadsheetml/2006/main" headerRowCount="0" ref="J443:K444" displayName="Table_136" name="Table_136" id="136">
  <tableColumns count="2">
    <tableColumn name="Column1" id="1"/>
    <tableColumn name="Column2" id="2"/>
  </tableColumns>
  <tableStyleInfo name="Writing Scope and Sequence-style 112" showColumnStripes="0" showFirstColumn="1" showLastColumn="1" showRowStripes="1"/>
</table>
</file>

<file path=xl/tables/table137.xml><?xml version="1.0" encoding="utf-8"?>
<table xmlns="http://schemas.openxmlformats.org/spreadsheetml/2006/main" headerRowCount="0" ref="B445:F452" displayName="Table_137" name="Table_137" id="137">
  <tableColumns count="5">
    <tableColumn name="Column1" id="1"/>
    <tableColumn name="Column2" id="2"/>
    <tableColumn name="Column3" id="3"/>
    <tableColumn name="Column4" id="4"/>
    <tableColumn name="Column5" id="5"/>
  </tableColumns>
  <tableStyleInfo name="Writing Scope and Sequence-style 113" showColumnStripes="0" showFirstColumn="1" showLastColumn="1" showRowStripes="1"/>
</table>
</file>

<file path=xl/tables/table138.xml><?xml version="1.0" encoding="utf-8"?>
<table xmlns="http://schemas.openxmlformats.org/spreadsheetml/2006/main" headerRowCount="0" ref="J453:K454" displayName="Table_138" name="Table_138" id="138">
  <tableColumns count="2">
    <tableColumn name="Column1" id="1"/>
    <tableColumn name="Column2" id="2"/>
  </tableColumns>
  <tableStyleInfo name="Writing Scope and Sequence-style 114" showColumnStripes="0" showFirstColumn="1" showLastColumn="1" showRowStripes="1"/>
</table>
</file>

<file path=xl/tables/table139.xml><?xml version="1.0" encoding="utf-8"?>
<table xmlns="http://schemas.openxmlformats.org/spreadsheetml/2006/main" headerRowCount="0" ref="B455:F462" displayName="Table_139" name="Table_139" id="139">
  <tableColumns count="5">
    <tableColumn name="Column1" id="1"/>
    <tableColumn name="Column2" id="2"/>
    <tableColumn name="Column3" id="3"/>
    <tableColumn name="Column4" id="4"/>
    <tableColumn name="Column5" id="5"/>
  </tableColumns>
  <tableStyleInfo name="Writing Scope and Sequence-style 115" showColumnStripes="0" showFirstColumn="1" showLastColumn="1" showRowStripes="1"/>
</table>
</file>

<file path=xl/tables/table140.xml><?xml version="1.0" encoding="utf-8"?>
<table xmlns="http://schemas.openxmlformats.org/spreadsheetml/2006/main" headerRowCount="0" ref="J463:K464" displayName="Table_140" name="Table_140" id="140">
  <tableColumns count="2">
    <tableColumn name="Column1" id="1"/>
    <tableColumn name="Column2" id="2"/>
  </tableColumns>
  <tableStyleInfo name="Writing Scope and Sequence-style 116" showColumnStripes="0" showFirstColumn="1" showLastColumn="1" showRowStripes="1"/>
</table>
</file>

<file path=xl/tables/table141.xml><?xml version="1.0" encoding="utf-8"?>
<table xmlns="http://schemas.openxmlformats.org/spreadsheetml/2006/main" headerRowCount="0" ref="B465:F473" displayName="Table_141" name="Table_141" id="141">
  <tableColumns count="5">
    <tableColumn name="Column1" id="1"/>
    <tableColumn name="Column2" id="2"/>
    <tableColumn name="Column3" id="3"/>
    <tableColumn name="Column4" id="4"/>
    <tableColumn name="Column5" id="5"/>
  </tableColumns>
  <tableStyleInfo name="Writing Scope and Sequence-style 117" showColumnStripes="0" showFirstColumn="1" showLastColumn="1" showRowStripes="1"/>
</table>
</file>

<file path=xl/tables/table142.xml><?xml version="1.0" encoding="utf-8"?>
<table xmlns="http://schemas.openxmlformats.org/spreadsheetml/2006/main" headerRowCount="0" ref="J474:K475" displayName="Table_142" name="Table_142" id="142">
  <tableColumns count="2">
    <tableColumn name="Column1" id="1"/>
    <tableColumn name="Column2" id="2"/>
  </tableColumns>
  <tableStyleInfo name="Writing Scope and Sequence-style 118" showColumnStripes="0" showFirstColumn="1" showLastColumn="1" showRowStripes="1"/>
</table>
</file>

<file path=xl/tables/table143.xml><?xml version="1.0" encoding="utf-8"?>
<table xmlns="http://schemas.openxmlformats.org/spreadsheetml/2006/main" headerRowCount="0" ref="B476:F482" displayName="Table_143" name="Table_143" id="143">
  <tableColumns count="5">
    <tableColumn name="Column1" id="1"/>
    <tableColumn name="Column2" id="2"/>
    <tableColumn name="Column3" id="3"/>
    <tableColumn name="Column4" id="4"/>
    <tableColumn name="Column5" id="5"/>
  </tableColumns>
  <tableStyleInfo name="Writing Scope and Sequence-style 119" showColumnStripes="0" showFirstColumn="1" showLastColumn="1" showRowStripes="1"/>
</table>
</file>

<file path=xl/tables/table144.xml><?xml version="1.0" encoding="utf-8"?>
<table xmlns="http://schemas.openxmlformats.org/spreadsheetml/2006/main" headerRowCount="0" ref="J483:K484" displayName="Table_144" name="Table_144" id="144">
  <tableColumns count="2">
    <tableColumn name="Column1" id="1"/>
    <tableColumn name="Column2" id="2"/>
  </tableColumns>
  <tableStyleInfo name="Writing Scope and Sequence-style 120" showColumnStripes="0" showFirstColumn="1" showLastColumn="1" showRowStripes="1"/>
</table>
</file>

<file path=xl/tables/table145.xml><?xml version="1.0" encoding="utf-8"?>
<table xmlns="http://schemas.openxmlformats.org/spreadsheetml/2006/main" headerRowCount="0" ref="B485:F492" displayName="Table_145" name="Table_145" id="145">
  <tableColumns count="5">
    <tableColumn name="Column1" id="1"/>
    <tableColumn name="Column2" id="2"/>
    <tableColumn name="Column3" id="3"/>
    <tableColumn name="Column4" id="4"/>
    <tableColumn name="Column5" id="5"/>
  </tableColumns>
  <tableStyleInfo name="Writing Scope and Sequence-style 121" showColumnStripes="0" showFirstColumn="1" showLastColumn="1" showRowStripes="1"/>
</table>
</file>

<file path=xl/tables/table146.xml><?xml version="1.0" encoding="utf-8"?>
<table xmlns="http://schemas.openxmlformats.org/spreadsheetml/2006/main" headerRowCount="0" ref="J493:K494" displayName="Table_146" name="Table_146" id="146">
  <tableColumns count="2">
    <tableColumn name="Column1" id="1"/>
    <tableColumn name="Column2" id="2"/>
  </tableColumns>
  <tableStyleInfo name="Writing Scope and Sequence-style 122" showColumnStripes="0" showFirstColumn="1" showLastColumn="1" showRowStripes="1"/>
</table>
</file>

<file path=xl/tables/table147.xml><?xml version="1.0" encoding="utf-8"?>
<table xmlns="http://schemas.openxmlformats.org/spreadsheetml/2006/main" headerRowCount="0" ref="B495:F502" displayName="Table_147" name="Table_147" id="147">
  <tableColumns count="5">
    <tableColumn name="Column1" id="1"/>
    <tableColumn name="Column2" id="2"/>
    <tableColumn name="Column3" id="3"/>
    <tableColumn name="Column4" id="4"/>
    <tableColumn name="Column5" id="5"/>
  </tableColumns>
  <tableStyleInfo name="Writing Scope and Sequence-style 123" showColumnStripes="0" showFirstColumn="1" showLastColumn="1" showRowStripes="1"/>
</table>
</file>

<file path=xl/tables/table148.xml><?xml version="1.0" encoding="utf-8"?>
<table xmlns="http://schemas.openxmlformats.org/spreadsheetml/2006/main" headerRowCount="0" ref="E3:G3" displayName="Table_148" name="Table_148" id="148">
  <tableColumns count="3">
    <tableColumn name="Column1" id="1"/>
    <tableColumn name="Column2" id="2"/>
    <tableColumn name="Column3" id="3"/>
  </tableColumns>
  <tableStyleInfo name="Research Scope and Sequence-style" showColumnStripes="0" showFirstColumn="1" showLastColumn="1" showRowStripes="1"/>
</table>
</file>

<file path=xl/tables/table149.xml><?xml version="1.0" encoding="utf-8"?>
<table xmlns="http://schemas.openxmlformats.org/spreadsheetml/2006/main" headerRowCount="0" ref="B13:G14" displayName="Table_149" name="Table_149" id="149">
  <tableColumns count="6">
    <tableColumn name="Column1" id="1"/>
    <tableColumn name="Column2" id="2"/>
    <tableColumn name="Column3" id="3"/>
    <tableColumn name="Column4" id="4"/>
    <tableColumn name="Column5" id="5"/>
    <tableColumn name="Column6" id="6"/>
  </tableColumns>
  <tableStyleInfo name="Research Scope and Sequence-style 2" showColumnStripes="0" showFirstColumn="1" showLastColumn="1" showRowStripes="1"/>
</table>
</file>

<file path=xl/tables/table150.xml><?xml version="1.0" encoding="utf-8"?>
<table xmlns="http://schemas.openxmlformats.org/spreadsheetml/2006/main" headerRowCount="0" ref="A15:G23" displayName="Table_150" name="Table_150" id="150">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3" showColumnStripes="0" showFirstColumn="1" showLastColumn="1" showRowStripes="1"/>
</table>
</file>

<file path=xl/tables/table151.xml><?xml version="1.0" encoding="utf-8"?>
<table xmlns="http://schemas.openxmlformats.org/spreadsheetml/2006/main" headerRowCount="0" ref="A24:G26" displayName="Table_151" name="Table_151" id="151">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 showColumnStripes="0" showFirstColumn="1" showLastColumn="1" showRowStripes="1"/>
</table>
</file>

<file path=xl/tables/table152.xml><?xml version="1.0" encoding="utf-8"?>
<table xmlns="http://schemas.openxmlformats.org/spreadsheetml/2006/main" headerRowCount="0" ref="B27:G27" displayName="Table_152" name="Table_152" id="152">
  <tableColumns count="6">
    <tableColumn name="Column1" id="1"/>
    <tableColumn name="Column2" id="2"/>
    <tableColumn name="Column3" id="3"/>
    <tableColumn name="Column4" id="4"/>
    <tableColumn name="Column5" id="5"/>
    <tableColumn name="Column6" id="6"/>
  </tableColumns>
  <tableStyleInfo name="Research Scope and Sequence-style 5" showColumnStripes="0" showFirstColumn="1" showLastColumn="1" showRowStripes="1"/>
</table>
</file>

<file path=xl/tables/table153.xml><?xml version="1.0" encoding="utf-8"?>
<table xmlns="http://schemas.openxmlformats.org/spreadsheetml/2006/main" headerRowCount="0" ref="A36:G37" displayName="Table_153" name="Table_153" id="153">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6" showColumnStripes="0" showFirstColumn="1" showLastColumn="1" showRowStripes="1"/>
</table>
</file>

<file path=xl/tables/table154.xml><?xml version="1.0" encoding="utf-8"?>
<table xmlns="http://schemas.openxmlformats.org/spreadsheetml/2006/main" headerRowCount="0" ref="A38:A40" displayName="Table_154" name="Table_154" id="154">
  <tableColumns count="1">
    <tableColumn name="Column1" id="1"/>
  </tableColumns>
  <tableStyleInfo name="Research Scope and Sequence-style 7" showColumnStripes="0" showFirstColumn="1" showLastColumn="1" showRowStripes="1"/>
</table>
</file>

<file path=xl/tables/table155.xml><?xml version="1.0" encoding="utf-8"?>
<table xmlns="http://schemas.openxmlformats.org/spreadsheetml/2006/main" headerRowCount="0" ref="B38" displayName="Table_155" name="Table_155" id="155">
  <tableColumns count="1">
    <tableColumn name="Column1" id="1"/>
  </tableColumns>
  <tableStyleInfo name="Research Scope and Sequence-style 8" showColumnStripes="0" showFirstColumn="1" showLastColumn="1" showRowStripes="1"/>
</table>
</file>

<file path=xl/tables/table156.xml><?xml version="1.0" encoding="utf-8"?>
<table xmlns="http://schemas.openxmlformats.org/spreadsheetml/2006/main" headerRowCount="0" ref="B39:G40" displayName="Table_156" name="Table_156" id="156">
  <tableColumns count="6">
    <tableColumn name="Column1" id="1"/>
    <tableColumn name="Column2" id="2"/>
    <tableColumn name="Column3" id="3"/>
    <tableColumn name="Column4" id="4"/>
    <tableColumn name="Column5" id="5"/>
    <tableColumn name="Column6" id="6"/>
  </tableColumns>
  <tableStyleInfo name="Research Scope and Sequence-style 9" showColumnStripes="0" showFirstColumn="1" showLastColumn="1" showRowStripes="1"/>
</table>
</file>

<file path=xl/tables/table157.xml><?xml version="1.0" encoding="utf-8"?>
<table xmlns="http://schemas.openxmlformats.org/spreadsheetml/2006/main" headerRowCount="0" ref="A45:G46" displayName="Table_157" name="Table_157" id="157">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10" showColumnStripes="0" showFirstColumn="1" showLastColumn="1" showRowStripes="1"/>
</table>
</file>

<file path=xl/tables/table158.xml><?xml version="1.0" encoding="utf-8"?>
<table xmlns="http://schemas.openxmlformats.org/spreadsheetml/2006/main" headerRowCount="0" ref="A47:A48" displayName="Table_158" name="Table_158" id="158">
  <tableColumns count="1">
    <tableColumn name="Column1" id="1"/>
  </tableColumns>
  <tableStyleInfo name="Research Scope and Sequence-style 11" showColumnStripes="0" showFirstColumn="1" showLastColumn="1" showRowStripes="1"/>
</table>
</file>

<file path=xl/tables/table159.xml><?xml version="1.0" encoding="utf-8"?>
<table xmlns="http://schemas.openxmlformats.org/spreadsheetml/2006/main" headerRowCount="0" ref="B47:G48" displayName="Table_159" name="Table_159" id="159">
  <tableColumns count="6">
    <tableColumn name="Column1" id="1"/>
    <tableColumn name="Column2" id="2"/>
    <tableColumn name="Column3" id="3"/>
    <tableColumn name="Column4" id="4"/>
    <tableColumn name="Column5" id="5"/>
    <tableColumn name="Column6" id="6"/>
  </tableColumns>
  <tableStyleInfo name="Research Scope and Sequence-style 12" showColumnStripes="0" showFirstColumn="1" showLastColumn="1" showRowStripes="1"/>
</table>
</file>

<file path=xl/tables/table160.xml><?xml version="1.0" encoding="utf-8"?>
<table xmlns="http://schemas.openxmlformats.org/spreadsheetml/2006/main" headerRowCount="0" ref="A53:G54" displayName="Table_160" name="Table_160" id="160">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13" showColumnStripes="0" showFirstColumn="1" showLastColumn="1" showRowStripes="1"/>
</table>
</file>

<file path=xl/tables/table161.xml><?xml version="1.0" encoding="utf-8"?>
<table xmlns="http://schemas.openxmlformats.org/spreadsheetml/2006/main" headerRowCount="0" ref="B55:G64" displayName="Table_161" name="Table_161" id="161">
  <tableColumns count="6">
    <tableColumn name="Column1" id="1"/>
    <tableColumn name="Column2" id="2"/>
    <tableColumn name="Column3" id="3"/>
    <tableColumn name="Column4" id="4"/>
    <tableColumn name="Column5" id="5"/>
    <tableColumn name="Column6" id="6"/>
  </tableColumns>
  <tableStyleInfo name="Research Scope and Sequence-style 14" showColumnStripes="0" showFirstColumn="1" showLastColumn="1" showRowStripes="1"/>
</table>
</file>

<file path=xl/tables/table162.xml><?xml version="1.0" encoding="utf-8"?>
<table xmlns="http://schemas.openxmlformats.org/spreadsheetml/2006/main" headerRowCount="0" ref="A76:G79" displayName="Table_162" name="Table_162" id="162">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15" showColumnStripes="0" showFirstColumn="1" showLastColumn="1" showRowStripes="1"/>
</table>
</file>

<file path=xl/tables/table163.xml><?xml version="1.0" encoding="utf-8"?>
<table xmlns="http://schemas.openxmlformats.org/spreadsheetml/2006/main" headerRowCount="0" ref="A84:G85" displayName="Table_163" name="Table_163" id="163">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16" showColumnStripes="0" showFirstColumn="1" showLastColumn="1" showRowStripes="1"/>
</table>
</file>

<file path=xl/tables/table164.xml><?xml version="1.0" encoding="utf-8"?>
<table xmlns="http://schemas.openxmlformats.org/spreadsheetml/2006/main" headerRowCount="0" ref="B86:G87" displayName="Table_164" name="Table_164" id="164">
  <tableColumns count="6">
    <tableColumn name="Column1" id="1"/>
    <tableColumn name="Column2" id="2"/>
    <tableColumn name="Column3" id="3"/>
    <tableColumn name="Column4" id="4"/>
    <tableColumn name="Column5" id="5"/>
    <tableColumn name="Column6" id="6"/>
  </tableColumns>
  <tableStyleInfo name="Research Scope and Sequence-style 17" showColumnStripes="0" showFirstColumn="1" showLastColumn="1" showRowStripes="1"/>
</table>
</file>

<file path=xl/tables/table165.xml><?xml version="1.0" encoding="utf-8"?>
<table xmlns="http://schemas.openxmlformats.org/spreadsheetml/2006/main" headerRowCount="0" ref="A92:G93" displayName="Table_165" name="Table_165" id="165">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18" showColumnStripes="0" showFirstColumn="1" showLastColumn="1" showRowStripes="1"/>
</table>
</file>

<file path=xl/tables/table166.xml><?xml version="1.0" encoding="utf-8"?>
<table xmlns="http://schemas.openxmlformats.org/spreadsheetml/2006/main" headerRowCount="0" ref="B94:G99" displayName="Table_166" name="Table_166" id="166">
  <tableColumns count="6">
    <tableColumn name="Column1" id="1"/>
    <tableColumn name="Column2" id="2"/>
    <tableColumn name="Column3" id="3"/>
    <tableColumn name="Column4" id="4"/>
    <tableColumn name="Column5" id="5"/>
    <tableColumn name="Column6" id="6"/>
  </tableColumns>
  <tableStyleInfo name="Research Scope and Sequence-style 19" showColumnStripes="0" showFirstColumn="1" showLastColumn="1" showRowStripes="1"/>
</table>
</file>

<file path=xl/tables/table167.xml><?xml version="1.0" encoding="utf-8"?>
<table xmlns="http://schemas.openxmlformats.org/spreadsheetml/2006/main" headerRowCount="0" ref="A120:G121" displayName="Table_167" name="Table_167" id="167">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20" showColumnStripes="0" showFirstColumn="1" showLastColumn="1" showRowStripes="1"/>
</table>
</file>

<file path=xl/tables/table168.xml><?xml version="1.0" encoding="utf-8"?>
<table xmlns="http://schemas.openxmlformats.org/spreadsheetml/2006/main" headerRowCount="0" ref="B122:G123" displayName="Table_168" name="Table_168" id="168">
  <tableColumns count="6">
    <tableColumn name="Column1" id="1"/>
    <tableColumn name="Column2" id="2"/>
    <tableColumn name="Column3" id="3"/>
    <tableColumn name="Column4" id="4"/>
    <tableColumn name="Column5" id="5"/>
    <tableColumn name="Column6" id="6"/>
  </tableColumns>
  <tableStyleInfo name="Research Scope and Sequence-style 21" showColumnStripes="0" showFirstColumn="1" showLastColumn="1" showRowStripes="1"/>
</table>
</file>

<file path=xl/tables/table169.xml><?xml version="1.0" encoding="utf-8"?>
<table xmlns="http://schemas.openxmlformats.org/spreadsheetml/2006/main" headerRowCount="0" ref="A124:G129" displayName="Table_169" name="Table_169" id="169">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22" showColumnStripes="0" showFirstColumn="1" showLastColumn="1" showRowStripes="1"/>
</table>
</file>

<file path=xl/tables/table170.xml><?xml version="1.0" encoding="utf-8"?>
<table xmlns="http://schemas.openxmlformats.org/spreadsheetml/2006/main" headerRowCount="0" ref="B130:G138" displayName="Table_170" name="Table_170" id="170">
  <tableColumns count="6">
    <tableColumn name="Column1" id="1"/>
    <tableColumn name="Column2" id="2"/>
    <tableColumn name="Column3" id="3"/>
    <tableColumn name="Column4" id="4"/>
    <tableColumn name="Column5" id="5"/>
    <tableColumn name="Column6" id="6"/>
  </tableColumns>
  <tableStyleInfo name="Research Scope and Sequence-style 23" showColumnStripes="0" showFirstColumn="1" showLastColumn="1" showRowStripes="1"/>
</table>
</file>

<file path=xl/tables/table171.xml><?xml version="1.0" encoding="utf-8"?>
<table xmlns="http://schemas.openxmlformats.org/spreadsheetml/2006/main" headerRowCount="0" ref="A139:G141" displayName="Table_171" name="Table_171" id="171">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24" showColumnStripes="0" showFirstColumn="1" showLastColumn="1" showRowStripes="1"/>
</table>
</file>

<file path=xl/tables/table172.xml><?xml version="1.0" encoding="utf-8"?>
<table xmlns="http://schemas.openxmlformats.org/spreadsheetml/2006/main" headerRowCount="0" ref="F158:G159" displayName="Table_172" name="Table_172" id="172">
  <tableColumns count="2">
    <tableColumn name="Column1" id="1"/>
    <tableColumn name="Column2" id="2"/>
  </tableColumns>
  <tableStyleInfo name="Research Scope and Sequence-style 25" showColumnStripes="0" showFirstColumn="1" showLastColumn="1" showRowStripes="1"/>
</table>
</file>

<file path=xl/tables/table173.xml><?xml version="1.0" encoding="utf-8"?>
<table xmlns="http://schemas.openxmlformats.org/spreadsheetml/2006/main" headerRowCount="0" ref="B160:G161" displayName="Table_173" name="Table_173" id="173">
  <tableColumns count="6">
    <tableColumn name="Column1" id="1"/>
    <tableColumn name="Column2" id="2"/>
    <tableColumn name="Column3" id="3"/>
    <tableColumn name="Column4" id="4"/>
    <tableColumn name="Column5" id="5"/>
    <tableColumn name="Column6" id="6"/>
  </tableColumns>
  <tableStyleInfo name="Research Scope and Sequence-style 26" showColumnStripes="0" showFirstColumn="1" showLastColumn="1" showRowStripes="1"/>
</table>
</file>

<file path=xl/tables/table174.xml><?xml version="1.0" encoding="utf-8"?>
<table xmlns="http://schemas.openxmlformats.org/spreadsheetml/2006/main" headerRowCount="0" ref="A162:G164" displayName="Table_174" name="Table_174" id="174">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27" showColumnStripes="0" showFirstColumn="1" showLastColumn="1" showRowStripes="1"/>
</table>
</file>

<file path=xl/tables/table175.xml><?xml version="1.0" encoding="utf-8"?>
<table xmlns="http://schemas.openxmlformats.org/spreadsheetml/2006/main" headerRowCount="0" ref="F165:G166" displayName="Table_175" name="Table_175" id="175">
  <tableColumns count="2">
    <tableColumn name="Column1" id="1"/>
    <tableColumn name="Column2" id="2"/>
  </tableColumns>
  <tableStyleInfo name="Research Scope and Sequence-style 28" showColumnStripes="0" showFirstColumn="1" showLastColumn="1" showRowStripes="1"/>
</table>
</file>

<file path=xl/tables/table176.xml><?xml version="1.0" encoding="utf-8"?>
<table xmlns="http://schemas.openxmlformats.org/spreadsheetml/2006/main" headerRowCount="0" ref="B167:G175" displayName="Table_176" name="Table_176" id="176">
  <tableColumns count="6">
    <tableColumn name="Column1" id="1"/>
    <tableColumn name="Column2" id="2"/>
    <tableColumn name="Column3" id="3"/>
    <tableColumn name="Column4" id="4"/>
    <tableColumn name="Column5" id="5"/>
    <tableColumn name="Column6" id="6"/>
  </tableColumns>
  <tableStyleInfo name="Research Scope and Sequence-style 29" showColumnStripes="0" showFirstColumn="1" showLastColumn="1" showRowStripes="1"/>
</table>
</file>

<file path=xl/tables/table177.xml><?xml version="1.0" encoding="utf-8"?>
<table xmlns="http://schemas.openxmlformats.org/spreadsheetml/2006/main" headerRowCount="0" ref="A176:G178" displayName="Table_177" name="Table_177" id="177">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30" showColumnStripes="0" showFirstColumn="1" showLastColumn="1" showRowStripes="1"/>
</table>
</file>

<file path=xl/tables/table178.xml><?xml version="1.0" encoding="utf-8"?>
<table xmlns="http://schemas.openxmlformats.org/spreadsheetml/2006/main" headerRowCount="0" ref="B195:B196" displayName="Table_178" name="Table_178" id="178">
  <tableColumns count="1">
    <tableColumn name="Column1" id="1"/>
  </tableColumns>
  <tableStyleInfo name="Research Scope and Sequence-style 31" showColumnStripes="0" showFirstColumn="1" showLastColumn="1" showRowStripes="1"/>
</table>
</file>

<file path=xl/tables/table179.xml><?xml version="1.0" encoding="utf-8"?>
<table xmlns="http://schemas.openxmlformats.org/spreadsheetml/2006/main" headerRowCount="0" ref="F195:G196" displayName="Table_179" name="Table_179" id="179">
  <tableColumns count="2">
    <tableColumn name="Column1" id="1"/>
    <tableColumn name="Column2" id="2"/>
  </tableColumns>
  <tableStyleInfo name="Research Scope and Sequence-style 32" showColumnStripes="0" showFirstColumn="1" showLastColumn="1" showRowStripes="1"/>
</table>
</file>

<file path=xl/tables/table180.xml><?xml version="1.0" encoding="utf-8"?>
<table xmlns="http://schemas.openxmlformats.org/spreadsheetml/2006/main" headerRowCount="0" ref="B197:G198" displayName="Table_180" name="Table_180" id="180">
  <tableColumns count="6">
    <tableColumn name="Column1" id="1"/>
    <tableColumn name="Column2" id="2"/>
    <tableColumn name="Column3" id="3"/>
    <tableColumn name="Column4" id="4"/>
    <tableColumn name="Column5" id="5"/>
    <tableColumn name="Column6" id="6"/>
  </tableColumns>
  <tableStyleInfo name="Research Scope and Sequence-style 33" showColumnStripes="0" showFirstColumn="1" showLastColumn="1" showRowStripes="1"/>
</table>
</file>

<file path=xl/tables/table181.xml><?xml version="1.0" encoding="utf-8"?>
<table xmlns="http://schemas.openxmlformats.org/spreadsheetml/2006/main" headerRowCount="0" ref="F204:G205" displayName="Table_181" name="Table_181" id="181">
  <tableColumns count="2">
    <tableColumn name="Column1" id="1"/>
    <tableColumn name="Column2" id="2"/>
  </tableColumns>
  <tableStyleInfo name="Research Scope and Sequence-style 34" showColumnStripes="0" showFirstColumn="1" showLastColumn="1" showRowStripes="1"/>
</table>
</file>

<file path=xl/tables/table182.xml><?xml version="1.0" encoding="utf-8"?>
<table xmlns="http://schemas.openxmlformats.org/spreadsheetml/2006/main" headerRowCount="0" ref="B206:G214" displayName="Table_182" name="Table_182" id="182">
  <tableColumns count="6">
    <tableColumn name="Column1" id="1"/>
    <tableColumn name="Column2" id="2"/>
    <tableColumn name="Column3" id="3"/>
    <tableColumn name="Column4" id="4"/>
    <tableColumn name="Column5" id="5"/>
    <tableColumn name="Column6" id="6"/>
  </tableColumns>
  <tableStyleInfo name="Research Scope and Sequence-style 35" showColumnStripes="0" showFirstColumn="1" showLastColumn="1" showRowStripes="1"/>
</table>
</file>

<file path=xl/tables/table183.xml><?xml version="1.0" encoding="utf-8"?>
<table xmlns="http://schemas.openxmlformats.org/spreadsheetml/2006/main" headerRowCount="0" ref="A215:G218" displayName="Table_183" name="Table_183" id="183">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36" showColumnStripes="0" showFirstColumn="1" showLastColumn="1" showRowStripes="1"/>
</table>
</file>

<file path=xl/tables/table184.xml><?xml version="1.0" encoding="utf-8"?>
<table xmlns="http://schemas.openxmlformats.org/spreadsheetml/2006/main" headerRowCount="0" ref="A227:G230" displayName="Table_184" name="Table_184" id="184">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37" showColumnStripes="0" showFirstColumn="1" showLastColumn="1" showRowStripes="1"/>
</table>
</file>

<file path=xl/tables/table185.xml><?xml version="1.0" encoding="utf-8"?>
<table xmlns="http://schemas.openxmlformats.org/spreadsheetml/2006/main" headerRowCount="0" ref="B235:B236" displayName="Table_185" name="Table_185" id="185">
  <tableColumns count="1">
    <tableColumn name="Column1" id="1"/>
  </tableColumns>
  <tableStyleInfo name="Research Scope and Sequence-style 38" showColumnStripes="0" showFirstColumn="1" showLastColumn="1" showRowStripes="1"/>
</table>
</file>

<file path=xl/tables/table186.xml><?xml version="1.0" encoding="utf-8"?>
<table xmlns="http://schemas.openxmlformats.org/spreadsheetml/2006/main" headerRowCount="0" ref="F235:G236" displayName="Table_186" name="Table_186" id="186">
  <tableColumns count="2">
    <tableColumn name="Column1" id="1"/>
    <tableColumn name="Column2" id="2"/>
  </tableColumns>
  <tableStyleInfo name="Research Scope and Sequence-style 39" showColumnStripes="0" showFirstColumn="1" showLastColumn="1" showRowStripes="1"/>
</table>
</file>

<file path=xl/tables/table187.xml><?xml version="1.0" encoding="utf-8"?>
<table xmlns="http://schemas.openxmlformats.org/spreadsheetml/2006/main" headerRowCount="0" ref="A237" displayName="Table_187" name="Table_187" id="187">
  <tableColumns count="1">
    <tableColumn name="Column1" id="1"/>
  </tableColumns>
  <tableStyleInfo name="Research Scope and Sequence-style 40" showColumnStripes="0" showFirstColumn="1" showLastColumn="1" showRowStripes="1"/>
</table>
</file>

<file path=xl/tables/table188.xml><?xml version="1.0" encoding="utf-8"?>
<table xmlns="http://schemas.openxmlformats.org/spreadsheetml/2006/main" headerRowCount="0" ref="B237:G238" displayName="Table_188" name="Table_188" id="188">
  <tableColumns count="6">
    <tableColumn name="Column1" id="1"/>
    <tableColumn name="Column2" id="2"/>
    <tableColumn name="Column3" id="3"/>
    <tableColumn name="Column4" id="4"/>
    <tableColumn name="Column5" id="5"/>
    <tableColumn name="Column6" id="6"/>
  </tableColumns>
  <tableStyleInfo name="Research Scope and Sequence-style 41" showColumnStripes="0" showFirstColumn="1" showLastColumn="1" showRowStripes="1"/>
</table>
</file>

<file path=xl/tables/table189.xml><?xml version="1.0" encoding="utf-8"?>
<table xmlns="http://schemas.openxmlformats.org/spreadsheetml/2006/main" headerRowCount="0" ref="A239:G240" displayName="Table_189" name="Table_189" id="189">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2" showColumnStripes="0" showFirstColumn="1" showLastColumn="1" showRowStripes="1"/>
</table>
</file>

<file path=xl/tables/table190.xml><?xml version="1.0" encoding="utf-8"?>
<table xmlns="http://schemas.openxmlformats.org/spreadsheetml/2006/main" headerRowCount="0" ref="A241:G242" displayName="Table_190" name="Table_190" id="190">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3" showColumnStripes="0" showFirstColumn="1" showLastColumn="1" showRowStripes="1"/>
</table>
</file>

<file path=xl/tables/table191.xml><?xml version="1.0" encoding="utf-8"?>
<table xmlns="http://schemas.openxmlformats.org/spreadsheetml/2006/main" headerRowCount="0" ref="F243:G244" displayName="Table_191" name="Table_191" id="191">
  <tableColumns count="2">
    <tableColumn name="Column1" id="1"/>
    <tableColumn name="Column2" id="2"/>
  </tableColumns>
  <tableStyleInfo name="Research Scope and Sequence-style 44" showColumnStripes="0" showFirstColumn="1" showLastColumn="1" showRowStripes="1"/>
</table>
</file>

<file path=xl/tables/table192.xml><?xml version="1.0" encoding="utf-8"?>
<table xmlns="http://schemas.openxmlformats.org/spreadsheetml/2006/main" headerRowCount="0" ref="B245:G253" displayName="Table_192" name="Table_192" id="192">
  <tableColumns count="6">
    <tableColumn name="Column1" id="1"/>
    <tableColumn name="Column2" id="2"/>
    <tableColumn name="Column3" id="3"/>
    <tableColumn name="Column4" id="4"/>
    <tableColumn name="Column5" id="5"/>
    <tableColumn name="Column6" id="6"/>
  </tableColumns>
  <tableStyleInfo name="Research Scope and Sequence-style 45" showColumnStripes="0" showFirstColumn="1" showLastColumn="1" showRowStripes="1"/>
</table>
</file>

<file path=xl/tables/table193.xml><?xml version="1.0" encoding="utf-8"?>
<table xmlns="http://schemas.openxmlformats.org/spreadsheetml/2006/main" headerRowCount="0" ref="A254:G256" displayName="Table_193" name="Table_193" id="193">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6" showColumnStripes="0" showFirstColumn="1" showLastColumn="1" showRowStripes="1"/>
</table>
</file>

<file path=xl/tables/table194.xml><?xml version="1.0" encoding="utf-8"?>
<table xmlns="http://schemas.openxmlformats.org/spreadsheetml/2006/main" headerRowCount="0" ref="A257:G263" displayName="Table_194" name="Table_194" id="194">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7" showColumnStripes="0" showFirstColumn="1" showLastColumn="1" showRowStripes="1"/>
</table>
</file>

<file path=xl/tables/table195.xml><?xml version="1.0" encoding="utf-8"?>
<table xmlns="http://schemas.openxmlformats.org/spreadsheetml/2006/main" headerRowCount="0" ref="A264:G277" displayName="Table_195" name="Table_195" id="195">
  <tableColumns count="7">
    <tableColumn name="Column1" id="1"/>
    <tableColumn name="Column2" id="2"/>
    <tableColumn name="Column3" id="3"/>
    <tableColumn name="Column4" id="4"/>
    <tableColumn name="Column5" id="5"/>
    <tableColumn name="Column6" id="6"/>
    <tableColumn name="Column7" id="7"/>
  </tableColumns>
  <tableStyleInfo name="Research Scope and Sequence-style 48" showColumnStripes="0" showFirstColumn="1" showLastColumn="1" showRowStripes="1"/>
</table>
</file>

<file path=xl/tables/table196.xml><?xml version="1.0" encoding="utf-8"?>
<table xmlns="http://schemas.openxmlformats.org/spreadsheetml/2006/main" headerRowCount="0" ref="H14:H15" displayName="Table_196" name="Table_196" id="196">
  <tableColumns count="1">
    <tableColumn name="Column1" id="1"/>
  </tableColumns>
  <tableStyleInfo name="Grammar Scope and Sequence-style" showColumnStripes="0" showFirstColumn="1" showLastColumn="1" showRowStripes="1"/>
</table>
</file>

<file path=xl/tables/table197.xml><?xml version="1.0" encoding="utf-8"?>
<table xmlns="http://schemas.openxmlformats.org/spreadsheetml/2006/main" headerRowCount="0" ref="B16:J18" displayName="Table_197" name="Table_197" id="19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 showColumnStripes="0" showFirstColumn="1" showLastColumn="1" showRowStripes="1"/>
</table>
</file>

<file path=xl/tables/table198.xml><?xml version="1.0" encoding="utf-8"?>
<table xmlns="http://schemas.openxmlformats.org/spreadsheetml/2006/main" headerRowCount="0" ref="A19:J22" displayName="Table_198" name="Table_198" id="19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3" showColumnStripes="0" showFirstColumn="1" showLastColumn="1" showRowStripes="1"/>
</table>
</file>

<file path=xl/tables/table199.xml><?xml version="1.0" encoding="utf-8"?>
<table xmlns="http://schemas.openxmlformats.org/spreadsheetml/2006/main" headerRowCount="0" ref="A23:J23" displayName="Table_199" name="Table_199" id="19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4" showColumnStripes="0" showFirstColumn="1" showLastColumn="1" showRowStripes="1"/>
</table>
</file>

<file path=xl/tables/table200.xml><?xml version="1.0" encoding="utf-8"?>
<table xmlns="http://schemas.openxmlformats.org/spreadsheetml/2006/main" headerRowCount="0" ref="B25:J28" displayName="Table_200" name="Table_200" id="20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5" showColumnStripes="0" showFirstColumn="1" showLastColumn="1" showRowStripes="1"/>
</table>
</file>

<file path=xl/tables/table201.xml><?xml version="1.0" encoding="utf-8"?>
<table xmlns="http://schemas.openxmlformats.org/spreadsheetml/2006/main" headerRowCount="0" ref="A29:J32" displayName="Table_201" name="Table_201" id="20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6" showColumnStripes="0" showFirstColumn="1" showLastColumn="1" showRowStripes="1"/>
</table>
</file>

<file path=xl/tables/table202.xml><?xml version="1.0" encoding="utf-8"?>
<table xmlns="http://schemas.openxmlformats.org/spreadsheetml/2006/main" headerRowCount="0" ref="A33:J33" displayName="Table_202" name="Table_202" id="20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7" showColumnStripes="0" showFirstColumn="1" showLastColumn="1" showRowStripes="1"/>
</table>
</file>

<file path=xl/tables/table203.xml><?xml version="1.0" encoding="utf-8"?>
<table xmlns="http://schemas.openxmlformats.org/spreadsheetml/2006/main" headerRowCount="0" ref="B35:J39" displayName="Table_203" name="Table_203" id="20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8" showColumnStripes="0" showFirstColumn="1" showLastColumn="1" showRowStripes="1"/>
</table>
</file>

<file path=xl/tables/table204.xml><?xml version="1.0" encoding="utf-8"?>
<table xmlns="http://schemas.openxmlformats.org/spreadsheetml/2006/main" headerRowCount="0" ref="A46:J46" displayName="Table_204" name="Table_204" id="20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9" showColumnStripes="0" showFirstColumn="1" showLastColumn="1" showRowStripes="1"/>
</table>
</file>

<file path=xl/tables/table205.xml><?xml version="1.0" encoding="utf-8"?>
<table xmlns="http://schemas.openxmlformats.org/spreadsheetml/2006/main" headerRowCount="0" ref="B48:J50" displayName="Table_205" name="Table_205" id="20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10" showColumnStripes="0" showFirstColumn="1" showLastColumn="1" showRowStripes="1"/>
</table>
</file>

<file path=xl/tables/table206.xml><?xml version="1.0" encoding="utf-8"?>
<table xmlns="http://schemas.openxmlformats.org/spreadsheetml/2006/main" headerRowCount="0" ref="A56:J56" displayName="Table_206" name="Table_206" id="20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11" showColumnStripes="0" showFirstColumn="1" showLastColumn="1" showRowStripes="1"/>
</table>
</file>

<file path=xl/tables/table207.xml><?xml version="1.0" encoding="utf-8"?>
<table xmlns="http://schemas.openxmlformats.org/spreadsheetml/2006/main" headerRowCount="0" ref="B58:J59" displayName="Table_207" name="Table_207" id="20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12" showColumnStripes="0" showFirstColumn="1" showLastColumn="1" showRowStripes="1"/>
</table>
</file>

<file path=xl/tables/table208.xml><?xml version="1.0" encoding="utf-8"?>
<table xmlns="http://schemas.openxmlformats.org/spreadsheetml/2006/main" headerRowCount="0" ref="A82:J82" displayName="Table_208" name="Table_208" id="20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13" showColumnStripes="0" showFirstColumn="1" showLastColumn="1" showRowStripes="1"/>
</table>
</file>

<file path=xl/tables/table209.xml><?xml version="1.0" encoding="utf-8"?>
<table xmlns="http://schemas.openxmlformats.org/spreadsheetml/2006/main" headerRowCount="0" ref="B84:J86" displayName="Table_209" name="Table_209" id="20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14" showColumnStripes="0" showFirstColumn="1" showLastColumn="1" showRowStripes="1"/>
</table>
</file>

<file path=xl/tables/table210.xml><?xml version="1.0" encoding="utf-8"?>
<table xmlns="http://schemas.openxmlformats.org/spreadsheetml/2006/main" headerRowCount="0" ref="A92:J92" displayName="Table_210" name="Table_210" id="2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15" showColumnStripes="0" showFirstColumn="1" showLastColumn="1" showRowStripes="1"/>
</table>
</file>

<file path=xl/tables/table211.xml><?xml version="1.0" encoding="utf-8"?>
<table xmlns="http://schemas.openxmlformats.org/spreadsheetml/2006/main" headerRowCount="0" ref="B94:J95" displayName="Table_211" name="Table_211" id="2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16" showColumnStripes="0" showFirstColumn="1" showLastColumn="1" showRowStripes="1"/>
</table>
</file>

<file path=xl/tables/table212.xml><?xml version="1.0" encoding="utf-8"?>
<table xmlns="http://schemas.openxmlformats.org/spreadsheetml/2006/main" headerRowCount="0" ref="A121:J121" displayName="Table_212" name="Table_212" id="21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17" showColumnStripes="0" showFirstColumn="1" showLastColumn="1" showRowStripes="1"/>
</table>
</file>

<file path=xl/tables/table213.xml><?xml version="1.0" encoding="utf-8"?>
<table xmlns="http://schemas.openxmlformats.org/spreadsheetml/2006/main" headerRowCount="0" ref="B123:J126" displayName="Table_213" name="Table_213" id="2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18" showColumnStripes="0" showFirstColumn="1" showLastColumn="1" showRowStripes="1"/>
</table>
</file>

<file path=xl/tables/table214.xml><?xml version="1.0" encoding="utf-8"?>
<table xmlns="http://schemas.openxmlformats.org/spreadsheetml/2006/main" headerRowCount="0" ref="H133:H134" displayName="Table_214" name="Table_214" id="214">
  <tableColumns count="1">
    <tableColumn name="Column1" id="1"/>
  </tableColumns>
  <tableStyleInfo name="Grammar Scope and Sequence-style 19" showColumnStripes="0" showFirstColumn="1" showLastColumn="1" showRowStripes="1"/>
</table>
</file>

<file path=xl/tables/table215.xml><?xml version="1.0" encoding="utf-8"?>
<table xmlns="http://schemas.openxmlformats.org/spreadsheetml/2006/main" headerRowCount="0" ref="B135:J136" displayName="Table_215" name="Table_215" id="2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0" showColumnStripes="0" showFirstColumn="1" showLastColumn="1" showRowStripes="1"/>
</table>
</file>

<file path=xl/tables/table216.xml><?xml version="1.0" encoding="utf-8"?>
<table xmlns="http://schemas.openxmlformats.org/spreadsheetml/2006/main" headerRowCount="0" ref="F159:J159" displayName="Table_216" name="Table_216" id="216">
  <tableColumns count="5">
    <tableColumn name="Column1" id="1"/>
    <tableColumn name="Column2" id="2"/>
    <tableColumn name="Column3" id="3"/>
    <tableColumn name="Column4" id="4"/>
    <tableColumn name="Column5" id="5"/>
  </tableColumns>
  <tableStyleInfo name="Grammar Scope and Sequence-style 21" showColumnStripes="0" showFirstColumn="1" showLastColumn="1" showRowStripes="1"/>
</table>
</file>

<file path=xl/tables/table217.xml><?xml version="1.0" encoding="utf-8"?>
<table xmlns="http://schemas.openxmlformats.org/spreadsheetml/2006/main" headerRowCount="0" ref="B161:J164" displayName="Table_217" name="Table_217" id="2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2" showColumnStripes="0" showFirstColumn="1" showLastColumn="1" showRowStripes="1"/>
</table>
</file>

<file path=xl/tables/table218.xml><?xml version="1.0" encoding="utf-8"?>
<table xmlns="http://schemas.openxmlformats.org/spreadsheetml/2006/main" headerRowCount="0" ref="F171:J171" displayName="Table_218" name="Table_218" id="218">
  <tableColumns count="5">
    <tableColumn name="Column1" id="1"/>
    <tableColumn name="Column2" id="2"/>
    <tableColumn name="Column3" id="3"/>
    <tableColumn name="Column4" id="4"/>
    <tableColumn name="Column5" id="5"/>
  </tableColumns>
  <tableStyleInfo name="Grammar Scope and Sequence-style 23" showColumnStripes="0" showFirstColumn="1" showLastColumn="1" showRowStripes="1"/>
</table>
</file>

<file path=xl/tables/table219.xml><?xml version="1.0" encoding="utf-8"?>
<table xmlns="http://schemas.openxmlformats.org/spreadsheetml/2006/main" headerRowCount="0" ref="B173:J174" displayName="Table_219" name="Table_219" id="2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4" showColumnStripes="0" showFirstColumn="1" showLastColumn="1" showRowStripes="1"/>
</table>
</file>

<file path=xl/tables/table220.xml><?xml version="1.0" encoding="utf-8"?>
<table xmlns="http://schemas.openxmlformats.org/spreadsheetml/2006/main" headerRowCount="0" ref="F197:J197" displayName="Table_220" name="Table_220" id="220">
  <tableColumns count="5">
    <tableColumn name="Column1" id="1"/>
    <tableColumn name="Column2" id="2"/>
    <tableColumn name="Column3" id="3"/>
    <tableColumn name="Column4" id="4"/>
    <tableColumn name="Column5" id="5"/>
  </tableColumns>
  <tableStyleInfo name="Grammar Scope and Sequence-style 25" showColumnStripes="0" showFirstColumn="1" showLastColumn="1" showRowStripes="1"/>
</table>
</file>

<file path=xl/tables/table221.xml><?xml version="1.0" encoding="utf-8"?>
<table xmlns="http://schemas.openxmlformats.org/spreadsheetml/2006/main" headerRowCount="0" ref="B199:J201" displayName="Table_221" name="Table_221" id="2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6" showColumnStripes="0" showFirstColumn="1" showLastColumn="1" showRowStripes="1"/>
</table>
</file>

<file path=xl/tables/table222.xml><?xml version="1.0" encoding="utf-8"?>
<table xmlns="http://schemas.openxmlformats.org/spreadsheetml/2006/main" headerRowCount="0" ref="F207:J207" displayName="Table_222" name="Table_222" id="222">
  <tableColumns count="5">
    <tableColumn name="Column1" id="1"/>
    <tableColumn name="Column2" id="2"/>
    <tableColumn name="Column3" id="3"/>
    <tableColumn name="Column4" id="4"/>
    <tableColumn name="Column5" id="5"/>
  </tableColumns>
  <tableStyleInfo name="Grammar Scope and Sequence-style 27" showColumnStripes="0" showFirstColumn="1" showLastColumn="1" showRowStripes="1"/>
</table>
</file>

<file path=xl/tables/table223.xml><?xml version="1.0" encoding="utf-8"?>
<table xmlns="http://schemas.openxmlformats.org/spreadsheetml/2006/main" headerRowCount="0" ref="B209:J210" displayName="Table_223" name="Table_223" id="2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28" showColumnStripes="0" showFirstColumn="1" showLastColumn="1" showRowStripes="1"/>
</table>
</file>

<file path=xl/tables/table224.xml><?xml version="1.0" encoding="utf-8"?>
<table xmlns="http://schemas.openxmlformats.org/spreadsheetml/2006/main" headerRowCount="0" ref="A221:J223" displayName="Table_224" name="Table_224" id="22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29" showColumnStripes="0" showFirstColumn="1" showLastColumn="1" showRowStripes="1"/>
</table>
</file>

<file path=xl/tables/table225.xml><?xml version="1.0" encoding="utf-8"?>
<table xmlns="http://schemas.openxmlformats.org/spreadsheetml/2006/main" headerRowCount="0" ref="F230:J230" displayName="Table_225" name="Table_225" id="225">
  <tableColumns count="5">
    <tableColumn name="Column1" id="1"/>
    <tableColumn name="Column2" id="2"/>
    <tableColumn name="Column3" id="3"/>
    <tableColumn name="Column4" id="4"/>
    <tableColumn name="Column5" id="5"/>
  </tableColumns>
  <tableStyleInfo name="Grammar Scope and Sequence-style 30" showColumnStripes="0" showFirstColumn="1" showLastColumn="1" showRowStripes="1"/>
</table>
</file>

<file path=xl/tables/table226.xml><?xml version="1.0" encoding="utf-8"?>
<table xmlns="http://schemas.openxmlformats.org/spreadsheetml/2006/main" headerRowCount="0" ref="B232:J234" displayName="Table_226" name="Table_226" id="22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31" showColumnStripes="0" showFirstColumn="1" showLastColumn="1" showRowStripes="1"/>
</table>
</file>

<file path=xl/tables/table227.xml><?xml version="1.0" encoding="utf-8"?>
<table xmlns="http://schemas.openxmlformats.org/spreadsheetml/2006/main" headerRowCount="0" ref="F240:J240" displayName="Table_227" name="Table_227" id="227">
  <tableColumns count="5">
    <tableColumn name="Column1" id="1"/>
    <tableColumn name="Column2" id="2"/>
    <tableColumn name="Column3" id="3"/>
    <tableColumn name="Column4" id="4"/>
    <tableColumn name="Column5" id="5"/>
  </tableColumns>
  <tableStyleInfo name="Grammar Scope and Sequence-style 32" showColumnStripes="0" showFirstColumn="1" showLastColumn="1" showRowStripes="1"/>
</table>
</file>

<file path=xl/tables/table228.xml><?xml version="1.0" encoding="utf-8"?>
<table xmlns="http://schemas.openxmlformats.org/spreadsheetml/2006/main" headerRowCount="0" ref="B242:J243" displayName="Table_228" name="Table_228" id="2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rammar Scope and Sequence-style 33" showColumnStripes="0" showFirstColumn="1" showLastColumn="1" showRowStripes="1"/>
</table>
</file>

<file path=xl/tables/table229.xml><?xml version="1.0" encoding="utf-8"?>
<table xmlns="http://schemas.openxmlformats.org/spreadsheetml/2006/main" headerRowCount="0" ref="A254:J256" displayName="Table_229" name="Table_229" id="22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rammar Scope and Sequence-style 34" showColumnStripes="0" showFirstColumn="1" showLastColumn="1" showRowStripes="1"/>
</table>
</file>

<file path=xl/tables/table230.xml><?xml version="1.0" encoding="utf-8"?>
<table xmlns="http://schemas.openxmlformats.org/spreadsheetml/2006/main" headerRowCount="0" ref="D14:G18" displayName="Table_230" name="Table_230" id="230">
  <tableColumns count="4">
    <tableColumn name="Column1" id="1"/>
    <tableColumn name="Column2" id="2"/>
    <tableColumn name="Column3" id="3"/>
    <tableColumn name="Column4" id="4"/>
  </tableColumns>
  <tableStyleInfo name="1.k Grammar Scope and Sequence-style" showColumnStripes="0" showFirstColumn="1" showLastColumn="1" showRowStripes="1"/>
</table>
</file>

<file path=xl/tables/table231.xml><?xml version="1.0" encoding="utf-8"?>
<table xmlns="http://schemas.openxmlformats.org/spreadsheetml/2006/main" headerRowCount="0" ref="F19:I19" displayName="Table_231" name="Table_231" id="231">
  <tableColumns count="4">
    <tableColumn name="Column1" id="1"/>
    <tableColumn name="Column2" id="2"/>
    <tableColumn name="Column3" id="3"/>
    <tableColumn name="Column4" id="4"/>
  </tableColumns>
  <tableStyleInfo name="1.k Grammar Scope and Sequenc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earn.thinkcerca.com/teacher/lessons-and-units/courses/6-12-foundational-reading-and-linguistics/units/71" TargetMode="External"/><Relationship Id="rId10" Type="http://schemas.openxmlformats.org/officeDocument/2006/relationships/hyperlink" Target="https://docs.google.com/spreadsheets/d/1GSu6opav1mf0IMaDHKFTwvuAKFZKPDysz8jA8YtV98c/edit?gid=1178380131" TargetMode="External"/><Relationship Id="rId13" Type="http://schemas.openxmlformats.org/officeDocument/2006/relationships/hyperlink" Target="https://learn.thinkcerca.com/teacher/lessons-and-units/courses/6-12-foundational-reading-and-linguistics/units/142" TargetMode="External"/><Relationship Id="rId12" Type="http://schemas.openxmlformats.org/officeDocument/2006/relationships/hyperlink" Target="https://learn.thinkcerca.com/teacher/lessons-and-units/courses/6-12-foundational-reading-and-linguistics/units/139" TargetMode="External"/><Relationship Id="rId1" Type="http://schemas.openxmlformats.org/officeDocument/2006/relationships/hyperlink" Target="https://docs.google.com/document/d/1lKdi9yXtUSzsWz1E8FzmVErx5VA9X_f9wqy9ZpswXcE/edit?usp=sharing" TargetMode="External"/><Relationship Id="rId2" Type="http://schemas.openxmlformats.org/officeDocument/2006/relationships/hyperlink" Target="https://www.thinkcerca.com/best-practices" TargetMode="External"/><Relationship Id="rId3" Type="http://schemas.openxmlformats.org/officeDocument/2006/relationships/hyperlink" Target="https://hubs.ly/Q02FptkR0" TargetMode="External"/><Relationship Id="rId4" Type="http://schemas.openxmlformats.org/officeDocument/2006/relationships/hyperlink" Target="https://docs.google.com/presentation/d/1kk-wmr0IlBVbZvdcy8nEz_oKeL-OwohfKlJQGRbIrRg/edit" TargetMode="External"/><Relationship Id="rId9" Type="http://schemas.openxmlformats.org/officeDocument/2006/relationships/hyperlink" Target="https://docs.google.com/spreadsheets/d/1GSu6opav1mf0IMaDHKFTwvuAKFZKPDysz8jA8YtV98c/edit?gid=950662777" TargetMode="External"/><Relationship Id="rId14" Type="http://schemas.openxmlformats.org/officeDocument/2006/relationships/drawing" Target="../drawings/drawing1.xml"/><Relationship Id="rId17" Type="http://schemas.openxmlformats.org/officeDocument/2006/relationships/table" Target="../tables/table1.xml"/><Relationship Id="rId5" Type="http://schemas.openxmlformats.org/officeDocument/2006/relationships/hyperlink" Target="https://hubs.ly/Q02Fpth60" TargetMode="External"/><Relationship Id="rId6" Type="http://schemas.openxmlformats.org/officeDocument/2006/relationships/hyperlink" Target="https://www.thinkcerca.com/coreela-6" TargetMode="External"/><Relationship Id="rId18" Type="http://schemas.openxmlformats.org/officeDocument/2006/relationships/table" Target="../tables/table2.xml"/><Relationship Id="rId7" Type="http://schemas.openxmlformats.org/officeDocument/2006/relationships/hyperlink" Target="https://learn.thinkcerca.com/teacher/lessons-and-units/courses/6-12-foundational-reading-and-linguistics" TargetMode="External"/><Relationship Id="rId8" Type="http://schemas.openxmlformats.org/officeDocument/2006/relationships/hyperlink" Target="https://docs.google.com/spreadsheets/d/1-hqBX-rXPTXbjUZ6TvybcGFEqrT5mwP3hZpf77oQCVY/edit?gid=92069958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7.xml"/><Relationship Id="rId42" Type="http://schemas.openxmlformats.org/officeDocument/2006/relationships/table" Target="../tables/table19.xml"/><Relationship Id="rId41" Type="http://schemas.openxmlformats.org/officeDocument/2006/relationships/table" Target="../tables/table18.xml"/><Relationship Id="rId44" Type="http://schemas.openxmlformats.org/officeDocument/2006/relationships/table" Target="../tables/table21.xml"/><Relationship Id="rId43" Type="http://schemas.openxmlformats.org/officeDocument/2006/relationships/table" Target="../tables/table20.xml"/><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hyperlink" Target="https://www.thinkcerca.com/best-practices" TargetMode="External"/><Relationship Id="rId2" Type="http://schemas.openxmlformats.org/officeDocument/2006/relationships/hyperlink" Target="https://docs.google.com/presentation/d/1kk-wmr0IlBVbZvdcy8nEz_oKeL-OwohfKlJQGRbIrRg/edit" TargetMode="External"/><Relationship Id="rId3" Type="http://schemas.openxmlformats.org/officeDocument/2006/relationships/drawing" Target="../drawings/drawing3.xml"/><Relationship Id="rId26" Type="http://schemas.openxmlformats.org/officeDocument/2006/relationships/table" Target="../tables/table3.xml"/><Relationship Id="rId47" Type="http://schemas.openxmlformats.org/officeDocument/2006/relationships/table" Target="../tables/table24.xml"/><Relationship Id="rId28" Type="http://schemas.openxmlformats.org/officeDocument/2006/relationships/table" Target="../tables/table5.xml"/><Relationship Id="rId27" Type="http://schemas.openxmlformats.org/officeDocument/2006/relationships/table" Target="../tables/table4.xml"/><Relationship Id="rId29" Type="http://schemas.openxmlformats.org/officeDocument/2006/relationships/table" Target="../tables/table6.xml"/><Relationship Id="rId31" Type="http://schemas.openxmlformats.org/officeDocument/2006/relationships/table" Target="../tables/table8.xml"/><Relationship Id="rId30" Type="http://schemas.openxmlformats.org/officeDocument/2006/relationships/table" Target="../tables/table7.xml"/><Relationship Id="rId33" Type="http://schemas.openxmlformats.org/officeDocument/2006/relationships/table" Target="../tables/table10.xml"/><Relationship Id="rId32" Type="http://schemas.openxmlformats.org/officeDocument/2006/relationships/table" Target="../tables/table9.xml"/><Relationship Id="rId35" Type="http://schemas.openxmlformats.org/officeDocument/2006/relationships/table" Target="../tables/table12.xml"/><Relationship Id="rId34" Type="http://schemas.openxmlformats.org/officeDocument/2006/relationships/table" Target="../tables/table11.xml"/><Relationship Id="rId37" Type="http://schemas.openxmlformats.org/officeDocument/2006/relationships/table" Target="../tables/table14.xml"/><Relationship Id="rId36" Type="http://schemas.openxmlformats.org/officeDocument/2006/relationships/table" Target="../tables/table13.xml"/><Relationship Id="rId39" Type="http://schemas.openxmlformats.org/officeDocument/2006/relationships/table" Target="../tables/table16.xml"/><Relationship Id="rId38" Type="http://schemas.openxmlformats.org/officeDocument/2006/relationships/table" Target="../tables/table15.xml"/></Relationships>
</file>

<file path=xl/worksheets/_rels/sheet4.xml.rels><?xml version="1.0" encoding="UTF-8" standalone="yes"?><Relationships xmlns="http://schemas.openxmlformats.org/package/2006/relationships"><Relationship Id="rId190" Type="http://schemas.openxmlformats.org/officeDocument/2006/relationships/table" Target="../tables/table85.xml"/><Relationship Id="rId194" Type="http://schemas.openxmlformats.org/officeDocument/2006/relationships/table" Target="../tables/table89.xml"/><Relationship Id="rId193" Type="http://schemas.openxmlformats.org/officeDocument/2006/relationships/table" Target="../tables/table88.xml"/><Relationship Id="rId192" Type="http://schemas.openxmlformats.org/officeDocument/2006/relationships/table" Target="../tables/table87.xml"/><Relationship Id="rId191" Type="http://schemas.openxmlformats.org/officeDocument/2006/relationships/table" Target="../tables/table86.xml"/><Relationship Id="rId228" Type="http://schemas.openxmlformats.org/officeDocument/2006/relationships/table" Target="../tables/table123.xml"/><Relationship Id="rId227" Type="http://schemas.openxmlformats.org/officeDocument/2006/relationships/table" Target="../tables/table122.xml"/><Relationship Id="rId226" Type="http://schemas.openxmlformats.org/officeDocument/2006/relationships/table" Target="../tables/table121.xml"/><Relationship Id="rId225" Type="http://schemas.openxmlformats.org/officeDocument/2006/relationships/table" Target="../tables/table120.xml"/><Relationship Id="rId229" Type="http://schemas.openxmlformats.org/officeDocument/2006/relationships/table" Target="../tables/table124.xml"/><Relationship Id="rId187" Type="http://schemas.openxmlformats.org/officeDocument/2006/relationships/table" Target="../tables/table82.xml"/><Relationship Id="rId220" Type="http://schemas.openxmlformats.org/officeDocument/2006/relationships/table" Target="../tables/table115.xml"/><Relationship Id="rId186" Type="http://schemas.openxmlformats.org/officeDocument/2006/relationships/table" Target="../tables/table81.xml"/><Relationship Id="rId185" Type="http://schemas.openxmlformats.org/officeDocument/2006/relationships/table" Target="../tables/table80.xml"/><Relationship Id="rId184" Type="http://schemas.openxmlformats.org/officeDocument/2006/relationships/table" Target="../tables/table79.xml"/><Relationship Id="rId224" Type="http://schemas.openxmlformats.org/officeDocument/2006/relationships/table" Target="../tables/table119.xml"/><Relationship Id="rId223" Type="http://schemas.openxmlformats.org/officeDocument/2006/relationships/table" Target="../tables/table118.xml"/><Relationship Id="rId189" Type="http://schemas.openxmlformats.org/officeDocument/2006/relationships/table" Target="../tables/table84.xml"/><Relationship Id="rId222" Type="http://schemas.openxmlformats.org/officeDocument/2006/relationships/table" Target="../tables/table117.xml"/><Relationship Id="rId188" Type="http://schemas.openxmlformats.org/officeDocument/2006/relationships/table" Target="../tables/table83.xml"/><Relationship Id="rId221" Type="http://schemas.openxmlformats.org/officeDocument/2006/relationships/table" Target="../tables/table116.xml"/><Relationship Id="rId183" Type="http://schemas.openxmlformats.org/officeDocument/2006/relationships/table" Target="../tables/table78.xml"/><Relationship Id="rId182" Type="http://schemas.openxmlformats.org/officeDocument/2006/relationships/table" Target="../tables/table77.xml"/><Relationship Id="rId181" Type="http://schemas.openxmlformats.org/officeDocument/2006/relationships/table" Target="../tables/table76.xml"/><Relationship Id="rId180" Type="http://schemas.openxmlformats.org/officeDocument/2006/relationships/table" Target="../tables/table75.xml"/><Relationship Id="rId217" Type="http://schemas.openxmlformats.org/officeDocument/2006/relationships/table" Target="../tables/table112.xml"/><Relationship Id="rId216" Type="http://schemas.openxmlformats.org/officeDocument/2006/relationships/table" Target="../tables/table111.xml"/><Relationship Id="rId215" Type="http://schemas.openxmlformats.org/officeDocument/2006/relationships/table" Target="../tables/table110.xml"/><Relationship Id="rId214" Type="http://schemas.openxmlformats.org/officeDocument/2006/relationships/table" Target="../tables/table109.xml"/><Relationship Id="rId219" Type="http://schemas.openxmlformats.org/officeDocument/2006/relationships/table" Target="../tables/table114.xml"/><Relationship Id="rId218" Type="http://schemas.openxmlformats.org/officeDocument/2006/relationships/table" Target="../tables/table113.xml"/><Relationship Id="rId176" Type="http://schemas.openxmlformats.org/officeDocument/2006/relationships/table" Target="../tables/table71.xml"/><Relationship Id="rId175" Type="http://schemas.openxmlformats.org/officeDocument/2006/relationships/table" Target="../tables/table70.xml"/><Relationship Id="rId174" Type="http://schemas.openxmlformats.org/officeDocument/2006/relationships/table" Target="../tables/table69.xml"/><Relationship Id="rId173" Type="http://schemas.openxmlformats.org/officeDocument/2006/relationships/table" Target="../tables/table68.xml"/><Relationship Id="rId213" Type="http://schemas.openxmlformats.org/officeDocument/2006/relationships/table" Target="../tables/table108.xml"/><Relationship Id="rId179" Type="http://schemas.openxmlformats.org/officeDocument/2006/relationships/table" Target="../tables/table74.xml"/><Relationship Id="rId212" Type="http://schemas.openxmlformats.org/officeDocument/2006/relationships/table" Target="../tables/table107.xml"/><Relationship Id="rId178" Type="http://schemas.openxmlformats.org/officeDocument/2006/relationships/table" Target="../tables/table73.xml"/><Relationship Id="rId211" Type="http://schemas.openxmlformats.org/officeDocument/2006/relationships/table" Target="../tables/table106.xml"/><Relationship Id="rId177" Type="http://schemas.openxmlformats.org/officeDocument/2006/relationships/table" Target="../tables/table72.xml"/><Relationship Id="rId210" Type="http://schemas.openxmlformats.org/officeDocument/2006/relationships/table" Target="../tables/table105.xml"/><Relationship Id="rId249" Type="http://schemas.openxmlformats.org/officeDocument/2006/relationships/table" Target="../tables/table144.xml"/><Relationship Id="rId248" Type="http://schemas.openxmlformats.org/officeDocument/2006/relationships/table" Target="../tables/table143.xml"/><Relationship Id="rId247" Type="http://schemas.openxmlformats.org/officeDocument/2006/relationships/table" Target="../tables/table142.xml"/><Relationship Id="rId242" Type="http://schemas.openxmlformats.org/officeDocument/2006/relationships/table" Target="../tables/table137.xml"/><Relationship Id="rId241" Type="http://schemas.openxmlformats.org/officeDocument/2006/relationships/table" Target="../tables/table136.xml"/><Relationship Id="rId240" Type="http://schemas.openxmlformats.org/officeDocument/2006/relationships/table" Target="../tables/table135.xml"/><Relationship Id="rId246" Type="http://schemas.openxmlformats.org/officeDocument/2006/relationships/table" Target="../tables/table141.xml"/><Relationship Id="rId245" Type="http://schemas.openxmlformats.org/officeDocument/2006/relationships/table" Target="../tables/table140.xml"/><Relationship Id="rId244" Type="http://schemas.openxmlformats.org/officeDocument/2006/relationships/table" Target="../tables/table139.xml"/><Relationship Id="rId243" Type="http://schemas.openxmlformats.org/officeDocument/2006/relationships/table" Target="../tables/table138.xml"/><Relationship Id="rId239" Type="http://schemas.openxmlformats.org/officeDocument/2006/relationships/table" Target="../tables/table134.xml"/><Relationship Id="rId238" Type="http://schemas.openxmlformats.org/officeDocument/2006/relationships/table" Target="../tables/table133.xml"/><Relationship Id="rId237" Type="http://schemas.openxmlformats.org/officeDocument/2006/relationships/table" Target="../tables/table132.xml"/><Relationship Id="rId236" Type="http://schemas.openxmlformats.org/officeDocument/2006/relationships/table" Target="../tables/table131.xml"/><Relationship Id="rId198" Type="http://schemas.openxmlformats.org/officeDocument/2006/relationships/table" Target="../tables/table93.xml"/><Relationship Id="rId231" Type="http://schemas.openxmlformats.org/officeDocument/2006/relationships/table" Target="../tables/table126.xml"/><Relationship Id="rId197" Type="http://schemas.openxmlformats.org/officeDocument/2006/relationships/table" Target="../tables/table92.xml"/><Relationship Id="rId230" Type="http://schemas.openxmlformats.org/officeDocument/2006/relationships/table" Target="../tables/table125.xml"/><Relationship Id="rId196" Type="http://schemas.openxmlformats.org/officeDocument/2006/relationships/table" Target="../tables/table91.xml"/><Relationship Id="rId195" Type="http://schemas.openxmlformats.org/officeDocument/2006/relationships/table" Target="../tables/table90.xml"/><Relationship Id="rId235" Type="http://schemas.openxmlformats.org/officeDocument/2006/relationships/table" Target="../tables/table130.xml"/><Relationship Id="rId234" Type="http://schemas.openxmlformats.org/officeDocument/2006/relationships/table" Target="../tables/table129.xml"/><Relationship Id="rId233" Type="http://schemas.openxmlformats.org/officeDocument/2006/relationships/table" Target="../tables/table128.xml"/><Relationship Id="rId199" Type="http://schemas.openxmlformats.org/officeDocument/2006/relationships/table" Target="../tables/table94.xml"/><Relationship Id="rId232" Type="http://schemas.openxmlformats.org/officeDocument/2006/relationships/table" Target="../tables/table127.xml"/><Relationship Id="rId150" Type="http://schemas.openxmlformats.org/officeDocument/2006/relationships/table" Target="../tables/table45.xml"/><Relationship Id="rId1" Type="http://schemas.openxmlformats.org/officeDocument/2006/relationships/hyperlink" Target="https://docs.google.com/spreadsheets/d/1jrcHUSiRiUyPp3kcpfWIIqOofGrOQaj7/edit?gid=832894794" TargetMode="External"/><Relationship Id="rId2" Type="http://schemas.openxmlformats.org/officeDocument/2006/relationships/hyperlink" Target="http://learn.thinkcera.com/" TargetMode="External"/><Relationship Id="rId3" Type="http://schemas.openxmlformats.org/officeDocument/2006/relationships/hyperlink" Target="https://docs.google.com/spreadsheets/d/1-hqBX-rXPTXbjUZ6TvybcGFEqrT5mwP3hZpf77oQCVY/edit?gid=920699583" TargetMode="External"/><Relationship Id="rId149" Type="http://schemas.openxmlformats.org/officeDocument/2006/relationships/table" Target="../tables/table44.xml"/><Relationship Id="rId4" Type="http://schemas.openxmlformats.org/officeDocument/2006/relationships/hyperlink" Target="https://docs.google.com/document/d/1H_cET3lB2tUr58kYwn7gEZCfqn9tcwbzoYTPj28xnaQ/edit" TargetMode="External"/><Relationship Id="rId148" Type="http://schemas.openxmlformats.org/officeDocument/2006/relationships/table" Target="../tables/table43.xml"/><Relationship Id="rId143" Type="http://schemas.openxmlformats.org/officeDocument/2006/relationships/table" Target="../tables/table38.xml"/><Relationship Id="rId142" Type="http://schemas.openxmlformats.org/officeDocument/2006/relationships/table" Target="../tables/table37.xml"/><Relationship Id="rId141" Type="http://schemas.openxmlformats.org/officeDocument/2006/relationships/table" Target="../tables/table36.xml"/><Relationship Id="rId140" Type="http://schemas.openxmlformats.org/officeDocument/2006/relationships/table" Target="../tables/table35.xml"/><Relationship Id="rId5" Type="http://schemas.openxmlformats.org/officeDocument/2006/relationships/hyperlink" Target="https://docs.google.com/document/d/1DxlAFfC4_1bGQ46fnhKwJljJB1csU628MviwNgA_SHA/edit" TargetMode="External"/><Relationship Id="rId147" Type="http://schemas.openxmlformats.org/officeDocument/2006/relationships/table" Target="../tables/table42.xml"/><Relationship Id="rId6" Type="http://schemas.openxmlformats.org/officeDocument/2006/relationships/drawing" Target="../drawings/drawing4.xml"/><Relationship Id="rId146" Type="http://schemas.openxmlformats.org/officeDocument/2006/relationships/table" Target="../tables/table41.xml"/><Relationship Id="rId145" Type="http://schemas.openxmlformats.org/officeDocument/2006/relationships/table" Target="../tables/table40.xml"/><Relationship Id="rId144" Type="http://schemas.openxmlformats.org/officeDocument/2006/relationships/table" Target="../tables/table39.xml"/><Relationship Id="rId139" Type="http://schemas.openxmlformats.org/officeDocument/2006/relationships/table" Target="../tables/table34.xml"/><Relationship Id="rId138" Type="http://schemas.openxmlformats.org/officeDocument/2006/relationships/table" Target="../tables/table33.xml"/><Relationship Id="rId137" Type="http://schemas.openxmlformats.org/officeDocument/2006/relationships/table" Target="../tables/table32.xml"/><Relationship Id="rId132" Type="http://schemas.openxmlformats.org/officeDocument/2006/relationships/table" Target="../tables/table27.xml"/><Relationship Id="rId131" Type="http://schemas.openxmlformats.org/officeDocument/2006/relationships/table" Target="../tables/table26.xml"/><Relationship Id="rId252" Type="http://schemas.openxmlformats.org/officeDocument/2006/relationships/table" Target="../tables/table147.xml"/><Relationship Id="rId130" Type="http://schemas.openxmlformats.org/officeDocument/2006/relationships/table" Target="../tables/table25.xml"/><Relationship Id="rId251" Type="http://schemas.openxmlformats.org/officeDocument/2006/relationships/table" Target="../tables/table146.xml"/><Relationship Id="rId250" Type="http://schemas.openxmlformats.org/officeDocument/2006/relationships/table" Target="../tables/table145.xml"/><Relationship Id="rId136" Type="http://schemas.openxmlformats.org/officeDocument/2006/relationships/table" Target="../tables/table31.xml"/><Relationship Id="rId135" Type="http://schemas.openxmlformats.org/officeDocument/2006/relationships/table" Target="../tables/table30.xml"/><Relationship Id="rId134" Type="http://schemas.openxmlformats.org/officeDocument/2006/relationships/table" Target="../tables/table29.xml"/><Relationship Id="rId133" Type="http://schemas.openxmlformats.org/officeDocument/2006/relationships/table" Target="../tables/table28.xml"/><Relationship Id="rId172" Type="http://schemas.openxmlformats.org/officeDocument/2006/relationships/table" Target="../tables/table67.xml"/><Relationship Id="rId171" Type="http://schemas.openxmlformats.org/officeDocument/2006/relationships/table" Target="../tables/table66.xml"/><Relationship Id="rId170" Type="http://schemas.openxmlformats.org/officeDocument/2006/relationships/table" Target="../tables/table65.xml"/><Relationship Id="rId206" Type="http://schemas.openxmlformats.org/officeDocument/2006/relationships/table" Target="../tables/table101.xml"/><Relationship Id="rId205" Type="http://schemas.openxmlformats.org/officeDocument/2006/relationships/table" Target="../tables/table100.xml"/><Relationship Id="rId204" Type="http://schemas.openxmlformats.org/officeDocument/2006/relationships/table" Target="../tables/table99.xml"/><Relationship Id="rId203" Type="http://schemas.openxmlformats.org/officeDocument/2006/relationships/table" Target="../tables/table98.xml"/><Relationship Id="rId209" Type="http://schemas.openxmlformats.org/officeDocument/2006/relationships/table" Target="../tables/table104.xml"/><Relationship Id="rId208" Type="http://schemas.openxmlformats.org/officeDocument/2006/relationships/table" Target="../tables/table103.xml"/><Relationship Id="rId207" Type="http://schemas.openxmlformats.org/officeDocument/2006/relationships/table" Target="../tables/table102.xml"/><Relationship Id="rId165" Type="http://schemas.openxmlformats.org/officeDocument/2006/relationships/table" Target="../tables/table60.xml"/><Relationship Id="rId164" Type="http://schemas.openxmlformats.org/officeDocument/2006/relationships/table" Target="../tables/table59.xml"/><Relationship Id="rId163" Type="http://schemas.openxmlformats.org/officeDocument/2006/relationships/table" Target="../tables/table58.xml"/><Relationship Id="rId162" Type="http://schemas.openxmlformats.org/officeDocument/2006/relationships/table" Target="../tables/table57.xml"/><Relationship Id="rId169" Type="http://schemas.openxmlformats.org/officeDocument/2006/relationships/table" Target="../tables/table64.xml"/><Relationship Id="rId202" Type="http://schemas.openxmlformats.org/officeDocument/2006/relationships/table" Target="../tables/table97.xml"/><Relationship Id="rId168" Type="http://schemas.openxmlformats.org/officeDocument/2006/relationships/table" Target="../tables/table63.xml"/><Relationship Id="rId201" Type="http://schemas.openxmlformats.org/officeDocument/2006/relationships/table" Target="../tables/table96.xml"/><Relationship Id="rId167" Type="http://schemas.openxmlformats.org/officeDocument/2006/relationships/table" Target="../tables/table62.xml"/><Relationship Id="rId200" Type="http://schemas.openxmlformats.org/officeDocument/2006/relationships/table" Target="../tables/table95.xml"/><Relationship Id="rId166" Type="http://schemas.openxmlformats.org/officeDocument/2006/relationships/table" Target="../tables/table61.xml"/><Relationship Id="rId161" Type="http://schemas.openxmlformats.org/officeDocument/2006/relationships/table" Target="../tables/table56.xml"/><Relationship Id="rId160" Type="http://schemas.openxmlformats.org/officeDocument/2006/relationships/table" Target="../tables/table55.xml"/><Relationship Id="rId159" Type="http://schemas.openxmlformats.org/officeDocument/2006/relationships/table" Target="../tables/table54.xml"/><Relationship Id="rId154" Type="http://schemas.openxmlformats.org/officeDocument/2006/relationships/table" Target="../tables/table49.xml"/><Relationship Id="rId153" Type="http://schemas.openxmlformats.org/officeDocument/2006/relationships/table" Target="../tables/table48.xml"/><Relationship Id="rId152" Type="http://schemas.openxmlformats.org/officeDocument/2006/relationships/table" Target="../tables/table47.xml"/><Relationship Id="rId151" Type="http://schemas.openxmlformats.org/officeDocument/2006/relationships/table" Target="../tables/table46.xml"/><Relationship Id="rId158" Type="http://schemas.openxmlformats.org/officeDocument/2006/relationships/table" Target="../tables/table53.xml"/><Relationship Id="rId157" Type="http://schemas.openxmlformats.org/officeDocument/2006/relationships/table" Target="../tables/table52.xml"/><Relationship Id="rId156" Type="http://schemas.openxmlformats.org/officeDocument/2006/relationships/table" Target="../tables/table51.xml"/><Relationship Id="rId155" Type="http://schemas.openxmlformats.org/officeDocument/2006/relationships/table" Target="../tables/table50.xml"/></Relationships>
</file>

<file path=xl/worksheets/_rels/sheet5.xml.rels><?xml version="1.0" encoding="UTF-8" standalone="yes"?><Relationships xmlns="http://schemas.openxmlformats.org/package/2006/relationships"><Relationship Id="rId95" Type="http://schemas.openxmlformats.org/officeDocument/2006/relationships/table" Target="../tables/table193.xml"/><Relationship Id="rId94" Type="http://schemas.openxmlformats.org/officeDocument/2006/relationships/table" Target="../tables/table192.xml"/><Relationship Id="rId97" Type="http://schemas.openxmlformats.org/officeDocument/2006/relationships/table" Target="../tables/table195.xml"/><Relationship Id="rId96" Type="http://schemas.openxmlformats.org/officeDocument/2006/relationships/table" Target="../tables/table194.xml"/><Relationship Id="rId91" Type="http://schemas.openxmlformats.org/officeDocument/2006/relationships/table" Target="../tables/table189.xml"/><Relationship Id="rId90" Type="http://schemas.openxmlformats.org/officeDocument/2006/relationships/table" Target="../tables/table188.xml"/><Relationship Id="rId93" Type="http://schemas.openxmlformats.org/officeDocument/2006/relationships/table" Target="../tables/table191.xml"/><Relationship Id="rId92" Type="http://schemas.openxmlformats.org/officeDocument/2006/relationships/table" Target="../tables/table190.xml"/><Relationship Id="rId84" Type="http://schemas.openxmlformats.org/officeDocument/2006/relationships/table" Target="../tables/table182.xml"/><Relationship Id="rId83" Type="http://schemas.openxmlformats.org/officeDocument/2006/relationships/table" Target="../tables/table181.xml"/><Relationship Id="rId86" Type="http://schemas.openxmlformats.org/officeDocument/2006/relationships/table" Target="../tables/table184.xml"/><Relationship Id="rId85" Type="http://schemas.openxmlformats.org/officeDocument/2006/relationships/table" Target="../tables/table183.xml"/><Relationship Id="rId88" Type="http://schemas.openxmlformats.org/officeDocument/2006/relationships/table" Target="../tables/table186.xml"/><Relationship Id="rId87" Type="http://schemas.openxmlformats.org/officeDocument/2006/relationships/table" Target="../tables/table185.xml"/><Relationship Id="rId89" Type="http://schemas.openxmlformats.org/officeDocument/2006/relationships/table" Target="../tables/table187.xml"/><Relationship Id="rId80" Type="http://schemas.openxmlformats.org/officeDocument/2006/relationships/table" Target="../tables/table178.xml"/><Relationship Id="rId82" Type="http://schemas.openxmlformats.org/officeDocument/2006/relationships/table" Target="../tables/table180.xml"/><Relationship Id="rId81" Type="http://schemas.openxmlformats.org/officeDocument/2006/relationships/table" Target="../tables/table179.xml"/><Relationship Id="rId1" Type="http://schemas.openxmlformats.org/officeDocument/2006/relationships/drawing" Target="../drawings/drawing5.xml"/><Relationship Id="rId73" Type="http://schemas.openxmlformats.org/officeDocument/2006/relationships/table" Target="../tables/table171.xml"/><Relationship Id="rId72" Type="http://schemas.openxmlformats.org/officeDocument/2006/relationships/table" Target="../tables/table170.xml"/><Relationship Id="rId75" Type="http://schemas.openxmlformats.org/officeDocument/2006/relationships/table" Target="../tables/table173.xml"/><Relationship Id="rId74" Type="http://schemas.openxmlformats.org/officeDocument/2006/relationships/table" Target="../tables/table172.xml"/><Relationship Id="rId77" Type="http://schemas.openxmlformats.org/officeDocument/2006/relationships/table" Target="../tables/table175.xml"/><Relationship Id="rId76" Type="http://schemas.openxmlformats.org/officeDocument/2006/relationships/table" Target="../tables/table174.xml"/><Relationship Id="rId79" Type="http://schemas.openxmlformats.org/officeDocument/2006/relationships/table" Target="../tables/table177.xml"/><Relationship Id="rId78" Type="http://schemas.openxmlformats.org/officeDocument/2006/relationships/table" Target="../tables/table176.xml"/><Relationship Id="rId71" Type="http://schemas.openxmlformats.org/officeDocument/2006/relationships/table" Target="../tables/table169.xml"/><Relationship Id="rId70" Type="http://schemas.openxmlformats.org/officeDocument/2006/relationships/table" Target="../tables/table168.xml"/><Relationship Id="rId62" Type="http://schemas.openxmlformats.org/officeDocument/2006/relationships/table" Target="../tables/table160.xml"/><Relationship Id="rId61" Type="http://schemas.openxmlformats.org/officeDocument/2006/relationships/table" Target="../tables/table159.xml"/><Relationship Id="rId64" Type="http://schemas.openxmlformats.org/officeDocument/2006/relationships/table" Target="../tables/table162.xml"/><Relationship Id="rId63" Type="http://schemas.openxmlformats.org/officeDocument/2006/relationships/table" Target="../tables/table161.xml"/><Relationship Id="rId66" Type="http://schemas.openxmlformats.org/officeDocument/2006/relationships/table" Target="../tables/table164.xml"/><Relationship Id="rId65" Type="http://schemas.openxmlformats.org/officeDocument/2006/relationships/table" Target="../tables/table163.xml"/><Relationship Id="rId68" Type="http://schemas.openxmlformats.org/officeDocument/2006/relationships/table" Target="../tables/table166.xml"/><Relationship Id="rId67" Type="http://schemas.openxmlformats.org/officeDocument/2006/relationships/table" Target="../tables/table165.xml"/><Relationship Id="rId60" Type="http://schemas.openxmlformats.org/officeDocument/2006/relationships/table" Target="../tables/table158.xml"/><Relationship Id="rId69" Type="http://schemas.openxmlformats.org/officeDocument/2006/relationships/table" Target="../tables/table167.xml"/><Relationship Id="rId51" Type="http://schemas.openxmlformats.org/officeDocument/2006/relationships/table" Target="../tables/table149.xml"/><Relationship Id="rId50" Type="http://schemas.openxmlformats.org/officeDocument/2006/relationships/table" Target="../tables/table148.xml"/><Relationship Id="rId53" Type="http://schemas.openxmlformats.org/officeDocument/2006/relationships/table" Target="../tables/table151.xml"/><Relationship Id="rId52" Type="http://schemas.openxmlformats.org/officeDocument/2006/relationships/table" Target="../tables/table150.xml"/><Relationship Id="rId55" Type="http://schemas.openxmlformats.org/officeDocument/2006/relationships/table" Target="../tables/table153.xml"/><Relationship Id="rId54" Type="http://schemas.openxmlformats.org/officeDocument/2006/relationships/table" Target="../tables/table152.xml"/><Relationship Id="rId57" Type="http://schemas.openxmlformats.org/officeDocument/2006/relationships/table" Target="../tables/table155.xml"/><Relationship Id="rId56" Type="http://schemas.openxmlformats.org/officeDocument/2006/relationships/table" Target="../tables/table154.xml"/><Relationship Id="rId59" Type="http://schemas.openxmlformats.org/officeDocument/2006/relationships/table" Target="../tables/table157.xml"/><Relationship Id="rId58" Type="http://schemas.openxmlformats.org/officeDocument/2006/relationships/table" Target="../tables/table15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css.s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table" Target="../tables/table200.xml"/><Relationship Id="rId42" Type="http://schemas.openxmlformats.org/officeDocument/2006/relationships/table" Target="../tables/table202.xml"/><Relationship Id="rId41" Type="http://schemas.openxmlformats.org/officeDocument/2006/relationships/table" Target="../tables/table201.xml"/><Relationship Id="rId44" Type="http://schemas.openxmlformats.org/officeDocument/2006/relationships/table" Target="../tables/table204.xml"/><Relationship Id="rId43" Type="http://schemas.openxmlformats.org/officeDocument/2006/relationships/table" Target="../tables/table203.xml"/><Relationship Id="rId46" Type="http://schemas.openxmlformats.org/officeDocument/2006/relationships/table" Target="../tables/table206.xml"/><Relationship Id="rId45" Type="http://schemas.openxmlformats.org/officeDocument/2006/relationships/table" Target="../tables/table205.xml"/><Relationship Id="rId48" Type="http://schemas.openxmlformats.org/officeDocument/2006/relationships/table" Target="../tables/table208.xml"/><Relationship Id="rId47" Type="http://schemas.openxmlformats.org/officeDocument/2006/relationships/table" Target="../tables/table207.xml"/><Relationship Id="rId49" Type="http://schemas.openxmlformats.org/officeDocument/2006/relationships/table" Target="../tables/table209.xml"/><Relationship Id="rId37" Type="http://schemas.openxmlformats.org/officeDocument/2006/relationships/table" Target="../tables/table197.xml"/><Relationship Id="rId36" Type="http://schemas.openxmlformats.org/officeDocument/2006/relationships/table" Target="../tables/table196.xml"/><Relationship Id="rId39" Type="http://schemas.openxmlformats.org/officeDocument/2006/relationships/table" Target="../tables/table199.xml"/><Relationship Id="rId38" Type="http://schemas.openxmlformats.org/officeDocument/2006/relationships/table" Target="../tables/table198.xml"/><Relationship Id="rId1" Type="http://schemas.openxmlformats.org/officeDocument/2006/relationships/drawing" Target="../drawings/drawing8.xml"/><Relationship Id="rId62" Type="http://schemas.openxmlformats.org/officeDocument/2006/relationships/table" Target="../tables/table222.xml"/><Relationship Id="rId61" Type="http://schemas.openxmlformats.org/officeDocument/2006/relationships/table" Target="../tables/table221.xml"/><Relationship Id="rId64" Type="http://schemas.openxmlformats.org/officeDocument/2006/relationships/table" Target="../tables/table224.xml"/><Relationship Id="rId63" Type="http://schemas.openxmlformats.org/officeDocument/2006/relationships/table" Target="../tables/table223.xml"/><Relationship Id="rId66" Type="http://schemas.openxmlformats.org/officeDocument/2006/relationships/table" Target="../tables/table226.xml"/><Relationship Id="rId65" Type="http://schemas.openxmlformats.org/officeDocument/2006/relationships/table" Target="../tables/table225.xml"/><Relationship Id="rId68" Type="http://schemas.openxmlformats.org/officeDocument/2006/relationships/table" Target="../tables/table228.xml"/><Relationship Id="rId67" Type="http://schemas.openxmlformats.org/officeDocument/2006/relationships/table" Target="../tables/table227.xml"/><Relationship Id="rId60" Type="http://schemas.openxmlformats.org/officeDocument/2006/relationships/table" Target="../tables/table220.xml"/><Relationship Id="rId69" Type="http://schemas.openxmlformats.org/officeDocument/2006/relationships/table" Target="../tables/table229.xml"/><Relationship Id="rId51" Type="http://schemas.openxmlformats.org/officeDocument/2006/relationships/table" Target="../tables/table211.xml"/><Relationship Id="rId50" Type="http://schemas.openxmlformats.org/officeDocument/2006/relationships/table" Target="../tables/table210.xml"/><Relationship Id="rId53" Type="http://schemas.openxmlformats.org/officeDocument/2006/relationships/table" Target="../tables/table213.xml"/><Relationship Id="rId52" Type="http://schemas.openxmlformats.org/officeDocument/2006/relationships/table" Target="../tables/table212.xml"/><Relationship Id="rId55" Type="http://schemas.openxmlformats.org/officeDocument/2006/relationships/table" Target="../tables/table215.xml"/><Relationship Id="rId54" Type="http://schemas.openxmlformats.org/officeDocument/2006/relationships/table" Target="../tables/table214.xml"/><Relationship Id="rId57" Type="http://schemas.openxmlformats.org/officeDocument/2006/relationships/table" Target="../tables/table217.xml"/><Relationship Id="rId56" Type="http://schemas.openxmlformats.org/officeDocument/2006/relationships/table" Target="../tables/table216.xml"/><Relationship Id="rId59" Type="http://schemas.openxmlformats.org/officeDocument/2006/relationships/table" Target="../tables/table219.xml"/><Relationship Id="rId58" Type="http://schemas.openxmlformats.org/officeDocument/2006/relationships/table" Target="../tables/table21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presentation/u/0/d/1MheS4KD_8EE_KNOPV0vw-rDRSJCUqeJdRDEx_LM8JNA/edit" TargetMode="External"/><Relationship Id="rId2" Type="http://schemas.openxmlformats.org/officeDocument/2006/relationships/hyperlink" Target="https://docs.google.com/presentation/d/1Sdt87nE1mY_UARcowryg3BweVE_AqSNJPxyzebYb1XM/edit" TargetMode="External"/><Relationship Id="rId3" Type="http://schemas.openxmlformats.org/officeDocument/2006/relationships/hyperlink" Target="https://docs.google.com/presentation/d/1gAY9niPEotnWGf-__VtwqheJ6uKpf_36uxAb0s8aySc/edit" TargetMode="External"/><Relationship Id="rId4" Type="http://schemas.openxmlformats.org/officeDocument/2006/relationships/hyperlink" Target="https://docs.google.com/presentation/d/1MheS4KD_8EE_KNOPV0vw-rDRSJCUqeJdRDEx_LM8JNA/copy"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learn.thinkcerca.com/teacher/lessons-and-units/courses/6-12-foundational-reading-and-linguistics/units/139" TargetMode="External"/><Relationship Id="rId10" Type="http://schemas.openxmlformats.org/officeDocument/2006/relationships/hyperlink" Target="https://learn.thinkcerca.com/teacher/lessons-and-units/courses/6-12-foundational-reading-and-linguistics/units/71" TargetMode="External"/><Relationship Id="rId13" Type="http://schemas.openxmlformats.org/officeDocument/2006/relationships/drawing" Target="../drawings/drawing10.xml"/><Relationship Id="rId12" Type="http://schemas.openxmlformats.org/officeDocument/2006/relationships/hyperlink" Target="https://learn.thinkcerca.com/teacher/lessons-and-units/courses/6-12-foundational-reading-and-linguistics/units/142" TargetMode="External"/><Relationship Id="rId17" Type="http://schemas.openxmlformats.org/officeDocument/2006/relationships/table" Target="../tables/table231.xml"/><Relationship Id="rId16" Type="http://schemas.openxmlformats.org/officeDocument/2006/relationships/table" Target="../tables/table230.xml"/><Relationship Id="rId1" Type="http://schemas.openxmlformats.org/officeDocument/2006/relationships/hyperlink" Target="https://docs.google.com/document/d/1lKdi9yXtUSzsWz1E8FzmVErx5VA9X_f9wqy9ZpswXcE/edit?usp=sharing" TargetMode="External"/><Relationship Id="rId2" Type="http://schemas.openxmlformats.org/officeDocument/2006/relationships/hyperlink" Target="https://www.thinkcerca.com/best-practices" TargetMode="External"/><Relationship Id="rId3" Type="http://schemas.openxmlformats.org/officeDocument/2006/relationships/hyperlink" Target="https://hubs.ly/Q02FptkR0" TargetMode="External"/><Relationship Id="rId4" Type="http://schemas.openxmlformats.org/officeDocument/2006/relationships/hyperlink" Target="https://docs.google.com/presentation/d/1kk-wmr0IlBVbZvdcy8nEz_oKeL-OwohfKlJQGRbIrRg/edit" TargetMode="External"/><Relationship Id="rId9" Type="http://schemas.openxmlformats.org/officeDocument/2006/relationships/hyperlink" Target="https://docs.google.com/spreadsheets/d/1GSu6opav1mf0IMaDHKFTwvuAKFZKPDysz8jA8YtV98c/edit?gid=950662777" TargetMode="External"/><Relationship Id="rId5" Type="http://schemas.openxmlformats.org/officeDocument/2006/relationships/hyperlink" Target="https://hubs.ly/Q02Fpth60" TargetMode="External"/><Relationship Id="rId6" Type="http://schemas.openxmlformats.org/officeDocument/2006/relationships/hyperlink" Target="https://www.thinkcerca.com/coreela-6" TargetMode="External"/><Relationship Id="rId7" Type="http://schemas.openxmlformats.org/officeDocument/2006/relationships/hyperlink" Target="https://learn.thinkcerca.com/teacher/lessons-and-units/courses/6-12-foundational-reading-and-linguistics" TargetMode="External"/><Relationship Id="rId8" Type="http://schemas.openxmlformats.org/officeDocument/2006/relationships/hyperlink" Target="https://docs.google.com/spreadsheets/d/1-hqBX-rXPTXbjUZ6TvybcGFEqrT5mwP3hZpf77oQCVY/edit?gid=92069958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4.5"/>
    <col customWidth="1" min="3" max="3" width="8.13"/>
    <col customWidth="1" min="4" max="23" width="25.75"/>
  </cols>
  <sheetData>
    <row r="1">
      <c r="A1" s="1"/>
      <c r="B1" s="1"/>
      <c r="C1" s="1"/>
      <c r="D1" s="1"/>
      <c r="E1" s="1"/>
      <c r="F1" s="1"/>
      <c r="G1" s="1"/>
      <c r="H1" s="1"/>
      <c r="I1" s="1"/>
      <c r="J1" s="1"/>
      <c r="K1" s="1"/>
      <c r="L1" s="1"/>
      <c r="M1" s="1"/>
      <c r="N1" s="1"/>
      <c r="O1" s="1"/>
      <c r="P1" s="1"/>
      <c r="Q1" s="1"/>
      <c r="R1" s="1"/>
      <c r="S1" s="1"/>
      <c r="T1" s="1"/>
      <c r="U1" s="1"/>
      <c r="V1" s="1"/>
      <c r="W1" s="1"/>
    </row>
    <row r="2">
      <c r="A2" s="2"/>
      <c r="B2" s="3" t="s">
        <v>0</v>
      </c>
      <c r="F2" s="3" t="s">
        <v>1</v>
      </c>
      <c r="I2" s="3" t="s">
        <v>2</v>
      </c>
      <c r="L2" s="3" t="s">
        <v>3</v>
      </c>
      <c r="O2" s="3" t="s">
        <v>4</v>
      </c>
      <c r="R2" s="3" t="s">
        <v>5</v>
      </c>
      <c r="U2" s="3" t="s">
        <v>6</v>
      </c>
    </row>
    <row r="3">
      <c r="A3" s="4" t="s">
        <v>7</v>
      </c>
      <c r="B3" s="5" t="s">
        <v>8</v>
      </c>
      <c r="C3" s="5" t="s">
        <v>9</v>
      </c>
      <c r="D3" s="6" t="s">
        <v>10</v>
      </c>
      <c r="E3" s="7" t="s">
        <v>11</v>
      </c>
      <c r="F3" s="5" t="s">
        <v>12</v>
      </c>
      <c r="G3" s="6" t="s">
        <v>13</v>
      </c>
      <c r="H3" s="7" t="s">
        <v>14</v>
      </c>
      <c r="I3" s="5" t="s">
        <v>12</v>
      </c>
      <c r="J3" s="6" t="s">
        <v>13</v>
      </c>
      <c r="K3" s="7" t="s">
        <v>14</v>
      </c>
      <c r="L3" s="5" t="s">
        <v>12</v>
      </c>
      <c r="M3" s="6" t="s">
        <v>13</v>
      </c>
      <c r="N3" s="7" t="s">
        <v>14</v>
      </c>
      <c r="O3" s="5" t="s">
        <v>12</v>
      </c>
      <c r="P3" s="6" t="s">
        <v>13</v>
      </c>
      <c r="Q3" s="7" t="s">
        <v>14</v>
      </c>
      <c r="R3" s="5" t="s">
        <v>12</v>
      </c>
      <c r="S3" s="6" t="s">
        <v>13</v>
      </c>
      <c r="T3" s="7" t="s">
        <v>14</v>
      </c>
      <c r="U3" s="5" t="s">
        <v>12</v>
      </c>
      <c r="V3" s="6" t="s">
        <v>13</v>
      </c>
      <c r="W3" s="7" t="s">
        <v>14</v>
      </c>
    </row>
    <row r="4">
      <c r="A4" s="8" t="s">
        <v>15</v>
      </c>
      <c r="B4" s="9" t="s">
        <v>16</v>
      </c>
      <c r="C4" s="9">
        <v>1.0</v>
      </c>
      <c r="D4" s="10" t="s">
        <v>17</v>
      </c>
      <c r="E4" s="11" t="s">
        <v>18</v>
      </c>
      <c r="F4" s="9" t="s">
        <v>19</v>
      </c>
      <c r="G4" s="12" t="s">
        <v>20</v>
      </c>
      <c r="H4" s="13"/>
      <c r="I4" s="9" t="s">
        <v>19</v>
      </c>
      <c r="J4" s="14" t="s">
        <v>21</v>
      </c>
      <c r="K4" s="13"/>
      <c r="L4" s="9" t="s">
        <v>19</v>
      </c>
      <c r="M4" s="14" t="s">
        <v>22</v>
      </c>
      <c r="N4" s="13"/>
      <c r="O4" s="9" t="s">
        <v>19</v>
      </c>
      <c r="P4" s="14" t="s">
        <v>23</v>
      </c>
      <c r="Q4" s="13"/>
      <c r="R4" s="9" t="s">
        <v>19</v>
      </c>
      <c r="S4" s="14" t="s">
        <v>24</v>
      </c>
      <c r="T4" s="13"/>
      <c r="U4" s="9" t="s">
        <v>19</v>
      </c>
      <c r="V4" s="14" t="s">
        <v>25</v>
      </c>
      <c r="W4" s="13"/>
    </row>
    <row r="5">
      <c r="A5" s="8" t="s">
        <v>26</v>
      </c>
      <c r="B5" s="9" t="s">
        <v>19</v>
      </c>
      <c r="C5" s="9">
        <v>1.0</v>
      </c>
      <c r="D5" s="10" t="s">
        <v>27</v>
      </c>
      <c r="E5" s="11" t="s">
        <v>28</v>
      </c>
      <c r="F5" s="9" t="s">
        <v>19</v>
      </c>
      <c r="G5" s="15" t="s">
        <v>29</v>
      </c>
      <c r="H5" s="13"/>
      <c r="I5" s="9" t="s">
        <v>19</v>
      </c>
      <c r="J5" s="15" t="s">
        <v>30</v>
      </c>
      <c r="K5" s="13"/>
      <c r="L5" s="9" t="s">
        <v>19</v>
      </c>
      <c r="M5" s="14" t="s">
        <v>31</v>
      </c>
      <c r="N5" s="13"/>
      <c r="O5" s="9" t="s">
        <v>19</v>
      </c>
      <c r="P5" s="14" t="s">
        <v>32</v>
      </c>
      <c r="Q5" s="13"/>
      <c r="R5" s="9" t="s">
        <v>19</v>
      </c>
      <c r="S5" s="14" t="s">
        <v>33</v>
      </c>
      <c r="T5" s="13"/>
      <c r="U5" s="9" t="s">
        <v>19</v>
      </c>
      <c r="V5" s="14" t="s">
        <v>34</v>
      </c>
      <c r="W5" s="13"/>
    </row>
    <row r="6">
      <c r="A6" s="8" t="s">
        <v>35</v>
      </c>
      <c r="B6" s="9" t="s">
        <v>19</v>
      </c>
      <c r="C6" s="9">
        <v>1.0</v>
      </c>
      <c r="D6" s="14" t="s">
        <v>36</v>
      </c>
      <c r="E6" s="11" t="s">
        <v>37</v>
      </c>
      <c r="F6" s="9" t="s">
        <v>19</v>
      </c>
      <c r="G6" s="15" t="s">
        <v>38</v>
      </c>
      <c r="H6" s="13"/>
      <c r="I6" s="9" t="s">
        <v>19</v>
      </c>
      <c r="J6" s="14" t="s">
        <v>39</v>
      </c>
      <c r="K6" s="13"/>
      <c r="L6" s="9" t="s">
        <v>19</v>
      </c>
      <c r="M6" s="14" t="s">
        <v>40</v>
      </c>
      <c r="N6" s="13"/>
      <c r="O6" s="9" t="s">
        <v>19</v>
      </c>
      <c r="P6" s="14" t="s">
        <v>41</v>
      </c>
      <c r="Q6" s="13"/>
      <c r="R6" s="9" t="s">
        <v>19</v>
      </c>
      <c r="S6" s="14" t="s">
        <v>42</v>
      </c>
      <c r="T6" s="13"/>
      <c r="U6" s="9" t="s">
        <v>19</v>
      </c>
      <c r="V6" s="14" t="s">
        <v>43</v>
      </c>
      <c r="W6" s="13"/>
    </row>
    <row r="7">
      <c r="A7" s="8" t="s">
        <v>44</v>
      </c>
      <c r="B7" s="9" t="s">
        <v>19</v>
      </c>
      <c r="C7" s="9">
        <v>2.0</v>
      </c>
      <c r="D7" s="15" t="s">
        <v>45</v>
      </c>
      <c r="E7" s="11" t="s">
        <v>46</v>
      </c>
      <c r="F7" s="9" t="s">
        <v>19</v>
      </c>
      <c r="G7" s="14" t="s">
        <v>47</v>
      </c>
      <c r="H7" s="13"/>
      <c r="I7" s="9" t="s">
        <v>19</v>
      </c>
      <c r="J7" s="14" t="s">
        <v>48</v>
      </c>
      <c r="K7" s="13"/>
      <c r="L7" s="9" t="s">
        <v>19</v>
      </c>
      <c r="M7" s="14" t="s">
        <v>49</v>
      </c>
      <c r="N7" s="13"/>
      <c r="O7" s="9" t="s">
        <v>19</v>
      </c>
      <c r="P7" s="14" t="s">
        <v>50</v>
      </c>
      <c r="Q7" s="13"/>
      <c r="R7" s="9" t="s">
        <v>19</v>
      </c>
      <c r="S7" s="14" t="s">
        <v>51</v>
      </c>
      <c r="T7" s="13"/>
      <c r="U7" s="9" t="s">
        <v>19</v>
      </c>
      <c r="V7" s="14" t="s">
        <v>52</v>
      </c>
      <c r="W7" s="13"/>
    </row>
    <row r="8">
      <c r="A8" s="8" t="s">
        <v>53</v>
      </c>
      <c r="B8" s="9" t="s">
        <v>19</v>
      </c>
      <c r="C8" s="9">
        <v>3.0</v>
      </c>
      <c r="D8" s="12" t="s">
        <v>54</v>
      </c>
      <c r="E8" s="16" t="s">
        <v>55</v>
      </c>
      <c r="F8" s="9" t="s">
        <v>19</v>
      </c>
      <c r="G8" s="14"/>
      <c r="H8" s="13"/>
      <c r="I8" s="9" t="s">
        <v>19</v>
      </c>
      <c r="J8" s="14"/>
      <c r="K8" s="13"/>
      <c r="L8" s="9" t="s">
        <v>19</v>
      </c>
      <c r="M8" s="14"/>
      <c r="N8" s="13"/>
      <c r="O8" s="9" t="s">
        <v>19</v>
      </c>
      <c r="P8" s="14"/>
      <c r="Q8" s="13"/>
      <c r="R8" s="9" t="s">
        <v>19</v>
      </c>
      <c r="S8" s="14"/>
      <c r="T8" s="13"/>
      <c r="U8" s="9" t="s">
        <v>19</v>
      </c>
      <c r="V8" s="14"/>
      <c r="W8" s="13"/>
    </row>
    <row r="9">
      <c r="A9" s="17" t="s">
        <v>56</v>
      </c>
      <c r="B9" s="9" t="s">
        <v>19</v>
      </c>
      <c r="C9" s="9">
        <v>4.0</v>
      </c>
      <c r="D9" s="15" t="s">
        <v>57</v>
      </c>
      <c r="E9" s="11" t="s">
        <v>58</v>
      </c>
      <c r="F9" s="9" t="s">
        <v>19</v>
      </c>
      <c r="G9" s="15"/>
      <c r="H9" s="13"/>
      <c r="I9" s="9" t="s">
        <v>19</v>
      </c>
      <c r="J9" s="15"/>
      <c r="K9" s="13"/>
      <c r="L9" s="9" t="s">
        <v>19</v>
      </c>
      <c r="M9" s="14"/>
      <c r="N9" s="13"/>
      <c r="O9" s="9" t="s">
        <v>19</v>
      </c>
      <c r="P9" s="14"/>
      <c r="Q9" s="13"/>
      <c r="R9" s="9" t="s">
        <v>19</v>
      </c>
      <c r="S9" s="14"/>
      <c r="T9" s="13"/>
      <c r="U9" s="9" t="s">
        <v>19</v>
      </c>
      <c r="V9" s="14"/>
      <c r="W9" s="13"/>
    </row>
    <row r="10">
      <c r="A10" s="17" t="s">
        <v>59</v>
      </c>
      <c r="B10" s="9"/>
      <c r="C10" s="9" t="s">
        <v>60</v>
      </c>
      <c r="D10" s="15" t="s">
        <v>61</v>
      </c>
      <c r="E10" s="11" t="s">
        <v>62</v>
      </c>
      <c r="F10" s="9" t="s">
        <v>19</v>
      </c>
      <c r="G10" s="15"/>
      <c r="H10" s="13"/>
      <c r="I10" s="9" t="s">
        <v>19</v>
      </c>
      <c r="J10" s="14"/>
      <c r="K10" s="13"/>
      <c r="L10" s="9" t="s">
        <v>19</v>
      </c>
      <c r="M10" s="14"/>
      <c r="N10" s="13"/>
      <c r="O10" s="9" t="s">
        <v>19</v>
      </c>
      <c r="P10" s="14"/>
      <c r="Q10" s="13"/>
      <c r="R10" s="9" t="s">
        <v>19</v>
      </c>
      <c r="S10" s="14"/>
      <c r="T10" s="13"/>
      <c r="U10" s="9" t="s">
        <v>19</v>
      </c>
      <c r="V10" s="14"/>
      <c r="W10" s="13"/>
    </row>
    <row r="11">
      <c r="A11" s="18" t="s">
        <v>63</v>
      </c>
      <c r="B11" s="19"/>
      <c r="C11" s="19"/>
      <c r="D11" s="20"/>
      <c r="E11" s="21"/>
      <c r="F11" s="19"/>
      <c r="G11" s="22"/>
      <c r="H11" s="23"/>
      <c r="I11" s="19"/>
      <c r="J11" s="22"/>
      <c r="K11" s="23"/>
      <c r="L11" s="24"/>
      <c r="M11" s="22"/>
      <c r="N11" s="23"/>
      <c r="O11" s="24"/>
      <c r="P11" s="22"/>
      <c r="Q11" s="23"/>
      <c r="R11" s="24"/>
      <c r="S11" s="22"/>
      <c r="T11" s="23"/>
      <c r="U11" s="24"/>
      <c r="V11" s="22"/>
      <c r="W11" s="25"/>
    </row>
    <row r="12">
      <c r="A12" s="26" t="s">
        <v>64</v>
      </c>
      <c r="B12" s="27" t="s">
        <v>65</v>
      </c>
      <c r="C12" s="28"/>
      <c r="D12" s="26"/>
      <c r="E12" s="26"/>
      <c r="F12" s="27" t="s">
        <v>66</v>
      </c>
      <c r="G12" s="29"/>
      <c r="H12" s="29"/>
      <c r="I12" s="30" t="s">
        <v>67</v>
      </c>
      <c r="J12" s="29"/>
      <c r="K12" s="29"/>
      <c r="L12" s="29"/>
      <c r="M12" s="29"/>
      <c r="N12" s="29"/>
      <c r="O12" s="29"/>
      <c r="P12" s="29"/>
      <c r="Q12" s="29"/>
      <c r="R12" s="29"/>
      <c r="S12" s="29"/>
      <c r="T12" s="29"/>
      <c r="U12" s="29"/>
      <c r="V12" s="29"/>
      <c r="W12" s="29"/>
    </row>
    <row r="13">
      <c r="A13" s="31"/>
      <c r="B13" s="32"/>
      <c r="C13" s="32"/>
      <c r="D13" s="32"/>
      <c r="E13" s="32"/>
      <c r="F13" s="31"/>
      <c r="G13" s="31"/>
      <c r="H13" s="31"/>
      <c r="I13" s="31"/>
      <c r="J13" s="31"/>
      <c r="K13" s="31"/>
      <c r="L13" s="31"/>
      <c r="M13" s="31"/>
      <c r="N13" s="31"/>
      <c r="O13" s="31"/>
      <c r="P13" s="31"/>
      <c r="Q13" s="31"/>
      <c r="R13" s="31"/>
      <c r="S13" s="31"/>
      <c r="T13" s="31"/>
      <c r="U13" s="31"/>
      <c r="V13" s="31"/>
      <c r="W13" s="31"/>
    </row>
    <row r="14">
      <c r="A14" s="33" t="s">
        <v>68</v>
      </c>
      <c r="B14" s="33" t="s">
        <v>69</v>
      </c>
      <c r="C14" s="33"/>
      <c r="D14" s="33" t="s">
        <v>70</v>
      </c>
      <c r="E14" s="33" t="s">
        <v>71</v>
      </c>
      <c r="F14" s="34"/>
      <c r="G14" s="34"/>
      <c r="H14" s="34"/>
      <c r="I14" s="34"/>
      <c r="J14" s="34"/>
      <c r="K14" s="34"/>
      <c r="L14" s="34"/>
      <c r="M14" s="34"/>
      <c r="N14" s="34"/>
      <c r="O14" s="34"/>
      <c r="P14" s="34"/>
      <c r="Q14" s="34"/>
      <c r="R14" s="34"/>
      <c r="S14" s="34"/>
      <c r="T14" s="34"/>
      <c r="U14" s="34"/>
      <c r="V14" s="34"/>
      <c r="W14" s="34"/>
    </row>
    <row r="15">
      <c r="A15" s="33" t="s">
        <v>9</v>
      </c>
      <c r="B15" s="35" t="s">
        <v>72</v>
      </c>
      <c r="C15" s="33"/>
      <c r="D15" s="36" t="s">
        <v>73</v>
      </c>
      <c r="E15" s="37" t="s">
        <v>63</v>
      </c>
      <c r="F15" s="33" t="s">
        <v>72</v>
      </c>
      <c r="G15" s="33" t="s">
        <v>73</v>
      </c>
      <c r="H15" s="33" t="s">
        <v>63</v>
      </c>
      <c r="I15" s="33" t="s">
        <v>72</v>
      </c>
      <c r="J15" s="33" t="s">
        <v>73</v>
      </c>
      <c r="K15" s="33" t="s">
        <v>63</v>
      </c>
      <c r="L15" s="33" t="s">
        <v>72</v>
      </c>
      <c r="M15" s="33" t="s">
        <v>73</v>
      </c>
      <c r="N15" s="33" t="s">
        <v>63</v>
      </c>
      <c r="O15" s="33" t="s">
        <v>72</v>
      </c>
      <c r="P15" s="33" t="s">
        <v>73</v>
      </c>
      <c r="Q15" s="33" t="s">
        <v>63</v>
      </c>
      <c r="R15" s="33" t="s">
        <v>72</v>
      </c>
      <c r="S15" s="33" t="s">
        <v>73</v>
      </c>
      <c r="T15" s="33" t="s">
        <v>63</v>
      </c>
      <c r="U15" s="33" t="s">
        <v>72</v>
      </c>
      <c r="V15" s="33" t="s">
        <v>73</v>
      </c>
      <c r="W15" s="33" t="s">
        <v>63</v>
      </c>
    </row>
    <row r="16">
      <c r="A16" s="38"/>
      <c r="B16" s="39" t="s">
        <v>74</v>
      </c>
      <c r="C16" s="39"/>
      <c r="D16" s="39" t="s">
        <v>75</v>
      </c>
      <c r="E16" s="39" t="s">
        <v>76</v>
      </c>
      <c r="F16" s="40" t="s">
        <v>77</v>
      </c>
      <c r="G16" s="41" t="s">
        <v>78</v>
      </c>
      <c r="H16" s="42" t="s">
        <v>79</v>
      </c>
      <c r="I16" s="40" t="s">
        <v>80</v>
      </c>
      <c r="J16" s="43" t="s">
        <v>81</v>
      </c>
      <c r="K16" s="42" t="s">
        <v>82</v>
      </c>
      <c r="L16" s="40" t="s">
        <v>83</v>
      </c>
      <c r="M16" s="41" t="s">
        <v>84</v>
      </c>
      <c r="N16" s="42" t="s">
        <v>85</v>
      </c>
      <c r="O16" s="44" t="s">
        <v>86</v>
      </c>
      <c r="P16" s="45" t="s">
        <v>87</v>
      </c>
      <c r="Q16" s="42" t="s">
        <v>88</v>
      </c>
      <c r="R16" s="44" t="s">
        <v>89</v>
      </c>
      <c r="S16" s="41" t="s">
        <v>90</v>
      </c>
      <c r="T16" s="42" t="s">
        <v>91</v>
      </c>
      <c r="U16" s="44" t="s">
        <v>92</v>
      </c>
      <c r="V16" s="43" t="s">
        <v>93</v>
      </c>
      <c r="W16" s="42" t="s">
        <v>94</v>
      </c>
    </row>
    <row r="17">
      <c r="A17" s="46"/>
      <c r="B17" s="39" t="s">
        <v>95</v>
      </c>
      <c r="C17" s="39"/>
      <c r="D17" s="39" t="s">
        <v>96</v>
      </c>
      <c r="E17" s="39" t="s">
        <v>97</v>
      </c>
      <c r="F17" s="40" t="s">
        <v>98</v>
      </c>
      <c r="G17" s="41" t="s">
        <v>99</v>
      </c>
      <c r="H17" s="42" t="s">
        <v>100</v>
      </c>
      <c r="I17" s="40" t="s">
        <v>101</v>
      </c>
      <c r="J17" s="41" t="s">
        <v>102</v>
      </c>
      <c r="K17" s="42" t="s">
        <v>103</v>
      </c>
      <c r="L17" s="44" t="s">
        <v>104</v>
      </c>
      <c r="M17" s="41" t="s">
        <v>105</v>
      </c>
      <c r="N17" s="42" t="s">
        <v>106</v>
      </c>
      <c r="O17" s="44" t="s">
        <v>107</v>
      </c>
      <c r="P17" s="45" t="s">
        <v>108</v>
      </c>
      <c r="Q17" s="42" t="s">
        <v>109</v>
      </c>
      <c r="R17" s="44" t="s">
        <v>110</v>
      </c>
      <c r="S17" s="41" t="s">
        <v>111</v>
      </c>
      <c r="T17" s="42" t="s">
        <v>112</v>
      </c>
      <c r="U17" s="44" t="s">
        <v>113</v>
      </c>
      <c r="V17" s="41" t="s">
        <v>114</v>
      </c>
      <c r="W17" s="42" t="s">
        <v>115</v>
      </c>
    </row>
    <row r="18">
      <c r="A18" s="46"/>
      <c r="B18" s="39" t="s">
        <v>116</v>
      </c>
      <c r="C18" s="39"/>
      <c r="D18" s="39" t="s">
        <v>117</v>
      </c>
      <c r="E18" s="39" t="s">
        <v>118</v>
      </c>
      <c r="F18" s="40" t="s">
        <v>119</v>
      </c>
      <c r="G18" s="41" t="s">
        <v>120</v>
      </c>
      <c r="H18" s="42" t="s">
        <v>121</v>
      </c>
      <c r="I18" s="40" t="s">
        <v>122</v>
      </c>
      <c r="J18" s="47" t="s">
        <v>123</v>
      </c>
      <c r="K18" s="42" t="s">
        <v>124</v>
      </c>
      <c r="L18" s="40" t="s">
        <v>125</v>
      </c>
      <c r="M18" s="41" t="s">
        <v>126</v>
      </c>
      <c r="N18" s="42" t="s">
        <v>127</v>
      </c>
      <c r="O18" s="44" t="s">
        <v>128</v>
      </c>
      <c r="P18" s="45" t="s">
        <v>129</v>
      </c>
      <c r="Q18" s="42" t="s">
        <v>130</v>
      </c>
      <c r="R18" s="44" t="s">
        <v>131</v>
      </c>
      <c r="S18" s="41" t="s">
        <v>132</v>
      </c>
      <c r="T18" s="42" t="s">
        <v>133</v>
      </c>
      <c r="U18" s="44" t="s">
        <v>134</v>
      </c>
      <c r="V18" s="47" t="s">
        <v>135</v>
      </c>
      <c r="W18" s="42" t="s">
        <v>136</v>
      </c>
    </row>
    <row r="19">
      <c r="A19" s="46"/>
      <c r="B19" s="39" t="s">
        <v>137</v>
      </c>
      <c r="C19" s="39"/>
      <c r="D19" s="39" t="s">
        <v>138</v>
      </c>
      <c r="E19" s="42" t="s">
        <v>139</v>
      </c>
      <c r="F19" s="40" t="s">
        <v>140</v>
      </c>
      <c r="G19" s="48" t="s">
        <v>141</v>
      </c>
      <c r="H19" s="42" t="s">
        <v>142</v>
      </c>
      <c r="I19" s="40" t="s">
        <v>143</v>
      </c>
      <c r="J19" s="41" t="s">
        <v>144</v>
      </c>
      <c r="K19" s="42" t="s">
        <v>145</v>
      </c>
      <c r="L19" s="44" t="s">
        <v>146</v>
      </c>
      <c r="M19" s="48" t="s">
        <v>147</v>
      </c>
      <c r="N19" s="42" t="s">
        <v>148</v>
      </c>
      <c r="O19" s="44" t="s">
        <v>149</v>
      </c>
      <c r="P19" s="49"/>
      <c r="Q19" s="49"/>
      <c r="R19" s="44" t="s">
        <v>150</v>
      </c>
      <c r="S19" s="48" t="s">
        <v>151</v>
      </c>
      <c r="T19" s="42" t="s">
        <v>152</v>
      </c>
      <c r="U19" s="44" t="s">
        <v>153</v>
      </c>
      <c r="V19" s="41" t="s">
        <v>154</v>
      </c>
      <c r="W19" s="42" t="s">
        <v>155</v>
      </c>
    </row>
    <row r="20">
      <c r="A20" s="46"/>
      <c r="B20" s="39" t="s">
        <v>156</v>
      </c>
      <c r="C20" s="39"/>
      <c r="D20" s="39"/>
      <c r="E20" s="50"/>
      <c r="F20" s="40" t="s">
        <v>157</v>
      </c>
      <c r="G20" s="39"/>
      <c r="H20" s="39"/>
      <c r="I20" s="40" t="s">
        <v>158</v>
      </c>
      <c r="J20" s="51"/>
      <c r="K20" s="51"/>
      <c r="L20" s="44" t="s">
        <v>159</v>
      </c>
      <c r="M20" s="49"/>
      <c r="N20" s="49"/>
      <c r="O20" s="44" t="s">
        <v>160</v>
      </c>
      <c r="P20" s="49"/>
      <c r="Q20" s="49"/>
      <c r="R20" s="44" t="s">
        <v>161</v>
      </c>
      <c r="S20" s="49"/>
      <c r="T20" s="49"/>
      <c r="U20" s="44" t="s">
        <v>162</v>
      </c>
      <c r="V20" s="49"/>
      <c r="W20" s="49"/>
    </row>
    <row r="21">
      <c r="A21" s="46"/>
      <c r="B21" s="39" t="s">
        <v>163</v>
      </c>
      <c r="C21" s="39"/>
      <c r="D21" s="39"/>
      <c r="E21" s="46"/>
      <c r="F21" s="40" t="s">
        <v>164</v>
      </c>
      <c r="G21" s="39"/>
      <c r="H21" s="52"/>
      <c r="I21" s="40" t="s">
        <v>165</v>
      </c>
      <c r="J21" s="46"/>
      <c r="K21" s="46"/>
      <c r="L21" s="44" t="s">
        <v>166</v>
      </c>
      <c r="M21" s="46"/>
      <c r="N21" s="46"/>
      <c r="O21" s="44" t="s">
        <v>167</v>
      </c>
      <c r="P21" s="46"/>
      <c r="Q21" s="46"/>
      <c r="R21" s="44" t="s">
        <v>168</v>
      </c>
      <c r="S21" s="46"/>
      <c r="T21" s="46"/>
      <c r="U21" s="44" t="s">
        <v>169</v>
      </c>
      <c r="V21" s="46"/>
      <c r="W21" s="46"/>
    </row>
    <row r="22">
      <c r="A22" s="46"/>
      <c r="B22" s="39" t="s">
        <v>170</v>
      </c>
      <c r="C22" s="39"/>
      <c r="D22" s="39"/>
      <c r="E22" s="46"/>
      <c r="F22" s="40" t="s">
        <v>171</v>
      </c>
      <c r="G22" s="39"/>
      <c r="H22" s="52"/>
      <c r="I22" s="40" t="s">
        <v>172</v>
      </c>
      <c r="J22" s="46"/>
      <c r="K22" s="46"/>
      <c r="L22" s="44" t="s">
        <v>173</v>
      </c>
      <c r="M22" s="46"/>
      <c r="N22" s="46"/>
      <c r="O22" s="44" t="s">
        <v>174</v>
      </c>
      <c r="P22" s="46"/>
      <c r="Q22" s="46"/>
      <c r="R22" s="44" t="s">
        <v>175</v>
      </c>
      <c r="S22" s="46"/>
      <c r="T22" s="46"/>
      <c r="U22" s="44" t="s">
        <v>176</v>
      </c>
      <c r="V22" s="46"/>
      <c r="W22" s="46"/>
    </row>
    <row r="23">
      <c r="A23" s="46"/>
      <c r="B23" s="39" t="s">
        <v>177</v>
      </c>
      <c r="C23" s="39"/>
      <c r="D23" s="39"/>
      <c r="E23" s="46"/>
      <c r="F23" s="40" t="s">
        <v>178</v>
      </c>
      <c r="G23" s="39"/>
      <c r="H23" s="52"/>
      <c r="I23" s="40" t="s">
        <v>179</v>
      </c>
      <c r="J23" s="46"/>
      <c r="K23" s="46"/>
      <c r="L23" s="44" t="s">
        <v>180</v>
      </c>
      <c r="M23" s="46"/>
      <c r="N23" s="46"/>
      <c r="O23" s="44" t="s">
        <v>181</v>
      </c>
      <c r="P23" s="46"/>
      <c r="Q23" s="46"/>
      <c r="R23" s="44" t="s">
        <v>182</v>
      </c>
      <c r="S23" s="46"/>
      <c r="T23" s="46"/>
      <c r="U23" s="44" t="s">
        <v>183</v>
      </c>
      <c r="V23" s="46"/>
      <c r="W23" s="46"/>
    </row>
    <row r="24">
      <c r="A24" s="39"/>
      <c r="B24" s="39" t="s">
        <v>184</v>
      </c>
      <c r="C24" s="39"/>
      <c r="D24" s="39"/>
      <c r="E24" s="46"/>
      <c r="F24" s="40" t="s">
        <v>185</v>
      </c>
      <c r="G24" s="39"/>
      <c r="H24" s="52"/>
      <c r="I24" s="40" t="s">
        <v>186</v>
      </c>
      <c r="J24" s="46"/>
      <c r="K24" s="46"/>
      <c r="L24" s="44" t="s">
        <v>187</v>
      </c>
      <c r="M24" s="46"/>
      <c r="N24" s="46"/>
      <c r="O24" s="44" t="s">
        <v>188</v>
      </c>
      <c r="P24" s="46"/>
      <c r="Q24" s="46"/>
      <c r="R24" s="44" t="s">
        <v>189</v>
      </c>
      <c r="S24" s="46"/>
      <c r="T24" s="46"/>
      <c r="U24" s="44" t="s">
        <v>190</v>
      </c>
      <c r="V24" s="46"/>
      <c r="W24" s="46"/>
    </row>
    <row r="25">
      <c r="A25" s="39"/>
      <c r="B25" s="39" t="s">
        <v>191</v>
      </c>
      <c r="C25" s="39"/>
      <c r="D25" s="46"/>
      <c r="E25" s="46"/>
      <c r="F25" s="40" t="s">
        <v>192</v>
      </c>
      <c r="G25" s="39"/>
      <c r="H25" s="52"/>
      <c r="I25" s="40" t="s">
        <v>193</v>
      </c>
      <c r="J25" s="46"/>
      <c r="K25" s="46"/>
      <c r="L25" s="44" t="s">
        <v>194</v>
      </c>
      <c r="M25" s="46"/>
      <c r="N25" s="46"/>
      <c r="O25" s="44" t="s">
        <v>195</v>
      </c>
      <c r="P25" s="46"/>
      <c r="Q25" s="38"/>
      <c r="R25" s="38" t="s">
        <v>196</v>
      </c>
      <c r="S25" s="46"/>
      <c r="T25" s="46"/>
      <c r="U25" s="44" t="s">
        <v>197</v>
      </c>
      <c r="V25" s="46"/>
      <c r="W25" s="46"/>
    </row>
    <row r="26">
      <c r="A26" s="39"/>
      <c r="B26" s="39" t="s">
        <v>198</v>
      </c>
      <c r="C26" s="39"/>
      <c r="D26" s="46"/>
      <c r="E26" s="46"/>
      <c r="F26" s="40" t="s">
        <v>199</v>
      </c>
      <c r="G26" s="39"/>
      <c r="H26" s="52"/>
      <c r="I26" s="40" t="s">
        <v>200</v>
      </c>
      <c r="J26" s="46"/>
      <c r="K26" s="46"/>
      <c r="L26" s="44" t="s">
        <v>201</v>
      </c>
      <c r="M26" s="46"/>
      <c r="N26" s="46"/>
      <c r="O26" s="44" t="s">
        <v>202</v>
      </c>
      <c r="P26" s="46"/>
      <c r="Q26" s="46"/>
      <c r="R26" s="44" t="s">
        <v>203</v>
      </c>
      <c r="S26" s="46"/>
      <c r="T26" s="46"/>
      <c r="U26" s="44" t="s">
        <v>204</v>
      </c>
      <c r="V26" s="46"/>
      <c r="W26" s="46"/>
    </row>
    <row r="27">
      <c r="A27" s="39"/>
      <c r="B27" s="39" t="s">
        <v>205</v>
      </c>
      <c r="C27" s="39"/>
      <c r="D27" s="46"/>
      <c r="E27" s="46"/>
      <c r="F27" s="40" t="s">
        <v>206</v>
      </c>
      <c r="G27" s="39"/>
      <c r="H27" s="52"/>
      <c r="I27" s="40" t="s">
        <v>207</v>
      </c>
      <c r="J27" s="46"/>
      <c r="K27" s="46"/>
      <c r="L27" s="44" t="s">
        <v>208</v>
      </c>
      <c r="M27" s="46"/>
      <c r="N27" s="46"/>
      <c r="O27" s="44" t="s">
        <v>209</v>
      </c>
      <c r="P27" s="46"/>
      <c r="Q27" s="46"/>
      <c r="R27" s="44" t="s">
        <v>210</v>
      </c>
      <c r="S27" s="46"/>
      <c r="T27" s="46"/>
      <c r="U27" s="40" t="s">
        <v>211</v>
      </c>
      <c r="V27" s="46"/>
      <c r="W27" s="46"/>
    </row>
    <row r="28">
      <c r="A28" s="39"/>
      <c r="B28" s="39" t="s">
        <v>212</v>
      </c>
      <c r="C28" s="39"/>
      <c r="D28" s="46"/>
      <c r="E28" s="46"/>
      <c r="F28" s="40" t="s">
        <v>213</v>
      </c>
      <c r="G28" s="39"/>
      <c r="H28" s="52"/>
      <c r="I28" s="40" t="s">
        <v>214</v>
      </c>
      <c r="J28" s="46"/>
      <c r="K28" s="46"/>
      <c r="L28" s="44" t="s">
        <v>215</v>
      </c>
      <c r="M28" s="46"/>
      <c r="N28" s="46"/>
      <c r="O28" s="44" t="s">
        <v>216</v>
      </c>
      <c r="P28" s="46"/>
      <c r="Q28" s="46"/>
      <c r="R28" s="44" t="s">
        <v>217</v>
      </c>
      <c r="S28" s="46"/>
      <c r="T28" s="46"/>
      <c r="U28" s="46"/>
      <c r="V28" s="46"/>
      <c r="W28" s="46"/>
    </row>
    <row r="29">
      <c r="A29" s="39"/>
      <c r="B29" s="39" t="s">
        <v>218</v>
      </c>
      <c r="C29" s="39"/>
      <c r="D29" s="46"/>
      <c r="E29" s="46"/>
      <c r="F29" s="40" t="s">
        <v>219</v>
      </c>
      <c r="G29" s="39"/>
      <c r="H29" s="52"/>
      <c r="I29" s="40" t="s">
        <v>220</v>
      </c>
      <c r="J29" s="46"/>
      <c r="K29" s="46"/>
      <c r="L29" s="44" t="s">
        <v>221</v>
      </c>
      <c r="M29" s="46"/>
      <c r="N29" s="46"/>
      <c r="O29" s="44" t="s">
        <v>222</v>
      </c>
      <c r="P29" s="46"/>
      <c r="Q29" s="46"/>
      <c r="R29" s="44" t="s">
        <v>223</v>
      </c>
      <c r="S29" s="46"/>
      <c r="T29" s="46"/>
      <c r="U29" s="46"/>
      <c r="V29" s="46"/>
      <c r="W29" s="46"/>
    </row>
    <row r="30">
      <c r="A30" s="39"/>
      <c r="B30" s="39" t="s">
        <v>224</v>
      </c>
      <c r="C30" s="39"/>
      <c r="D30" s="46"/>
      <c r="E30" s="46"/>
      <c r="F30" s="40" t="s">
        <v>225</v>
      </c>
      <c r="G30" s="39"/>
      <c r="H30" s="52"/>
      <c r="I30" s="40" t="s">
        <v>226</v>
      </c>
      <c r="J30" s="46"/>
      <c r="K30" s="46"/>
      <c r="L30" s="46"/>
      <c r="M30" s="46"/>
      <c r="N30" s="46"/>
      <c r="O30" s="44" t="s">
        <v>227</v>
      </c>
      <c r="P30" s="46"/>
      <c r="Q30" s="46"/>
      <c r="R30" s="46"/>
      <c r="S30" s="46"/>
      <c r="T30" s="46"/>
      <c r="U30" s="46"/>
      <c r="V30" s="46"/>
      <c r="W30" s="46"/>
    </row>
    <row r="31">
      <c r="A31" s="39"/>
      <c r="B31" s="39" t="s">
        <v>228</v>
      </c>
      <c r="C31" s="39"/>
      <c r="D31" s="46"/>
      <c r="E31" s="46"/>
      <c r="F31" s="40" t="s">
        <v>229</v>
      </c>
      <c r="G31" s="39"/>
      <c r="H31" s="52"/>
      <c r="I31" s="40" t="s">
        <v>230</v>
      </c>
      <c r="J31" s="46"/>
      <c r="K31" s="46"/>
      <c r="L31" s="46"/>
      <c r="M31" s="46"/>
      <c r="N31" s="46"/>
      <c r="O31" s="46"/>
      <c r="P31" s="46"/>
      <c r="Q31" s="46"/>
      <c r="R31" s="46"/>
      <c r="S31" s="46"/>
      <c r="T31" s="46"/>
      <c r="U31" s="46"/>
      <c r="V31" s="46"/>
      <c r="W31" s="46"/>
    </row>
    <row r="32">
      <c r="A32" s="39"/>
      <c r="B32" s="39" t="s">
        <v>231</v>
      </c>
      <c r="C32" s="39"/>
      <c r="D32" s="46"/>
      <c r="E32" s="46"/>
      <c r="F32" s="40" t="s">
        <v>232</v>
      </c>
      <c r="G32" s="39"/>
      <c r="H32" s="52"/>
      <c r="I32" s="40" t="s">
        <v>233</v>
      </c>
      <c r="J32" s="46"/>
      <c r="K32" s="46"/>
      <c r="L32" s="46"/>
      <c r="M32" s="46"/>
      <c r="N32" s="46"/>
      <c r="O32" s="46"/>
      <c r="P32" s="46"/>
      <c r="Q32" s="46"/>
      <c r="R32" s="46"/>
      <c r="S32" s="46"/>
      <c r="T32" s="46"/>
      <c r="U32" s="46"/>
      <c r="V32" s="46"/>
      <c r="W32" s="46"/>
    </row>
    <row r="33">
      <c r="A33" s="46"/>
      <c r="B33" s="39" t="s">
        <v>234</v>
      </c>
      <c r="C33" s="39"/>
      <c r="D33" s="46"/>
      <c r="E33" s="46"/>
      <c r="F33" s="40" t="s">
        <v>185</v>
      </c>
      <c r="G33" s="39"/>
      <c r="H33" s="52"/>
      <c r="I33" s="40" t="s">
        <v>119</v>
      </c>
      <c r="J33" s="46"/>
      <c r="K33" s="46"/>
      <c r="L33" s="46"/>
      <c r="M33" s="46"/>
      <c r="N33" s="46"/>
      <c r="O33" s="46"/>
      <c r="P33" s="46"/>
      <c r="Q33" s="46"/>
      <c r="R33" s="46"/>
      <c r="S33" s="46"/>
      <c r="T33" s="46"/>
      <c r="U33" s="46"/>
      <c r="V33" s="46"/>
      <c r="W33" s="46"/>
    </row>
    <row r="34">
      <c r="A34" s="46"/>
      <c r="B34" s="39" t="s">
        <v>235</v>
      </c>
      <c r="C34" s="39"/>
      <c r="D34" s="46"/>
      <c r="E34" s="46"/>
      <c r="F34" s="40" t="s">
        <v>236</v>
      </c>
      <c r="G34" s="39"/>
      <c r="H34" s="52"/>
      <c r="I34" s="39"/>
      <c r="J34" s="46"/>
      <c r="K34" s="46"/>
      <c r="L34" s="46"/>
      <c r="M34" s="46"/>
      <c r="N34" s="46"/>
      <c r="O34" s="46"/>
      <c r="P34" s="46"/>
      <c r="Q34" s="46"/>
      <c r="R34" s="46"/>
      <c r="S34" s="46"/>
      <c r="T34" s="46"/>
      <c r="U34" s="46"/>
      <c r="V34" s="46"/>
      <c r="W34" s="46"/>
    </row>
    <row r="35">
      <c r="A35" s="46"/>
      <c r="B35" s="39"/>
      <c r="C35" s="39"/>
      <c r="D35" s="46"/>
      <c r="E35" s="46"/>
      <c r="F35" s="40" t="s">
        <v>116</v>
      </c>
      <c r="G35" s="39"/>
      <c r="H35" s="52"/>
      <c r="I35" s="39"/>
      <c r="J35" s="46"/>
      <c r="K35" s="46"/>
      <c r="L35" s="46"/>
      <c r="M35" s="46"/>
      <c r="N35" s="46"/>
      <c r="O35" s="46"/>
      <c r="P35" s="46"/>
      <c r="Q35" s="46"/>
      <c r="R35" s="46"/>
      <c r="S35" s="46"/>
      <c r="T35" s="46"/>
      <c r="U35" s="46"/>
      <c r="V35" s="46"/>
      <c r="W35" s="46"/>
    </row>
    <row r="36">
      <c r="A36" s="46"/>
      <c r="B36" s="39"/>
      <c r="C36" s="39"/>
      <c r="D36" s="46"/>
      <c r="E36" s="46"/>
      <c r="F36" s="40" t="s">
        <v>237</v>
      </c>
      <c r="G36" s="39"/>
      <c r="H36" s="52"/>
      <c r="I36" s="39"/>
      <c r="J36" s="46"/>
      <c r="K36" s="46"/>
      <c r="L36" s="46"/>
      <c r="M36" s="46"/>
      <c r="N36" s="46"/>
      <c r="O36" s="46"/>
      <c r="P36" s="46"/>
      <c r="Q36" s="46"/>
      <c r="R36" s="46"/>
      <c r="S36" s="46"/>
      <c r="T36" s="46"/>
      <c r="U36" s="46"/>
      <c r="V36" s="46"/>
      <c r="W36" s="46"/>
    </row>
    <row r="37">
      <c r="A37" s="46"/>
      <c r="B37" s="39"/>
      <c r="C37" s="39"/>
      <c r="D37" s="46"/>
      <c r="E37" s="46"/>
      <c r="F37" s="46"/>
      <c r="G37" s="46"/>
      <c r="H37" s="46"/>
      <c r="I37" s="46"/>
      <c r="J37" s="46"/>
      <c r="K37" s="46"/>
      <c r="L37" s="46"/>
      <c r="M37" s="46"/>
      <c r="N37" s="46"/>
      <c r="O37" s="46"/>
      <c r="P37" s="46"/>
      <c r="Q37" s="46"/>
      <c r="R37" s="46"/>
      <c r="S37" s="46"/>
      <c r="T37" s="46"/>
      <c r="U37" s="46"/>
      <c r="V37" s="46"/>
      <c r="W37" s="46"/>
    </row>
    <row r="38">
      <c r="A38" s="46"/>
      <c r="B38" s="39"/>
      <c r="C38" s="39"/>
      <c r="D38" s="46"/>
      <c r="E38" s="46"/>
      <c r="F38" s="46"/>
      <c r="G38" s="46"/>
      <c r="H38" s="46"/>
      <c r="I38" s="46"/>
      <c r="J38" s="46"/>
      <c r="K38" s="46"/>
      <c r="L38" s="46"/>
      <c r="M38" s="46"/>
      <c r="N38" s="46"/>
      <c r="O38" s="46"/>
      <c r="P38" s="46"/>
      <c r="Q38" s="46"/>
      <c r="R38" s="46"/>
      <c r="S38" s="46"/>
      <c r="T38" s="46"/>
      <c r="U38" s="46"/>
      <c r="V38" s="46"/>
      <c r="W38" s="46"/>
    </row>
    <row r="39">
      <c r="A39" s="53"/>
      <c r="B39" s="54"/>
      <c r="C39" s="54"/>
      <c r="D39" s="53"/>
      <c r="E39" s="53"/>
      <c r="F39" s="53"/>
      <c r="G39" s="53"/>
      <c r="H39" s="53"/>
      <c r="I39" s="53"/>
      <c r="J39" s="53"/>
      <c r="K39" s="53"/>
      <c r="L39" s="53"/>
      <c r="M39" s="53"/>
      <c r="N39" s="53"/>
      <c r="O39" s="53"/>
      <c r="P39" s="53"/>
      <c r="Q39" s="53"/>
      <c r="R39" s="53"/>
      <c r="S39" s="53"/>
      <c r="T39" s="53"/>
      <c r="U39" s="53"/>
      <c r="V39" s="53"/>
      <c r="W39" s="53"/>
    </row>
    <row r="40">
      <c r="A40" s="38" t="s">
        <v>238</v>
      </c>
      <c r="B40" s="55" t="s">
        <v>74</v>
      </c>
      <c r="C40" s="39"/>
      <c r="D40" s="56" t="s">
        <v>239</v>
      </c>
      <c r="E40" s="57" t="s">
        <v>240</v>
      </c>
      <c r="F40" s="58" t="s">
        <v>241</v>
      </c>
      <c r="G40" s="59" t="s">
        <v>242</v>
      </c>
      <c r="H40" s="60" t="s">
        <v>243</v>
      </c>
      <c r="I40" s="58" t="s">
        <v>244</v>
      </c>
      <c r="J40" s="43" t="s">
        <v>245</v>
      </c>
      <c r="K40" s="57" t="s">
        <v>246</v>
      </c>
      <c r="L40" s="58" t="s">
        <v>247</v>
      </c>
      <c r="M40" s="59" t="s">
        <v>248</v>
      </c>
      <c r="N40" s="57" t="s">
        <v>249</v>
      </c>
      <c r="O40" s="58" t="s">
        <v>86</v>
      </c>
      <c r="P40" s="45" t="s">
        <v>250</v>
      </c>
      <c r="Q40" s="57" t="s">
        <v>251</v>
      </c>
      <c r="R40" s="61" t="s">
        <v>252</v>
      </c>
      <c r="S40" s="62" t="s">
        <v>253</v>
      </c>
      <c r="T40" s="57" t="s">
        <v>254</v>
      </c>
      <c r="U40" s="61" t="s">
        <v>255</v>
      </c>
      <c r="V40" s="41" t="s">
        <v>256</v>
      </c>
      <c r="W40" s="57" t="s">
        <v>257</v>
      </c>
    </row>
    <row r="41">
      <c r="A41" s="46"/>
      <c r="B41" s="63" t="s">
        <v>95</v>
      </c>
      <c r="C41" s="39"/>
      <c r="D41" s="64" t="s">
        <v>258</v>
      </c>
      <c r="E41" s="57" t="s">
        <v>259</v>
      </c>
      <c r="F41" s="58" t="s">
        <v>260</v>
      </c>
      <c r="G41" s="59" t="s">
        <v>261</v>
      </c>
      <c r="H41" s="60"/>
      <c r="I41" s="58" t="s">
        <v>262</v>
      </c>
      <c r="J41" s="41" t="s">
        <v>263</v>
      </c>
      <c r="K41" s="57" t="s">
        <v>264</v>
      </c>
      <c r="L41" s="58" t="s">
        <v>104</v>
      </c>
      <c r="M41" s="59" t="s">
        <v>265</v>
      </c>
      <c r="N41" s="57" t="s">
        <v>266</v>
      </c>
      <c r="O41" s="58" t="s">
        <v>181</v>
      </c>
      <c r="P41" s="45" t="s">
        <v>267</v>
      </c>
      <c r="Q41" s="65" t="s">
        <v>268</v>
      </c>
      <c r="R41" s="61" t="s">
        <v>269</v>
      </c>
      <c r="S41" s="59" t="s">
        <v>270</v>
      </c>
      <c r="T41" s="57" t="s">
        <v>271</v>
      </c>
      <c r="U41" s="61" t="s">
        <v>272</v>
      </c>
      <c r="V41" s="41" t="s">
        <v>273</v>
      </c>
      <c r="W41" s="57" t="s">
        <v>274</v>
      </c>
    </row>
    <row r="42">
      <c r="A42" s="46"/>
      <c r="B42" s="66" t="s">
        <v>116</v>
      </c>
      <c r="C42" s="39"/>
      <c r="D42" s="67" t="s">
        <v>275</v>
      </c>
      <c r="E42" s="57" t="s">
        <v>276</v>
      </c>
      <c r="F42" s="58" t="s">
        <v>277</v>
      </c>
      <c r="G42" s="59" t="s">
        <v>278</v>
      </c>
      <c r="H42" s="60"/>
      <c r="I42" s="58" t="s">
        <v>279</v>
      </c>
      <c r="J42" s="41" t="s">
        <v>280</v>
      </c>
      <c r="K42" s="57" t="s">
        <v>281</v>
      </c>
      <c r="L42" s="58" t="s">
        <v>282</v>
      </c>
      <c r="M42" s="59" t="s">
        <v>283</v>
      </c>
      <c r="N42" s="57" t="s">
        <v>284</v>
      </c>
      <c r="O42" s="58" t="s">
        <v>285</v>
      </c>
      <c r="P42" s="45" t="s">
        <v>286</v>
      </c>
      <c r="Q42" s="57" t="s">
        <v>287</v>
      </c>
      <c r="R42" s="61" t="s">
        <v>288</v>
      </c>
      <c r="S42" s="59" t="s">
        <v>289</v>
      </c>
      <c r="T42" s="57" t="s">
        <v>290</v>
      </c>
      <c r="U42" s="61" t="s">
        <v>291</v>
      </c>
      <c r="V42" s="41" t="s">
        <v>292</v>
      </c>
      <c r="W42" s="57" t="s">
        <v>293</v>
      </c>
    </row>
    <row r="43">
      <c r="A43" s="1"/>
      <c r="B43" s="63" t="s">
        <v>137</v>
      </c>
      <c r="C43" s="1"/>
      <c r="D43" s="64" t="s">
        <v>294</v>
      </c>
      <c r="E43" s="57" t="s">
        <v>295</v>
      </c>
      <c r="F43" s="58" t="s">
        <v>296</v>
      </c>
      <c r="G43" s="68" t="s">
        <v>297</v>
      </c>
      <c r="H43" s="60"/>
      <c r="I43" s="58" t="s">
        <v>298</v>
      </c>
      <c r="J43" s="41" t="s">
        <v>299</v>
      </c>
      <c r="K43" s="57" t="s">
        <v>300</v>
      </c>
      <c r="L43" s="58" t="s">
        <v>301</v>
      </c>
      <c r="M43" s="68" t="s">
        <v>302</v>
      </c>
      <c r="N43" s="57" t="s">
        <v>303</v>
      </c>
      <c r="O43" s="58" t="s">
        <v>304</v>
      </c>
      <c r="P43" s="45" t="s">
        <v>305</v>
      </c>
      <c r="Q43" s="57" t="s">
        <v>306</v>
      </c>
      <c r="R43" s="61" t="s">
        <v>307</v>
      </c>
      <c r="S43" s="59" t="s">
        <v>308</v>
      </c>
      <c r="T43" s="57" t="s">
        <v>309</v>
      </c>
      <c r="U43" s="61" t="s">
        <v>310</v>
      </c>
      <c r="V43" s="1"/>
      <c r="W43" s="1"/>
    </row>
    <row r="44">
      <c r="A44" s="1"/>
      <c r="B44" s="63" t="s">
        <v>311</v>
      </c>
      <c r="C44" s="1"/>
      <c r="D44" s="1"/>
      <c r="E44" s="1"/>
      <c r="F44" s="58" t="s">
        <v>312</v>
      </c>
      <c r="G44" s="1"/>
      <c r="H44" s="1"/>
      <c r="I44" s="58" t="s">
        <v>313</v>
      </c>
      <c r="J44" s="1"/>
      <c r="K44" s="1"/>
      <c r="L44" s="58" t="s">
        <v>314</v>
      </c>
      <c r="M44" s="1"/>
      <c r="N44" s="1"/>
      <c r="O44" s="58" t="s">
        <v>315</v>
      </c>
      <c r="P44" s="45" t="s">
        <v>316</v>
      </c>
      <c r="Q44" s="57" t="s">
        <v>317</v>
      </c>
      <c r="R44" s="61" t="s">
        <v>318</v>
      </c>
      <c r="S44" s="1"/>
      <c r="T44" s="1"/>
      <c r="U44" s="61" t="s">
        <v>319</v>
      </c>
      <c r="V44" s="1"/>
      <c r="W44" s="1"/>
    </row>
    <row r="45">
      <c r="A45" s="1"/>
      <c r="B45" s="63" t="s">
        <v>320</v>
      </c>
      <c r="C45" s="1"/>
      <c r="D45" s="1"/>
      <c r="E45" s="1"/>
      <c r="F45" s="58" t="s">
        <v>321</v>
      </c>
      <c r="G45" s="1"/>
      <c r="H45" s="1"/>
      <c r="I45" s="58" t="s">
        <v>322</v>
      </c>
      <c r="J45" s="1"/>
      <c r="K45" s="1"/>
      <c r="L45" s="58" t="s">
        <v>323</v>
      </c>
      <c r="M45" s="1"/>
      <c r="N45" s="1"/>
      <c r="O45" s="58" t="s">
        <v>324</v>
      </c>
      <c r="P45" s="1"/>
      <c r="Q45" s="1"/>
      <c r="R45" s="61" t="s">
        <v>325</v>
      </c>
      <c r="S45" s="1"/>
      <c r="T45" s="1"/>
      <c r="U45" s="61" t="s">
        <v>326</v>
      </c>
      <c r="V45" s="1"/>
      <c r="W45" s="1"/>
    </row>
    <row r="46">
      <c r="A46" s="1"/>
      <c r="B46" s="63" t="s">
        <v>327</v>
      </c>
      <c r="C46" s="1"/>
      <c r="D46" s="1"/>
      <c r="E46" s="1"/>
      <c r="F46" s="58" t="s">
        <v>328</v>
      </c>
      <c r="G46" s="1"/>
      <c r="H46" s="1"/>
      <c r="I46" s="58" t="s">
        <v>165</v>
      </c>
      <c r="J46" s="1"/>
      <c r="K46" s="1"/>
      <c r="L46" s="58" t="s">
        <v>329</v>
      </c>
      <c r="M46" s="1"/>
      <c r="N46" s="1"/>
      <c r="O46" s="58" t="s">
        <v>175</v>
      </c>
      <c r="P46" s="1"/>
      <c r="Q46" s="1"/>
      <c r="R46" s="61" t="s">
        <v>330</v>
      </c>
      <c r="S46" s="1"/>
      <c r="T46" s="1"/>
      <c r="U46" s="61" t="s">
        <v>331</v>
      </c>
      <c r="V46" s="1"/>
      <c r="W46" s="1"/>
    </row>
    <row r="47">
      <c r="A47" s="1"/>
      <c r="B47" s="63" t="s">
        <v>332</v>
      </c>
      <c r="C47" s="1"/>
      <c r="D47" s="1"/>
      <c r="E47" s="1"/>
      <c r="F47" s="58" t="s">
        <v>333</v>
      </c>
      <c r="G47" s="1"/>
      <c r="H47" s="1"/>
      <c r="I47" s="58" t="s">
        <v>334</v>
      </c>
      <c r="J47" s="1"/>
      <c r="K47" s="1"/>
      <c r="L47" s="58" t="s">
        <v>335</v>
      </c>
      <c r="M47" s="1"/>
      <c r="N47" s="1"/>
      <c r="O47" s="58" t="s">
        <v>336</v>
      </c>
      <c r="P47" s="1"/>
      <c r="Q47" s="1"/>
      <c r="R47" s="61" t="s">
        <v>337</v>
      </c>
      <c r="S47" s="1"/>
      <c r="T47" s="1"/>
      <c r="U47" s="61" t="s">
        <v>338</v>
      </c>
      <c r="V47" s="1"/>
      <c r="W47" s="1"/>
    </row>
    <row r="48">
      <c r="A48" s="1"/>
      <c r="B48" s="63" t="s">
        <v>339</v>
      </c>
      <c r="C48" s="1"/>
      <c r="D48" s="1"/>
      <c r="E48" s="1"/>
      <c r="F48" s="58" t="s">
        <v>340</v>
      </c>
      <c r="G48" s="1"/>
      <c r="H48" s="1"/>
      <c r="I48" s="58" t="s">
        <v>207</v>
      </c>
      <c r="J48" s="1"/>
      <c r="K48" s="1"/>
      <c r="L48" s="58" t="s">
        <v>341</v>
      </c>
      <c r="M48" s="1"/>
      <c r="N48" s="1"/>
      <c r="O48" s="58" t="s">
        <v>342</v>
      </c>
      <c r="P48" s="1"/>
      <c r="Q48" s="1"/>
      <c r="R48" s="61" t="s">
        <v>343</v>
      </c>
      <c r="S48" s="1"/>
      <c r="T48" s="1"/>
      <c r="U48" s="61" t="s">
        <v>344</v>
      </c>
      <c r="V48" s="1"/>
      <c r="W48" s="1"/>
    </row>
    <row r="49">
      <c r="A49" s="1"/>
      <c r="B49" s="63" t="s">
        <v>345</v>
      </c>
      <c r="C49" s="1"/>
      <c r="D49" s="1"/>
      <c r="E49" s="1"/>
      <c r="F49" s="58" t="s">
        <v>346</v>
      </c>
      <c r="G49" s="1"/>
      <c r="H49" s="1"/>
      <c r="I49" s="58" t="s">
        <v>347</v>
      </c>
      <c r="J49" s="1"/>
      <c r="K49" s="1"/>
      <c r="L49" s="58" t="s">
        <v>348</v>
      </c>
      <c r="M49" s="1"/>
      <c r="N49" s="1"/>
      <c r="O49" s="58" t="s">
        <v>349</v>
      </c>
      <c r="P49" s="1"/>
      <c r="Q49" s="1"/>
      <c r="R49" s="61" t="s">
        <v>350</v>
      </c>
      <c r="S49" s="1"/>
      <c r="T49" s="1"/>
      <c r="U49" s="61" t="s">
        <v>351</v>
      </c>
      <c r="V49" s="1"/>
      <c r="W49" s="1"/>
    </row>
    <row r="50">
      <c r="A50" s="1"/>
      <c r="B50" s="63" t="s">
        <v>352</v>
      </c>
      <c r="C50" s="1"/>
      <c r="D50" s="1"/>
      <c r="E50" s="1"/>
      <c r="F50" s="58" t="s">
        <v>353</v>
      </c>
      <c r="G50" s="1"/>
      <c r="H50" s="1"/>
      <c r="I50" s="58" t="s">
        <v>354</v>
      </c>
      <c r="J50" s="1"/>
      <c r="K50" s="1"/>
      <c r="L50" s="58" t="s">
        <v>355</v>
      </c>
      <c r="M50" s="1"/>
      <c r="N50" s="1"/>
      <c r="O50" s="58" t="s">
        <v>356</v>
      </c>
      <c r="P50" s="1"/>
      <c r="Q50" s="1"/>
      <c r="R50" s="69" t="s">
        <v>357</v>
      </c>
      <c r="S50" s="1"/>
      <c r="T50" s="1"/>
      <c r="U50" s="1"/>
      <c r="V50" s="1"/>
      <c r="W50" s="1"/>
    </row>
    <row r="51">
      <c r="A51" s="1"/>
      <c r="B51" s="63" t="s">
        <v>358</v>
      </c>
      <c r="C51" s="1"/>
      <c r="D51" s="1"/>
      <c r="E51" s="1"/>
      <c r="F51" s="58" t="s">
        <v>359</v>
      </c>
      <c r="G51" s="1"/>
      <c r="H51" s="1"/>
      <c r="I51" s="58" t="s">
        <v>200</v>
      </c>
      <c r="J51" s="1"/>
      <c r="K51" s="1"/>
      <c r="L51" s="58" t="s">
        <v>360</v>
      </c>
      <c r="M51" s="1"/>
      <c r="N51" s="1"/>
      <c r="O51" s="58" t="s">
        <v>361</v>
      </c>
      <c r="P51" s="1"/>
      <c r="Q51" s="1"/>
      <c r="R51" s="61" t="s">
        <v>362</v>
      </c>
      <c r="S51" s="1"/>
      <c r="T51" s="1"/>
      <c r="U51" s="1"/>
      <c r="V51" s="1"/>
      <c r="W51" s="1"/>
    </row>
    <row r="52">
      <c r="A52" s="1"/>
      <c r="B52" s="63" t="s">
        <v>363</v>
      </c>
      <c r="C52" s="1"/>
      <c r="D52" s="1"/>
      <c r="E52" s="1"/>
      <c r="F52" s="58" t="s">
        <v>364</v>
      </c>
      <c r="G52" s="1"/>
      <c r="H52" s="1"/>
      <c r="I52" s="58" t="s">
        <v>365</v>
      </c>
      <c r="J52" s="1"/>
      <c r="K52" s="1"/>
      <c r="L52" s="58" t="s">
        <v>247</v>
      </c>
      <c r="M52" s="1"/>
      <c r="N52" s="1"/>
      <c r="O52" s="58" t="s">
        <v>366</v>
      </c>
      <c r="P52" s="1"/>
      <c r="Q52" s="1"/>
      <c r="R52" s="61" t="s">
        <v>367</v>
      </c>
      <c r="S52" s="1"/>
      <c r="T52" s="1"/>
      <c r="U52" s="1"/>
      <c r="V52" s="1"/>
      <c r="W52" s="1"/>
    </row>
    <row r="53">
      <c r="A53" s="1"/>
      <c r="B53" s="63" t="s">
        <v>368</v>
      </c>
      <c r="C53" s="1"/>
      <c r="D53" s="1"/>
      <c r="E53" s="1"/>
      <c r="F53" s="58" t="s">
        <v>369</v>
      </c>
      <c r="G53" s="1"/>
      <c r="H53" s="1"/>
      <c r="I53" s="58" t="s">
        <v>220</v>
      </c>
      <c r="J53" s="1"/>
      <c r="K53" s="1"/>
      <c r="L53" s="58" t="s">
        <v>370</v>
      </c>
      <c r="M53" s="1"/>
      <c r="N53" s="1"/>
      <c r="O53" s="58" t="s">
        <v>371</v>
      </c>
      <c r="P53" s="1"/>
      <c r="Q53" s="1"/>
      <c r="R53" s="61" t="s">
        <v>372</v>
      </c>
      <c r="S53" s="1"/>
      <c r="T53" s="1"/>
      <c r="U53" s="1"/>
      <c r="V53" s="1"/>
      <c r="W53" s="1"/>
    </row>
    <row r="54">
      <c r="A54" s="1"/>
      <c r="B54" s="63" t="s">
        <v>373</v>
      </c>
      <c r="C54" s="1"/>
      <c r="D54" s="1"/>
      <c r="E54" s="1"/>
      <c r="F54" s="58" t="s">
        <v>374</v>
      </c>
      <c r="G54" s="1"/>
      <c r="H54" s="1"/>
      <c r="I54" s="58" t="s">
        <v>375</v>
      </c>
      <c r="J54" s="1"/>
      <c r="K54" s="1"/>
      <c r="L54" s="1"/>
      <c r="M54" s="1"/>
      <c r="N54" s="1"/>
      <c r="O54" s="58" t="s">
        <v>376</v>
      </c>
      <c r="P54" s="1"/>
      <c r="Q54" s="1"/>
      <c r="R54" s="1"/>
      <c r="S54" s="1"/>
      <c r="T54" s="1"/>
      <c r="U54" s="1"/>
      <c r="V54" s="1"/>
      <c r="W54" s="1"/>
    </row>
    <row r="55">
      <c r="A55" s="1"/>
      <c r="B55" s="63" t="s">
        <v>377</v>
      </c>
      <c r="C55" s="1"/>
      <c r="D55" s="1"/>
      <c r="E55" s="1"/>
      <c r="F55" s="58" t="s">
        <v>378</v>
      </c>
      <c r="G55" s="1"/>
      <c r="H55" s="1"/>
      <c r="I55" s="58" t="s">
        <v>379</v>
      </c>
      <c r="J55" s="1"/>
      <c r="K55" s="1"/>
      <c r="L55" s="1"/>
      <c r="M55" s="1"/>
      <c r="N55" s="1"/>
      <c r="O55" s="61" t="s">
        <v>380</v>
      </c>
      <c r="P55" s="1"/>
      <c r="Q55" s="1"/>
      <c r="R55" s="1"/>
      <c r="S55" s="1"/>
      <c r="T55" s="1"/>
      <c r="U55" s="1"/>
      <c r="V55" s="1"/>
      <c r="W55" s="1"/>
    </row>
    <row r="56">
      <c r="A56" s="1"/>
      <c r="B56" s="63" t="s">
        <v>381</v>
      </c>
      <c r="C56" s="1"/>
      <c r="D56" s="1"/>
      <c r="E56" s="1"/>
      <c r="F56" s="58" t="s">
        <v>374</v>
      </c>
      <c r="G56" s="1"/>
      <c r="H56" s="1"/>
      <c r="I56" s="58" t="s">
        <v>382</v>
      </c>
      <c r="J56" s="1"/>
      <c r="K56" s="1"/>
      <c r="L56" s="1"/>
      <c r="M56" s="1"/>
      <c r="N56" s="1"/>
      <c r="O56" s="61" t="s">
        <v>383</v>
      </c>
      <c r="P56" s="1"/>
      <c r="Q56" s="1"/>
      <c r="R56" s="1"/>
      <c r="S56" s="1"/>
      <c r="T56" s="1"/>
      <c r="U56" s="1"/>
      <c r="V56" s="1"/>
      <c r="W56" s="1"/>
    </row>
    <row r="57">
      <c r="A57" s="1"/>
      <c r="B57" s="63" t="s">
        <v>384</v>
      </c>
      <c r="C57" s="1"/>
      <c r="D57" s="1"/>
      <c r="E57" s="1"/>
      <c r="F57" s="58" t="s">
        <v>381</v>
      </c>
      <c r="G57" s="1"/>
      <c r="H57" s="1"/>
      <c r="I57" s="58" t="s">
        <v>119</v>
      </c>
      <c r="J57" s="1"/>
      <c r="K57" s="1"/>
      <c r="L57" s="1"/>
      <c r="M57" s="1"/>
      <c r="N57" s="1"/>
      <c r="O57" s="1"/>
      <c r="P57" s="1"/>
      <c r="Q57" s="1"/>
      <c r="R57" s="1"/>
      <c r="S57" s="1"/>
      <c r="T57" s="1"/>
      <c r="U57" s="1"/>
      <c r="V57" s="1"/>
      <c r="W57" s="1"/>
    </row>
    <row r="58">
      <c r="A58" s="1"/>
      <c r="B58" s="63" t="s">
        <v>385</v>
      </c>
      <c r="C58" s="1"/>
      <c r="D58" s="1"/>
      <c r="E58" s="1"/>
      <c r="F58" s="58" t="s">
        <v>386</v>
      </c>
      <c r="G58" s="1"/>
      <c r="H58" s="1"/>
      <c r="I58" s="1"/>
      <c r="J58" s="1"/>
      <c r="K58" s="1"/>
      <c r="L58" s="1"/>
      <c r="M58" s="1"/>
      <c r="N58" s="1"/>
      <c r="O58" s="1"/>
      <c r="P58" s="1"/>
      <c r="Q58" s="1"/>
      <c r="R58" s="1"/>
      <c r="S58" s="1"/>
      <c r="T58" s="1"/>
      <c r="U58" s="1"/>
      <c r="V58" s="1"/>
      <c r="W58" s="1"/>
    </row>
    <row r="59">
      <c r="A59" s="1"/>
      <c r="B59" s="63" t="s">
        <v>387</v>
      </c>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70" t="s">
        <v>388</v>
      </c>
      <c r="B62" s="55" t="s">
        <v>74</v>
      </c>
      <c r="C62" s="67"/>
      <c r="D62" s="67" t="s">
        <v>389</v>
      </c>
      <c r="E62" s="71" t="s">
        <v>390</v>
      </c>
      <c r="F62" s="1"/>
      <c r="G62" s="1"/>
      <c r="H62" s="1"/>
      <c r="I62" s="1"/>
      <c r="J62" s="1"/>
      <c r="K62" s="1"/>
      <c r="L62" s="1"/>
      <c r="M62" s="1"/>
      <c r="N62" s="1"/>
      <c r="O62" s="1"/>
      <c r="P62" s="1"/>
      <c r="Q62" s="1"/>
      <c r="R62" s="1"/>
      <c r="S62" s="1"/>
      <c r="T62" s="1"/>
      <c r="U62" s="1"/>
      <c r="V62" s="1"/>
      <c r="W62" s="1"/>
    </row>
    <row r="63">
      <c r="A63" s="1"/>
      <c r="B63" s="63" t="s">
        <v>95</v>
      </c>
      <c r="C63" s="1"/>
      <c r="D63" s="64" t="s">
        <v>391</v>
      </c>
      <c r="E63" s="71" t="s">
        <v>392</v>
      </c>
      <c r="F63" s="1"/>
      <c r="G63" s="1"/>
      <c r="H63" s="1"/>
      <c r="I63" s="1"/>
      <c r="J63" s="1"/>
      <c r="K63" s="1"/>
      <c r="L63" s="1"/>
      <c r="M63" s="1"/>
      <c r="N63" s="1"/>
      <c r="O63" s="1"/>
      <c r="P63" s="1"/>
      <c r="Q63" s="1"/>
      <c r="R63" s="1"/>
      <c r="S63" s="1"/>
      <c r="T63" s="1"/>
      <c r="U63" s="1"/>
      <c r="V63" s="1"/>
      <c r="W63" s="1"/>
    </row>
    <row r="64">
      <c r="A64" s="1"/>
      <c r="B64" s="66" t="s">
        <v>116</v>
      </c>
      <c r="C64" s="1"/>
      <c r="D64" s="56" t="s">
        <v>393</v>
      </c>
      <c r="E64" s="71" t="s">
        <v>394</v>
      </c>
      <c r="F64" s="1"/>
      <c r="G64" s="1"/>
      <c r="H64" s="1"/>
      <c r="I64" s="1"/>
      <c r="J64" s="1"/>
      <c r="K64" s="1"/>
      <c r="L64" s="1"/>
      <c r="M64" s="1"/>
      <c r="N64" s="1"/>
      <c r="O64" s="1"/>
      <c r="P64" s="1"/>
      <c r="Q64" s="1"/>
      <c r="R64" s="1"/>
      <c r="S64" s="1"/>
      <c r="T64" s="1"/>
      <c r="U64" s="1"/>
      <c r="V64" s="1"/>
      <c r="W64" s="1"/>
    </row>
    <row r="65">
      <c r="A65" s="1"/>
      <c r="B65" s="63" t="s">
        <v>137</v>
      </c>
      <c r="C65" s="1"/>
      <c r="D65" s="64" t="s">
        <v>395</v>
      </c>
      <c r="E65" s="71" t="s">
        <v>396</v>
      </c>
      <c r="F65" s="1"/>
      <c r="G65" s="1"/>
      <c r="H65" s="1"/>
      <c r="I65" s="1"/>
      <c r="J65" s="1"/>
      <c r="K65" s="1"/>
      <c r="L65" s="1"/>
      <c r="M65" s="1"/>
      <c r="N65" s="1"/>
      <c r="O65" s="1"/>
      <c r="P65" s="1"/>
      <c r="Q65" s="1"/>
      <c r="R65" s="1"/>
      <c r="S65" s="1"/>
      <c r="T65" s="1"/>
      <c r="U65" s="1"/>
      <c r="V65" s="1"/>
      <c r="W65" s="1"/>
    </row>
    <row r="66">
      <c r="A66" s="1"/>
      <c r="B66" s="63" t="s">
        <v>397</v>
      </c>
      <c r="C66" s="1"/>
      <c r="D66" s="1"/>
      <c r="E66" s="1"/>
      <c r="F66" s="1"/>
      <c r="G66" s="1"/>
      <c r="H66" s="1"/>
      <c r="I66" s="1"/>
      <c r="J66" s="1"/>
      <c r="K66" s="1"/>
      <c r="L66" s="1"/>
      <c r="M66" s="1"/>
      <c r="N66" s="1"/>
      <c r="O66" s="1"/>
      <c r="P66" s="1"/>
      <c r="Q66" s="1"/>
      <c r="R66" s="1"/>
      <c r="S66" s="1"/>
      <c r="T66" s="1"/>
      <c r="U66" s="1"/>
      <c r="V66" s="1"/>
      <c r="W66" s="1"/>
    </row>
    <row r="67">
      <c r="A67" s="1"/>
      <c r="B67" s="63" t="s">
        <v>398</v>
      </c>
      <c r="C67" s="1"/>
      <c r="D67" s="1"/>
      <c r="E67" s="1"/>
      <c r="F67" s="1"/>
      <c r="G67" s="1"/>
      <c r="H67" s="1"/>
      <c r="I67" s="1"/>
      <c r="J67" s="1"/>
      <c r="K67" s="1"/>
      <c r="L67" s="1"/>
      <c r="M67" s="1"/>
      <c r="N67" s="1"/>
      <c r="O67" s="1"/>
      <c r="P67" s="1"/>
      <c r="Q67" s="1"/>
      <c r="R67" s="1"/>
      <c r="S67" s="1"/>
      <c r="T67" s="1"/>
      <c r="U67" s="1"/>
      <c r="V67" s="1"/>
      <c r="W67" s="1"/>
    </row>
    <row r="68">
      <c r="A68" s="1"/>
      <c r="B68" s="72" t="s">
        <v>399</v>
      </c>
      <c r="C68" s="1"/>
      <c r="D68" s="1"/>
      <c r="E68" s="1"/>
      <c r="F68" s="1"/>
      <c r="G68" s="1"/>
      <c r="H68" s="1"/>
      <c r="I68" s="1"/>
      <c r="J68" s="1"/>
      <c r="K68" s="1"/>
      <c r="L68" s="1"/>
      <c r="M68" s="1"/>
      <c r="N68" s="1"/>
      <c r="O68" s="1"/>
      <c r="P68" s="1"/>
      <c r="Q68" s="1"/>
      <c r="R68" s="1"/>
      <c r="S68" s="1"/>
      <c r="T68" s="1"/>
      <c r="U68" s="1"/>
      <c r="V68" s="1"/>
      <c r="W68" s="1"/>
    </row>
    <row r="69">
      <c r="A69" s="1"/>
      <c r="B69" s="63" t="s">
        <v>400</v>
      </c>
      <c r="C69" s="1"/>
      <c r="D69" s="1"/>
      <c r="E69" s="1"/>
      <c r="F69" s="1"/>
      <c r="G69" s="1"/>
      <c r="H69" s="1"/>
      <c r="I69" s="1"/>
      <c r="J69" s="1"/>
      <c r="K69" s="1"/>
      <c r="L69" s="1"/>
      <c r="M69" s="1"/>
      <c r="N69" s="1"/>
      <c r="O69" s="1"/>
      <c r="P69" s="1"/>
      <c r="Q69" s="1"/>
      <c r="R69" s="1"/>
      <c r="S69" s="1"/>
      <c r="T69" s="1"/>
      <c r="U69" s="1"/>
      <c r="V69" s="1"/>
      <c r="W69" s="1"/>
    </row>
    <row r="70">
      <c r="A70" s="1"/>
      <c r="B70" s="63" t="s">
        <v>401</v>
      </c>
      <c r="C70" s="1"/>
      <c r="D70" s="1"/>
      <c r="E70" s="1"/>
      <c r="F70" s="1"/>
      <c r="G70" s="1"/>
      <c r="H70" s="1"/>
      <c r="I70" s="1"/>
      <c r="J70" s="1"/>
      <c r="K70" s="1"/>
      <c r="L70" s="1"/>
      <c r="M70" s="1"/>
      <c r="N70" s="1"/>
      <c r="O70" s="1"/>
      <c r="P70" s="1"/>
      <c r="Q70" s="1"/>
      <c r="R70" s="1"/>
      <c r="S70" s="1"/>
      <c r="T70" s="1"/>
      <c r="U70" s="1"/>
      <c r="V70" s="1"/>
      <c r="W70" s="1"/>
    </row>
    <row r="71">
      <c r="A71" s="1"/>
      <c r="B71" s="63" t="s">
        <v>182</v>
      </c>
      <c r="C71" s="1"/>
      <c r="D71" s="1"/>
      <c r="E71" s="1"/>
      <c r="F71" s="1"/>
      <c r="G71" s="1"/>
      <c r="H71" s="1"/>
      <c r="I71" s="1"/>
      <c r="J71" s="1"/>
      <c r="K71" s="1"/>
      <c r="L71" s="1"/>
      <c r="M71" s="1"/>
      <c r="N71" s="1"/>
      <c r="O71" s="1"/>
      <c r="P71" s="1"/>
      <c r="Q71" s="1"/>
      <c r="R71" s="1"/>
      <c r="S71" s="1"/>
      <c r="T71" s="1"/>
      <c r="U71" s="1"/>
      <c r="V71" s="1"/>
      <c r="W71" s="1"/>
    </row>
    <row r="72">
      <c r="A72" s="1"/>
      <c r="B72" s="63" t="s">
        <v>402</v>
      </c>
      <c r="C72" s="1"/>
      <c r="D72" s="1"/>
      <c r="E72" s="1"/>
      <c r="F72" s="1"/>
      <c r="G72" s="1"/>
      <c r="H72" s="1"/>
      <c r="I72" s="1"/>
      <c r="J72" s="1"/>
      <c r="K72" s="1"/>
      <c r="L72" s="1"/>
      <c r="M72" s="1"/>
      <c r="N72" s="1"/>
      <c r="O72" s="1"/>
      <c r="P72" s="1"/>
      <c r="Q72" s="1"/>
      <c r="R72" s="1"/>
      <c r="S72" s="1"/>
      <c r="T72" s="1"/>
      <c r="U72" s="1"/>
      <c r="V72" s="1"/>
      <c r="W72" s="1"/>
    </row>
    <row r="73">
      <c r="A73" s="1"/>
      <c r="B73" s="63" t="s">
        <v>403</v>
      </c>
      <c r="C73" s="1"/>
      <c r="D73" s="1"/>
      <c r="E73" s="1"/>
      <c r="F73" s="1"/>
      <c r="G73" s="1"/>
      <c r="H73" s="1"/>
      <c r="I73" s="1"/>
      <c r="J73" s="1"/>
      <c r="K73" s="1"/>
      <c r="L73" s="1"/>
      <c r="M73" s="1"/>
      <c r="N73" s="1"/>
      <c r="O73" s="1"/>
      <c r="P73" s="1"/>
      <c r="Q73" s="1"/>
      <c r="R73" s="1"/>
      <c r="S73" s="1"/>
      <c r="T73" s="1"/>
      <c r="U73" s="1"/>
      <c r="V73" s="1"/>
      <c r="W73" s="1"/>
    </row>
    <row r="74">
      <c r="A74" s="1"/>
      <c r="B74" s="63" t="s">
        <v>404</v>
      </c>
      <c r="C74" s="1"/>
      <c r="D74" s="1"/>
      <c r="E74" s="1"/>
      <c r="F74" s="1"/>
      <c r="G74" s="1"/>
      <c r="H74" s="1"/>
      <c r="I74" s="1"/>
      <c r="J74" s="1"/>
      <c r="K74" s="1"/>
      <c r="L74" s="1"/>
      <c r="M74" s="1"/>
      <c r="N74" s="1"/>
      <c r="O74" s="1"/>
      <c r="P74" s="1"/>
      <c r="Q74" s="1"/>
      <c r="R74" s="1"/>
      <c r="S74" s="1"/>
      <c r="T74" s="1"/>
      <c r="U74" s="1"/>
      <c r="V74" s="1"/>
      <c r="W74" s="1"/>
    </row>
    <row r="75">
      <c r="A75" s="1"/>
      <c r="B75" s="63" t="s">
        <v>405</v>
      </c>
      <c r="C75" s="1"/>
      <c r="D75" s="1"/>
      <c r="E75" s="1"/>
      <c r="F75" s="1"/>
      <c r="G75" s="1"/>
      <c r="H75" s="1"/>
      <c r="I75" s="1"/>
      <c r="J75" s="1"/>
      <c r="K75" s="1"/>
      <c r="L75" s="1"/>
      <c r="M75" s="1"/>
      <c r="N75" s="1"/>
      <c r="O75" s="1"/>
      <c r="P75" s="1"/>
      <c r="Q75" s="1"/>
      <c r="R75" s="1"/>
      <c r="S75" s="1"/>
      <c r="T75" s="1"/>
      <c r="U75" s="1"/>
      <c r="V75" s="1"/>
      <c r="W75" s="1"/>
    </row>
    <row r="76">
      <c r="A76" s="1"/>
      <c r="B76" s="63" t="s">
        <v>406</v>
      </c>
      <c r="C76" s="1"/>
      <c r="D76" s="1"/>
      <c r="E76" s="1"/>
      <c r="F76" s="1"/>
      <c r="G76" s="1"/>
      <c r="H76" s="1"/>
      <c r="I76" s="1"/>
      <c r="J76" s="1"/>
      <c r="K76" s="1"/>
      <c r="L76" s="1"/>
      <c r="M76" s="1"/>
      <c r="N76" s="1"/>
      <c r="O76" s="1"/>
      <c r="P76" s="1"/>
      <c r="Q76" s="1"/>
      <c r="R76" s="1"/>
      <c r="S76" s="1"/>
      <c r="T76" s="1"/>
      <c r="U76" s="1"/>
      <c r="V76" s="1"/>
      <c r="W76" s="1"/>
    </row>
    <row r="77">
      <c r="A77" s="1"/>
      <c r="B77" s="63" t="s">
        <v>407</v>
      </c>
      <c r="C77" s="1"/>
      <c r="D77" s="1"/>
      <c r="E77" s="1"/>
      <c r="F77" s="1"/>
      <c r="G77" s="1"/>
      <c r="H77" s="1"/>
      <c r="I77" s="1"/>
      <c r="J77" s="1"/>
      <c r="K77" s="1"/>
      <c r="L77" s="1"/>
      <c r="M77" s="1"/>
      <c r="N77" s="1"/>
      <c r="O77" s="1"/>
      <c r="P77" s="1"/>
      <c r="Q77" s="1"/>
      <c r="R77" s="1"/>
      <c r="S77" s="1"/>
      <c r="T77" s="1"/>
      <c r="U77" s="1"/>
      <c r="V77" s="1"/>
      <c r="W77" s="1"/>
    </row>
    <row r="78">
      <c r="A78" s="1"/>
      <c r="B78" s="63" t="s">
        <v>408</v>
      </c>
      <c r="C78" s="1"/>
      <c r="D78" s="1"/>
      <c r="E78" s="1"/>
      <c r="F78" s="1"/>
      <c r="G78" s="1"/>
      <c r="H78" s="1"/>
      <c r="I78" s="1"/>
      <c r="J78" s="1"/>
      <c r="K78" s="1"/>
      <c r="L78" s="1"/>
      <c r="M78" s="1"/>
      <c r="N78" s="1"/>
      <c r="O78" s="1"/>
      <c r="P78" s="1"/>
      <c r="Q78" s="1"/>
      <c r="R78" s="1"/>
      <c r="S78" s="1"/>
      <c r="T78" s="1"/>
      <c r="U78" s="1"/>
      <c r="V78" s="1"/>
      <c r="W78" s="1"/>
    </row>
    <row r="79">
      <c r="A79" s="1"/>
      <c r="B79" s="63" t="s">
        <v>409</v>
      </c>
      <c r="C79" s="1"/>
      <c r="D79" s="1"/>
      <c r="E79" s="1"/>
      <c r="F79" s="1"/>
      <c r="G79" s="1"/>
      <c r="H79" s="1"/>
      <c r="I79" s="1"/>
      <c r="J79" s="1"/>
      <c r="K79" s="1"/>
      <c r="L79" s="1"/>
      <c r="M79" s="1"/>
      <c r="N79" s="1"/>
      <c r="O79" s="1"/>
      <c r="P79" s="1"/>
      <c r="Q79" s="1"/>
      <c r="R79" s="1"/>
      <c r="S79" s="1"/>
      <c r="T79" s="1"/>
      <c r="U79" s="1"/>
      <c r="V79" s="1"/>
      <c r="W79" s="1"/>
    </row>
    <row r="80">
      <c r="A80" s="1"/>
      <c r="B80" s="63" t="s">
        <v>410</v>
      </c>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sheetData>
  <mergeCells count="7">
    <mergeCell ref="B2:E2"/>
    <mergeCell ref="F2:H2"/>
    <mergeCell ref="I2:K2"/>
    <mergeCell ref="L2:N2"/>
    <mergeCell ref="O2:Q2"/>
    <mergeCell ref="R2:T2"/>
    <mergeCell ref="U2:W2"/>
  </mergeCells>
  <hyperlinks>
    <hyperlink r:id="rId1" ref="A4"/>
    <hyperlink r:id="rId2" ref="D4"/>
    <hyperlink r:id="rId3" ref="A5"/>
    <hyperlink r:id="rId4" location="slide=id.g276acca4f5a_0_66" ref="D5"/>
    <hyperlink r:id="rId5" ref="A6"/>
    <hyperlink r:id="rId6" ref="A7"/>
    <hyperlink r:id="rId7" ref="A8"/>
    <hyperlink r:id="rId8" location="gid=920699583" ref="A9"/>
    <hyperlink r:id="rId9" location="gid=950662777" ref="A10"/>
    <hyperlink r:id="rId10" location="gid=1178380131" ref="A11"/>
    <hyperlink r:id="rId11" ref="B12"/>
    <hyperlink r:id="rId12" ref="F12"/>
    <hyperlink r:id="rId13" ref="I12"/>
  </hyperlinks>
  <drawing r:id="rId14"/>
  <tableParts count="2">
    <tablePart r:id="rId17"/>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
    <col customWidth="1" min="5" max="5" width="10.0"/>
    <col customWidth="1" min="8" max="8" width="9.38"/>
    <col customWidth="1" min="11" max="11" width="11.0"/>
    <col customWidth="1" min="14" max="14" width="9.75"/>
    <col customWidth="1" min="17" max="17" width="9.0"/>
  </cols>
  <sheetData>
    <row r="1">
      <c r="A1" s="73" t="s">
        <v>411</v>
      </c>
      <c r="C1" s="73" t="s">
        <v>412</v>
      </c>
      <c r="D1" s="73" t="s">
        <v>411</v>
      </c>
      <c r="F1" s="73" t="s">
        <v>412</v>
      </c>
      <c r="G1" s="73" t="s">
        <v>411</v>
      </c>
      <c r="I1" s="73" t="s">
        <v>412</v>
      </c>
      <c r="J1" s="73" t="s">
        <v>411</v>
      </c>
      <c r="L1" s="73" t="s">
        <v>412</v>
      </c>
      <c r="M1" s="73" t="s">
        <v>411</v>
      </c>
      <c r="O1" s="73" t="s">
        <v>412</v>
      </c>
      <c r="P1" s="73" t="s">
        <v>411</v>
      </c>
      <c r="R1" s="73" t="s">
        <v>412</v>
      </c>
      <c r="S1" s="73" t="s">
        <v>411</v>
      </c>
      <c r="U1" s="73" t="s">
        <v>412</v>
      </c>
      <c r="V1" s="74"/>
      <c r="W1" s="74"/>
      <c r="X1" s="74"/>
      <c r="Y1" s="74"/>
      <c r="Z1" s="74"/>
    </row>
    <row r="2">
      <c r="A2" s="75" t="s">
        <v>413</v>
      </c>
      <c r="C2" s="75" t="s">
        <v>414</v>
      </c>
      <c r="D2" s="75" t="s">
        <v>415</v>
      </c>
      <c r="F2" s="75" t="s">
        <v>414</v>
      </c>
      <c r="G2" s="75" t="s">
        <v>416</v>
      </c>
      <c r="I2" s="75" t="s">
        <v>414</v>
      </c>
      <c r="J2" s="75" t="s">
        <v>417</v>
      </c>
      <c r="L2" s="75" t="s">
        <v>414</v>
      </c>
      <c r="M2" s="75" t="s">
        <v>418</v>
      </c>
      <c r="O2" s="75" t="s">
        <v>414</v>
      </c>
      <c r="P2" s="75" t="s">
        <v>419</v>
      </c>
      <c r="R2" s="75" t="s">
        <v>414</v>
      </c>
      <c r="S2" s="71" t="s">
        <v>420</v>
      </c>
      <c r="U2" s="75" t="s">
        <v>414</v>
      </c>
    </row>
    <row r="3">
      <c r="A3" s="75" t="s">
        <v>421</v>
      </c>
      <c r="C3" s="75" t="s">
        <v>414</v>
      </c>
      <c r="D3" s="75" t="s">
        <v>422</v>
      </c>
      <c r="F3" s="75" t="s">
        <v>414</v>
      </c>
      <c r="G3" s="75" t="s">
        <v>423</v>
      </c>
      <c r="I3" s="75" t="s">
        <v>414</v>
      </c>
      <c r="J3" s="75" t="s">
        <v>424</v>
      </c>
      <c r="L3" s="75" t="s">
        <v>414</v>
      </c>
      <c r="M3" s="75" t="s">
        <v>425</v>
      </c>
      <c r="O3" s="75" t="s">
        <v>414</v>
      </c>
      <c r="P3" s="75" t="s">
        <v>426</v>
      </c>
      <c r="R3" s="75" t="s">
        <v>414</v>
      </c>
      <c r="S3" s="71" t="s">
        <v>427</v>
      </c>
      <c r="U3" s="75" t="s">
        <v>414</v>
      </c>
    </row>
    <row r="4">
      <c r="A4" s="75" t="s">
        <v>428</v>
      </c>
      <c r="C4" s="75" t="s">
        <v>414</v>
      </c>
      <c r="D4" s="75" t="s">
        <v>429</v>
      </c>
      <c r="F4" s="75" t="s">
        <v>414</v>
      </c>
      <c r="G4" s="75" t="s">
        <v>430</v>
      </c>
      <c r="I4" s="75" t="s">
        <v>414</v>
      </c>
      <c r="J4" s="75" t="s">
        <v>431</v>
      </c>
      <c r="L4" s="75" t="s">
        <v>414</v>
      </c>
      <c r="M4" s="75" t="s">
        <v>432</v>
      </c>
      <c r="O4" s="75" t="s">
        <v>414</v>
      </c>
      <c r="P4" s="75" t="s">
        <v>433</v>
      </c>
      <c r="R4" s="75" t="s">
        <v>414</v>
      </c>
      <c r="S4" s="71" t="s">
        <v>434</v>
      </c>
      <c r="U4" s="75" t="s">
        <v>414</v>
      </c>
    </row>
    <row r="5">
      <c r="A5" s="75" t="s">
        <v>435</v>
      </c>
      <c r="C5" s="75" t="s">
        <v>414</v>
      </c>
      <c r="D5" s="75" t="s">
        <v>436</v>
      </c>
      <c r="F5" s="75" t="s">
        <v>414</v>
      </c>
      <c r="G5" s="75" t="s">
        <v>437</v>
      </c>
      <c r="I5" s="75" t="s">
        <v>414</v>
      </c>
      <c r="J5" s="75" t="s">
        <v>438</v>
      </c>
      <c r="L5" s="75" t="s">
        <v>414</v>
      </c>
      <c r="M5" s="75" t="s">
        <v>439</v>
      </c>
      <c r="O5" s="75" t="s">
        <v>414</v>
      </c>
      <c r="P5" s="75" t="s">
        <v>440</v>
      </c>
      <c r="R5" s="75" t="s">
        <v>414</v>
      </c>
      <c r="S5" s="71" t="s">
        <v>441</v>
      </c>
      <c r="U5" s="75" t="s">
        <v>414</v>
      </c>
    </row>
    <row r="6">
      <c r="A6" s="75" t="s">
        <v>442</v>
      </c>
      <c r="C6" s="75" t="s">
        <v>414</v>
      </c>
      <c r="D6" s="75" t="s">
        <v>443</v>
      </c>
      <c r="F6" s="75" t="s">
        <v>414</v>
      </c>
      <c r="G6" s="75" t="s">
        <v>444</v>
      </c>
      <c r="I6" s="75" t="s">
        <v>414</v>
      </c>
      <c r="J6" s="75" t="s">
        <v>445</v>
      </c>
      <c r="L6" s="75" t="s">
        <v>414</v>
      </c>
      <c r="M6" s="75" t="s">
        <v>446</v>
      </c>
      <c r="O6" s="75" t="s">
        <v>414</v>
      </c>
      <c r="P6" s="75" t="s">
        <v>447</v>
      </c>
      <c r="R6" s="75" t="s">
        <v>414</v>
      </c>
      <c r="S6" s="71" t="s">
        <v>448</v>
      </c>
      <c r="U6" s="75" t="s">
        <v>414</v>
      </c>
    </row>
    <row r="7">
      <c r="A7" s="75" t="s">
        <v>449</v>
      </c>
      <c r="C7" s="75" t="s">
        <v>414</v>
      </c>
      <c r="D7" s="75" t="s">
        <v>450</v>
      </c>
      <c r="F7" s="75" t="s">
        <v>414</v>
      </c>
      <c r="G7" s="75" t="s">
        <v>451</v>
      </c>
      <c r="I7" s="75" t="s">
        <v>414</v>
      </c>
      <c r="J7" s="75" t="s">
        <v>452</v>
      </c>
      <c r="L7" s="75" t="s">
        <v>414</v>
      </c>
      <c r="M7" s="75" t="s">
        <v>453</v>
      </c>
      <c r="O7" s="75" t="s">
        <v>414</v>
      </c>
      <c r="P7" s="75" t="s">
        <v>454</v>
      </c>
      <c r="R7" s="75" t="s">
        <v>414</v>
      </c>
      <c r="S7" s="71" t="s">
        <v>455</v>
      </c>
      <c r="U7" s="75" t="s">
        <v>414</v>
      </c>
    </row>
    <row r="8">
      <c r="A8" s="76"/>
      <c r="C8" s="76"/>
      <c r="D8" s="76"/>
      <c r="F8" s="76"/>
      <c r="G8" s="76"/>
      <c r="I8" s="76"/>
      <c r="J8" s="76"/>
      <c r="L8" s="76"/>
      <c r="M8" s="76"/>
      <c r="O8" s="76"/>
      <c r="P8" s="76"/>
      <c r="R8" s="76"/>
      <c r="S8" s="77"/>
      <c r="U8" s="76"/>
      <c r="V8" s="76"/>
      <c r="W8" s="76"/>
      <c r="X8" s="76"/>
      <c r="Y8" s="76"/>
      <c r="Z8" s="76"/>
    </row>
    <row r="9">
      <c r="A9" s="75" t="s">
        <v>456</v>
      </c>
      <c r="C9" s="75" t="s">
        <v>414</v>
      </c>
      <c r="D9" s="75" t="s">
        <v>457</v>
      </c>
      <c r="F9" s="75" t="s">
        <v>414</v>
      </c>
      <c r="G9" s="75" t="s">
        <v>458</v>
      </c>
      <c r="I9" s="75" t="s">
        <v>414</v>
      </c>
      <c r="J9" s="75" t="s">
        <v>459</v>
      </c>
      <c r="L9" s="75" t="s">
        <v>414</v>
      </c>
      <c r="M9" s="75" t="s">
        <v>460</v>
      </c>
      <c r="O9" s="75" t="s">
        <v>414</v>
      </c>
      <c r="P9" s="75" t="s">
        <v>461</v>
      </c>
      <c r="R9" s="75" t="s">
        <v>414</v>
      </c>
      <c r="S9" s="75" t="s">
        <v>462</v>
      </c>
      <c r="U9" s="75" t="s">
        <v>414</v>
      </c>
    </row>
    <row r="10">
      <c r="A10" s="75" t="s">
        <v>463</v>
      </c>
      <c r="C10" s="75" t="s">
        <v>414</v>
      </c>
      <c r="D10" s="75" t="s">
        <v>464</v>
      </c>
      <c r="F10" s="75" t="s">
        <v>414</v>
      </c>
      <c r="G10" s="75" t="s">
        <v>465</v>
      </c>
      <c r="I10" s="75" t="s">
        <v>414</v>
      </c>
      <c r="J10" s="75" t="s">
        <v>466</v>
      </c>
      <c r="L10" s="75" t="s">
        <v>414</v>
      </c>
      <c r="M10" s="75" t="s">
        <v>467</v>
      </c>
      <c r="O10" s="75" t="s">
        <v>414</v>
      </c>
      <c r="P10" s="75" t="s">
        <v>468</v>
      </c>
      <c r="R10" s="75" t="s">
        <v>414</v>
      </c>
      <c r="S10" s="75" t="s">
        <v>469</v>
      </c>
      <c r="U10" s="75" t="s">
        <v>414</v>
      </c>
    </row>
    <row r="11">
      <c r="A11" s="75" t="s">
        <v>470</v>
      </c>
      <c r="C11" s="75" t="s">
        <v>414</v>
      </c>
      <c r="D11" s="75" t="s">
        <v>471</v>
      </c>
      <c r="F11" s="75" t="s">
        <v>414</v>
      </c>
      <c r="G11" s="75" t="s">
        <v>472</v>
      </c>
      <c r="I11" s="75" t="s">
        <v>414</v>
      </c>
      <c r="J11" s="75" t="s">
        <v>473</v>
      </c>
      <c r="L11" s="75" t="s">
        <v>414</v>
      </c>
      <c r="M11" s="75" t="s">
        <v>474</v>
      </c>
      <c r="O11" s="75" t="s">
        <v>414</v>
      </c>
      <c r="P11" s="75" t="s">
        <v>475</v>
      </c>
      <c r="R11" s="75" t="s">
        <v>414</v>
      </c>
      <c r="S11" s="75" t="s">
        <v>476</v>
      </c>
      <c r="U11" s="75" t="s">
        <v>414</v>
      </c>
    </row>
    <row r="12">
      <c r="A12" s="75" t="s">
        <v>477</v>
      </c>
      <c r="C12" s="75" t="s">
        <v>414</v>
      </c>
      <c r="D12" s="75" t="s">
        <v>478</v>
      </c>
      <c r="F12" s="75" t="s">
        <v>414</v>
      </c>
      <c r="G12" s="75" t="s">
        <v>479</v>
      </c>
      <c r="I12" s="75" t="s">
        <v>414</v>
      </c>
      <c r="J12" s="75" t="s">
        <v>480</v>
      </c>
      <c r="L12" s="75" t="s">
        <v>414</v>
      </c>
      <c r="M12" s="75" t="s">
        <v>481</v>
      </c>
      <c r="O12" s="75" t="s">
        <v>414</v>
      </c>
      <c r="P12" s="75" t="s">
        <v>482</v>
      </c>
      <c r="R12" s="75" t="s">
        <v>414</v>
      </c>
      <c r="S12" s="75" t="s">
        <v>483</v>
      </c>
      <c r="U12" s="75" t="s">
        <v>414</v>
      </c>
    </row>
    <row r="13">
      <c r="A13" s="75" t="s">
        <v>484</v>
      </c>
      <c r="C13" s="75" t="s">
        <v>414</v>
      </c>
      <c r="D13" s="75" t="s">
        <v>485</v>
      </c>
      <c r="F13" s="75" t="s">
        <v>414</v>
      </c>
      <c r="G13" s="75" t="s">
        <v>486</v>
      </c>
      <c r="I13" s="75" t="s">
        <v>414</v>
      </c>
      <c r="J13" s="75" t="s">
        <v>487</v>
      </c>
      <c r="L13" s="75" t="s">
        <v>414</v>
      </c>
      <c r="M13" s="75" t="s">
        <v>488</v>
      </c>
      <c r="O13" s="75" t="s">
        <v>414</v>
      </c>
      <c r="P13" s="75" t="s">
        <v>489</v>
      </c>
      <c r="R13" s="75" t="s">
        <v>414</v>
      </c>
      <c r="S13" s="75" t="s">
        <v>490</v>
      </c>
      <c r="U13" s="75" t="s">
        <v>414</v>
      </c>
    </row>
    <row r="14">
      <c r="A14" s="75" t="s">
        <v>491</v>
      </c>
      <c r="C14" s="75" t="s">
        <v>414</v>
      </c>
      <c r="D14" s="75" t="s">
        <v>492</v>
      </c>
      <c r="F14" s="75" t="s">
        <v>414</v>
      </c>
      <c r="G14" s="75" t="s">
        <v>493</v>
      </c>
      <c r="I14" s="75" t="s">
        <v>414</v>
      </c>
      <c r="J14" s="75" t="s">
        <v>494</v>
      </c>
      <c r="L14" s="75" t="s">
        <v>414</v>
      </c>
      <c r="M14" s="75" t="s">
        <v>495</v>
      </c>
      <c r="O14" s="75" t="s">
        <v>414</v>
      </c>
      <c r="P14" s="75" t="s">
        <v>496</v>
      </c>
      <c r="R14" s="75" t="s">
        <v>414</v>
      </c>
      <c r="S14" s="75" t="s">
        <v>497</v>
      </c>
      <c r="U14" s="75" t="s">
        <v>414</v>
      </c>
    </row>
    <row r="15">
      <c r="A15" s="76"/>
      <c r="C15" s="76"/>
      <c r="D15" s="76"/>
      <c r="F15" s="76"/>
      <c r="G15" s="76"/>
      <c r="I15" s="76"/>
      <c r="J15" s="76"/>
      <c r="L15" s="76"/>
      <c r="M15" s="76"/>
      <c r="O15" s="76"/>
      <c r="P15" s="76"/>
      <c r="R15" s="76"/>
      <c r="S15" s="77"/>
      <c r="U15" s="76"/>
      <c r="V15" s="76"/>
      <c r="W15" s="76"/>
      <c r="X15" s="76"/>
      <c r="Y15" s="76"/>
      <c r="Z15" s="76"/>
    </row>
    <row r="16">
      <c r="A16" s="75" t="s">
        <v>498</v>
      </c>
      <c r="C16" s="75" t="s">
        <v>414</v>
      </c>
      <c r="D16" s="75" t="s">
        <v>499</v>
      </c>
      <c r="F16" s="75" t="s">
        <v>414</v>
      </c>
      <c r="G16" s="75" t="s">
        <v>500</v>
      </c>
      <c r="I16" s="75" t="s">
        <v>414</v>
      </c>
      <c r="J16" s="75" t="s">
        <v>501</v>
      </c>
      <c r="L16" s="75" t="s">
        <v>414</v>
      </c>
      <c r="M16" s="75" t="s">
        <v>502</v>
      </c>
      <c r="O16" s="75" t="s">
        <v>414</v>
      </c>
      <c r="P16" s="75" t="s">
        <v>503</v>
      </c>
      <c r="R16" s="75" t="s">
        <v>414</v>
      </c>
      <c r="S16" s="75" t="s">
        <v>504</v>
      </c>
      <c r="U16" s="75" t="s">
        <v>414</v>
      </c>
    </row>
    <row r="17">
      <c r="A17" s="75" t="s">
        <v>505</v>
      </c>
      <c r="C17" s="75" t="s">
        <v>414</v>
      </c>
      <c r="D17" s="75" t="s">
        <v>506</v>
      </c>
      <c r="F17" s="75" t="s">
        <v>414</v>
      </c>
      <c r="G17" s="75" t="s">
        <v>507</v>
      </c>
      <c r="I17" s="75" t="s">
        <v>414</v>
      </c>
      <c r="J17" s="75" t="s">
        <v>508</v>
      </c>
      <c r="L17" s="75" t="s">
        <v>414</v>
      </c>
      <c r="M17" s="75" t="s">
        <v>509</v>
      </c>
      <c r="O17" s="78"/>
      <c r="P17" s="75" t="s">
        <v>510</v>
      </c>
      <c r="R17" s="75" t="s">
        <v>414</v>
      </c>
      <c r="S17" s="75" t="s">
        <v>511</v>
      </c>
      <c r="U17" s="75" t="s">
        <v>414</v>
      </c>
    </row>
    <row r="18">
      <c r="A18" s="75" t="s">
        <v>512</v>
      </c>
      <c r="C18" s="75" t="s">
        <v>414</v>
      </c>
      <c r="D18" s="75" t="s">
        <v>513</v>
      </c>
      <c r="F18" s="75" t="s">
        <v>414</v>
      </c>
      <c r="G18" s="75" t="s">
        <v>514</v>
      </c>
      <c r="I18" s="75" t="s">
        <v>414</v>
      </c>
      <c r="J18" s="75" t="s">
        <v>515</v>
      </c>
      <c r="L18" s="75" t="s">
        <v>414</v>
      </c>
      <c r="M18" s="75" t="s">
        <v>516</v>
      </c>
      <c r="O18" s="75" t="s">
        <v>414</v>
      </c>
      <c r="P18" s="75" t="s">
        <v>517</v>
      </c>
      <c r="R18" s="75" t="s">
        <v>414</v>
      </c>
      <c r="S18" s="75" t="s">
        <v>518</v>
      </c>
      <c r="U18" s="75" t="s">
        <v>414</v>
      </c>
    </row>
    <row r="19">
      <c r="A19" s="75" t="s">
        <v>519</v>
      </c>
      <c r="C19" s="75" t="s">
        <v>414</v>
      </c>
      <c r="D19" s="75" t="s">
        <v>520</v>
      </c>
      <c r="F19" s="75" t="s">
        <v>414</v>
      </c>
      <c r="G19" s="75" t="s">
        <v>521</v>
      </c>
      <c r="I19" s="75" t="s">
        <v>414</v>
      </c>
      <c r="J19" s="75" t="s">
        <v>522</v>
      </c>
      <c r="L19" s="75" t="s">
        <v>414</v>
      </c>
      <c r="M19" s="75" t="s">
        <v>523</v>
      </c>
      <c r="O19" s="75" t="s">
        <v>414</v>
      </c>
      <c r="P19" s="75" t="s">
        <v>524</v>
      </c>
      <c r="R19" s="75" t="s">
        <v>414</v>
      </c>
      <c r="S19" s="75" t="s">
        <v>525</v>
      </c>
      <c r="U19" s="75" t="s">
        <v>414</v>
      </c>
    </row>
    <row r="20">
      <c r="A20" s="75" t="s">
        <v>526</v>
      </c>
      <c r="C20" s="75" t="s">
        <v>414</v>
      </c>
      <c r="D20" s="75" t="s">
        <v>527</v>
      </c>
      <c r="F20" s="75" t="s">
        <v>414</v>
      </c>
      <c r="G20" s="75" t="s">
        <v>528</v>
      </c>
      <c r="I20" s="75" t="s">
        <v>414</v>
      </c>
      <c r="J20" s="75" t="s">
        <v>529</v>
      </c>
      <c r="L20" s="75" t="s">
        <v>414</v>
      </c>
      <c r="M20" s="75" t="s">
        <v>530</v>
      </c>
      <c r="O20" s="75" t="s">
        <v>414</v>
      </c>
      <c r="P20" s="75" t="s">
        <v>531</v>
      </c>
      <c r="R20" s="75" t="s">
        <v>414</v>
      </c>
      <c r="S20" s="75" t="s">
        <v>532</v>
      </c>
      <c r="U20" s="75" t="s">
        <v>414</v>
      </c>
    </row>
    <row r="21">
      <c r="A21" s="75" t="s">
        <v>533</v>
      </c>
      <c r="C21" s="75" t="s">
        <v>534</v>
      </c>
      <c r="D21" s="75" t="s">
        <v>535</v>
      </c>
      <c r="F21" s="75" t="s">
        <v>414</v>
      </c>
      <c r="G21" s="75" t="s">
        <v>536</v>
      </c>
      <c r="I21" s="75" t="s">
        <v>414</v>
      </c>
      <c r="J21" s="75" t="s">
        <v>537</v>
      </c>
      <c r="L21" s="75" t="s">
        <v>414</v>
      </c>
      <c r="M21" s="75" t="s">
        <v>538</v>
      </c>
      <c r="O21" s="75" t="s">
        <v>414</v>
      </c>
      <c r="P21" s="75" t="s">
        <v>539</v>
      </c>
      <c r="R21" s="75" t="s">
        <v>414</v>
      </c>
      <c r="S21" s="75" t="s">
        <v>540</v>
      </c>
      <c r="U21" s="75" t="s">
        <v>414</v>
      </c>
    </row>
    <row r="22">
      <c r="A22" s="76"/>
      <c r="C22" s="76"/>
      <c r="D22" s="76"/>
      <c r="F22" s="76"/>
      <c r="G22" s="76"/>
      <c r="I22" s="76"/>
      <c r="J22" s="76"/>
      <c r="L22" s="76"/>
      <c r="M22" s="76"/>
      <c r="O22" s="76"/>
      <c r="P22" s="76"/>
      <c r="R22" s="76"/>
      <c r="S22" s="77"/>
      <c r="U22" s="76"/>
      <c r="V22" s="76"/>
      <c r="W22" s="76"/>
      <c r="X22" s="76"/>
      <c r="Y22" s="76"/>
      <c r="Z22" s="76"/>
    </row>
    <row r="23">
      <c r="A23" s="75" t="s">
        <v>541</v>
      </c>
      <c r="C23" s="75" t="s">
        <v>414</v>
      </c>
      <c r="D23" s="75" t="s">
        <v>542</v>
      </c>
      <c r="F23" s="75" t="s">
        <v>414</v>
      </c>
      <c r="G23" s="75" t="s">
        <v>543</v>
      </c>
      <c r="I23" s="75" t="s">
        <v>414</v>
      </c>
      <c r="J23" s="75" t="s">
        <v>544</v>
      </c>
      <c r="L23" s="75" t="s">
        <v>414</v>
      </c>
      <c r="M23" s="75" t="s">
        <v>545</v>
      </c>
      <c r="O23" s="75" t="s">
        <v>414</v>
      </c>
      <c r="P23" s="75" t="s">
        <v>546</v>
      </c>
      <c r="R23" s="75" t="s">
        <v>414</v>
      </c>
      <c r="S23" s="75" t="s">
        <v>547</v>
      </c>
      <c r="U23" s="75" t="s">
        <v>414</v>
      </c>
    </row>
    <row r="24">
      <c r="A24" s="75" t="s">
        <v>548</v>
      </c>
      <c r="C24" s="75" t="s">
        <v>414</v>
      </c>
      <c r="D24" s="75" t="s">
        <v>549</v>
      </c>
      <c r="F24" s="75" t="s">
        <v>414</v>
      </c>
      <c r="G24" s="75" t="s">
        <v>550</v>
      </c>
      <c r="I24" s="75" t="s">
        <v>414</v>
      </c>
      <c r="J24" s="75" t="s">
        <v>551</v>
      </c>
      <c r="L24" s="75" t="s">
        <v>414</v>
      </c>
      <c r="M24" s="75" t="s">
        <v>552</v>
      </c>
      <c r="O24" s="75" t="s">
        <v>414</v>
      </c>
      <c r="P24" s="75" t="s">
        <v>553</v>
      </c>
      <c r="R24" s="75" t="s">
        <v>414</v>
      </c>
      <c r="S24" s="75" t="s">
        <v>554</v>
      </c>
      <c r="U24" s="75" t="s">
        <v>414</v>
      </c>
    </row>
    <row r="25">
      <c r="A25" s="75" t="s">
        <v>555</v>
      </c>
      <c r="C25" s="75" t="s">
        <v>414</v>
      </c>
      <c r="D25" s="75" t="s">
        <v>556</v>
      </c>
      <c r="F25" s="75" t="s">
        <v>414</v>
      </c>
      <c r="G25" s="75" t="s">
        <v>557</v>
      </c>
      <c r="I25" s="75" t="s">
        <v>414</v>
      </c>
      <c r="J25" s="75" t="s">
        <v>558</v>
      </c>
      <c r="L25" s="75" t="s">
        <v>414</v>
      </c>
      <c r="M25" s="75" t="s">
        <v>559</v>
      </c>
      <c r="O25" s="75" t="s">
        <v>414</v>
      </c>
      <c r="P25" s="75" t="s">
        <v>560</v>
      </c>
      <c r="R25" s="75" t="s">
        <v>414</v>
      </c>
      <c r="S25" s="75" t="s">
        <v>561</v>
      </c>
      <c r="U25" s="75" t="s">
        <v>414</v>
      </c>
    </row>
    <row r="26">
      <c r="A26" s="75" t="s">
        <v>562</v>
      </c>
      <c r="C26" s="75" t="s">
        <v>414</v>
      </c>
      <c r="D26" s="75" t="s">
        <v>563</v>
      </c>
      <c r="F26" s="75" t="s">
        <v>414</v>
      </c>
      <c r="G26" s="75" t="s">
        <v>564</v>
      </c>
      <c r="I26" s="75" t="s">
        <v>414</v>
      </c>
      <c r="J26" s="75" t="s">
        <v>565</v>
      </c>
      <c r="L26" s="75" t="s">
        <v>414</v>
      </c>
      <c r="M26" s="75" t="s">
        <v>566</v>
      </c>
      <c r="O26" s="75" t="s">
        <v>414</v>
      </c>
      <c r="P26" s="75" t="s">
        <v>567</v>
      </c>
      <c r="R26" s="75" t="s">
        <v>414</v>
      </c>
      <c r="S26" s="75" t="s">
        <v>568</v>
      </c>
      <c r="U26" s="75" t="s">
        <v>414</v>
      </c>
    </row>
    <row r="27">
      <c r="A27" s="75" t="s">
        <v>569</v>
      </c>
      <c r="C27" s="75" t="s">
        <v>414</v>
      </c>
      <c r="D27" s="75" t="s">
        <v>570</v>
      </c>
      <c r="F27" s="75" t="s">
        <v>414</v>
      </c>
      <c r="G27" s="75" t="s">
        <v>571</v>
      </c>
      <c r="I27" s="75" t="s">
        <v>414</v>
      </c>
      <c r="J27" s="75" t="s">
        <v>572</v>
      </c>
      <c r="L27" s="75" t="s">
        <v>414</v>
      </c>
      <c r="M27" s="75" t="s">
        <v>573</v>
      </c>
      <c r="O27" s="75" t="s">
        <v>414</v>
      </c>
      <c r="P27" s="75" t="s">
        <v>574</v>
      </c>
      <c r="R27" s="75" t="s">
        <v>414</v>
      </c>
      <c r="S27" s="75" t="s">
        <v>575</v>
      </c>
      <c r="U27" s="75" t="s">
        <v>414</v>
      </c>
    </row>
    <row r="28">
      <c r="A28" s="75" t="s">
        <v>576</v>
      </c>
      <c r="C28" s="75" t="s">
        <v>414</v>
      </c>
      <c r="D28" s="75" t="s">
        <v>577</v>
      </c>
      <c r="F28" s="75" t="s">
        <v>414</v>
      </c>
      <c r="G28" s="75" t="s">
        <v>578</v>
      </c>
      <c r="I28" s="75" t="s">
        <v>414</v>
      </c>
      <c r="J28" s="75" t="s">
        <v>579</v>
      </c>
      <c r="L28" s="75" t="s">
        <v>414</v>
      </c>
      <c r="M28" s="75" t="s">
        <v>580</v>
      </c>
      <c r="O28" s="75" t="s">
        <v>414</v>
      </c>
      <c r="P28" s="75" t="s">
        <v>581</v>
      </c>
      <c r="R28" s="75" t="s">
        <v>414</v>
      </c>
      <c r="S28" s="75" t="s">
        <v>582</v>
      </c>
      <c r="U28" s="75" t="s">
        <v>414</v>
      </c>
    </row>
    <row r="29">
      <c r="A29" s="76"/>
      <c r="C29" s="76"/>
      <c r="D29" s="76"/>
      <c r="F29" s="76"/>
      <c r="G29" s="76"/>
      <c r="I29" s="76"/>
      <c r="J29" s="76"/>
      <c r="L29" s="76"/>
      <c r="M29" s="76"/>
      <c r="O29" s="76"/>
      <c r="P29" s="76"/>
      <c r="R29" s="76"/>
      <c r="S29" s="77"/>
      <c r="U29" s="76"/>
      <c r="V29" s="76"/>
      <c r="W29" s="76"/>
      <c r="X29" s="76"/>
      <c r="Y29" s="76"/>
      <c r="Z29" s="76"/>
    </row>
    <row r="30">
      <c r="A30" s="75" t="s">
        <v>583</v>
      </c>
      <c r="C30" s="75" t="s">
        <v>414</v>
      </c>
      <c r="D30" s="75" t="s">
        <v>584</v>
      </c>
      <c r="F30" s="75" t="s">
        <v>414</v>
      </c>
      <c r="G30" s="75" t="s">
        <v>585</v>
      </c>
      <c r="I30" s="75" t="s">
        <v>414</v>
      </c>
      <c r="J30" s="75" t="s">
        <v>586</v>
      </c>
      <c r="L30" s="75" t="s">
        <v>414</v>
      </c>
      <c r="M30" s="75" t="s">
        <v>587</v>
      </c>
      <c r="O30" s="75" t="s">
        <v>414</v>
      </c>
      <c r="P30" s="75" t="s">
        <v>588</v>
      </c>
      <c r="R30" s="75" t="s">
        <v>414</v>
      </c>
      <c r="S30" s="75" t="s">
        <v>589</v>
      </c>
      <c r="U30" s="75" t="s">
        <v>414</v>
      </c>
    </row>
    <row r="31">
      <c r="A31" s="75" t="s">
        <v>590</v>
      </c>
      <c r="C31" s="75" t="s">
        <v>414</v>
      </c>
      <c r="D31" s="75" t="s">
        <v>591</v>
      </c>
      <c r="F31" s="75" t="s">
        <v>414</v>
      </c>
      <c r="G31" s="75" t="s">
        <v>592</v>
      </c>
      <c r="I31" s="75" t="s">
        <v>414</v>
      </c>
      <c r="J31" s="75" t="s">
        <v>593</v>
      </c>
      <c r="L31" s="75" t="s">
        <v>414</v>
      </c>
      <c r="M31" s="75" t="s">
        <v>594</v>
      </c>
      <c r="O31" s="75" t="s">
        <v>414</v>
      </c>
      <c r="P31" s="75" t="s">
        <v>595</v>
      </c>
      <c r="R31" s="75" t="s">
        <v>414</v>
      </c>
      <c r="S31" s="75" t="s">
        <v>596</v>
      </c>
      <c r="U31" s="75" t="s">
        <v>414</v>
      </c>
    </row>
    <row r="32">
      <c r="A32" s="75" t="s">
        <v>597</v>
      </c>
      <c r="C32" s="75" t="s">
        <v>414</v>
      </c>
      <c r="D32" s="75" t="s">
        <v>598</v>
      </c>
      <c r="F32" s="75" t="s">
        <v>414</v>
      </c>
      <c r="G32" s="75" t="s">
        <v>599</v>
      </c>
      <c r="I32" s="75" t="s">
        <v>414</v>
      </c>
      <c r="J32" s="75" t="s">
        <v>600</v>
      </c>
      <c r="L32" s="75" t="s">
        <v>414</v>
      </c>
      <c r="M32" s="75" t="s">
        <v>601</v>
      </c>
      <c r="O32" s="75" t="s">
        <v>414</v>
      </c>
      <c r="P32" s="75" t="s">
        <v>602</v>
      </c>
      <c r="R32" s="75" t="s">
        <v>414</v>
      </c>
      <c r="S32" s="75" t="s">
        <v>603</v>
      </c>
      <c r="U32" s="75" t="s">
        <v>414</v>
      </c>
    </row>
    <row r="33">
      <c r="A33" s="75" t="s">
        <v>604</v>
      </c>
      <c r="C33" s="75" t="s">
        <v>414</v>
      </c>
      <c r="D33" s="75" t="s">
        <v>605</v>
      </c>
      <c r="F33" s="75" t="s">
        <v>414</v>
      </c>
      <c r="G33" s="75" t="s">
        <v>606</v>
      </c>
      <c r="I33" s="75" t="s">
        <v>414</v>
      </c>
      <c r="J33" s="75" t="s">
        <v>607</v>
      </c>
      <c r="L33" s="75" t="s">
        <v>414</v>
      </c>
      <c r="M33" s="75" t="s">
        <v>608</v>
      </c>
      <c r="O33" s="75" t="s">
        <v>414</v>
      </c>
      <c r="P33" s="75" t="s">
        <v>609</v>
      </c>
      <c r="R33" s="75" t="s">
        <v>414</v>
      </c>
      <c r="S33" s="75" t="s">
        <v>610</v>
      </c>
      <c r="U33" s="75" t="s">
        <v>414</v>
      </c>
    </row>
    <row r="34">
      <c r="A34" s="75" t="s">
        <v>611</v>
      </c>
      <c r="C34" s="75" t="s">
        <v>414</v>
      </c>
      <c r="D34" s="75" t="s">
        <v>612</v>
      </c>
      <c r="F34" s="75" t="s">
        <v>414</v>
      </c>
      <c r="G34" s="75" t="s">
        <v>613</v>
      </c>
      <c r="I34" s="75" t="s">
        <v>414</v>
      </c>
      <c r="J34" s="75" t="s">
        <v>614</v>
      </c>
      <c r="L34" s="75" t="s">
        <v>414</v>
      </c>
      <c r="M34" s="75" t="s">
        <v>615</v>
      </c>
      <c r="O34" s="75" t="s">
        <v>414</v>
      </c>
      <c r="P34" s="75" t="s">
        <v>616</v>
      </c>
      <c r="R34" s="75" t="s">
        <v>414</v>
      </c>
      <c r="S34" s="75" t="s">
        <v>617</v>
      </c>
      <c r="U34" s="75" t="s">
        <v>414</v>
      </c>
    </row>
    <row r="35">
      <c r="A35" s="75" t="s">
        <v>618</v>
      </c>
      <c r="C35" s="75" t="s">
        <v>414</v>
      </c>
      <c r="D35" s="75" t="s">
        <v>619</v>
      </c>
      <c r="F35" s="75" t="s">
        <v>414</v>
      </c>
      <c r="G35" s="75" t="s">
        <v>620</v>
      </c>
      <c r="I35" s="75" t="s">
        <v>414</v>
      </c>
      <c r="J35" s="75" t="s">
        <v>621</v>
      </c>
      <c r="L35" s="75" t="s">
        <v>414</v>
      </c>
      <c r="M35" s="75" t="s">
        <v>622</v>
      </c>
      <c r="O35" s="75" t="s">
        <v>414</v>
      </c>
      <c r="P35" s="75" t="s">
        <v>623</v>
      </c>
      <c r="R35" s="75" t="s">
        <v>414</v>
      </c>
      <c r="S35" s="75" t="s">
        <v>624</v>
      </c>
      <c r="U35" s="75" t="s">
        <v>414</v>
      </c>
    </row>
    <row r="36">
      <c r="A36" s="76"/>
      <c r="C36" s="76"/>
      <c r="D36" s="76"/>
      <c r="F36" s="76"/>
      <c r="G36" s="76"/>
      <c r="I36" s="76"/>
      <c r="J36" s="76"/>
      <c r="L36" s="76"/>
      <c r="M36" s="76"/>
      <c r="O36" s="76"/>
      <c r="P36" s="76"/>
      <c r="R36" s="76"/>
      <c r="S36" s="77"/>
      <c r="U36" s="76"/>
      <c r="V36" s="76"/>
      <c r="W36" s="76"/>
      <c r="X36" s="76"/>
      <c r="Y36" s="76"/>
      <c r="Z36" s="76"/>
    </row>
    <row r="37">
      <c r="A37" s="75" t="s">
        <v>625</v>
      </c>
      <c r="C37" s="75" t="s">
        <v>414</v>
      </c>
      <c r="D37" s="75" t="s">
        <v>626</v>
      </c>
      <c r="F37" s="75" t="s">
        <v>414</v>
      </c>
      <c r="G37" s="75" t="s">
        <v>627</v>
      </c>
      <c r="I37" s="75" t="s">
        <v>414</v>
      </c>
      <c r="J37" s="75" t="s">
        <v>628</v>
      </c>
      <c r="L37" s="75" t="s">
        <v>414</v>
      </c>
      <c r="M37" s="75" t="s">
        <v>629</v>
      </c>
      <c r="O37" s="75" t="s">
        <v>414</v>
      </c>
      <c r="P37" s="75" t="s">
        <v>630</v>
      </c>
      <c r="R37" s="75" t="s">
        <v>414</v>
      </c>
      <c r="S37" s="75" t="s">
        <v>631</v>
      </c>
      <c r="U37" s="75" t="s">
        <v>414</v>
      </c>
    </row>
    <row r="38">
      <c r="A38" s="75" t="s">
        <v>632</v>
      </c>
      <c r="C38" s="75" t="s">
        <v>414</v>
      </c>
      <c r="D38" s="75" t="s">
        <v>633</v>
      </c>
      <c r="F38" s="75" t="s">
        <v>414</v>
      </c>
      <c r="G38" s="75" t="s">
        <v>634</v>
      </c>
      <c r="I38" s="75" t="s">
        <v>414</v>
      </c>
      <c r="J38" s="75" t="s">
        <v>635</v>
      </c>
      <c r="L38" s="75" t="s">
        <v>414</v>
      </c>
      <c r="M38" s="75" t="s">
        <v>636</v>
      </c>
      <c r="O38" s="75" t="s">
        <v>414</v>
      </c>
      <c r="P38" s="75" t="s">
        <v>637</v>
      </c>
      <c r="R38" s="75" t="s">
        <v>414</v>
      </c>
      <c r="S38" s="75" t="s">
        <v>638</v>
      </c>
      <c r="U38" s="75" t="s">
        <v>414</v>
      </c>
    </row>
    <row r="39">
      <c r="A39" s="75" t="s">
        <v>639</v>
      </c>
      <c r="C39" s="75" t="s">
        <v>414</v>
      </c>
      <c r="D39" s="75" t="s">
        <v>640</v>
      </c>
      <c r="F39" s="75" t="s">
        <v>414</v>
      </c>
      <c r="G39" s="75" t="s">
        <v>641</v>
      </c>
      <c r="I39" s="75" t="s">
        <v>414</v>
      </c>
      <c r="J39" s="75" t="s">
        <v>642</v>
      </c>
      <c r="L39" s="75" t="s">
        <v>414</v>
      </c>
      <c r="M39" s="75" t="s">
        <v>643</v>
      </c>
      <c r="O39" s="75" t="s">
        <v>414</v>
      </c>
      <c r="P39" s="75" t="s">
        <v>644</v>
      </c>
      <c r="R39" s="75" t="s">
        <v>414</v>
      </c>
      <c r="S39" s="75" t="s">
        <v>645</v>
      </c>
      <c r="U39" s="75" t="s">
        <v>414</v>
      </c>
    </row>
    <row r="40">
      <c r="A40" s="75" t="s">
        <v>646</v>
      </c>
      <c r="C40" s="75" t="s">
        <v>414</v>
      </c>
      <c r="D40" s="75" t="s">
        <v>647</v>
      </c>
      <c r="F40" s="75" t="s">
        <v>414</v>
      </c>
      <c r="G40" s="75" t="s">
        <v>648</v>
      </c>
      <c r="I40" s="75" t="s">
        <v>414</v>
      </c>
      <c r="J40" s="75" t="s">
        <v>649</v>
      </c>
      <c r="L40" s="75" t="s">
        <v>414</v>
      </c>
      <c r="M40" s="75" t="s">
        <v>650</v>
      </c>
      <c r="O40" s="75" t="s">
        <v>414</v>
      </c>
      <c r="P40" s="75" t="s">
        <v>651</v>
      </c>
      <c r="R40" s="75" t="s">
        <v>414</v>
      </c>
      <c r="S40" s="75" t="s">
        <v>652</v>
      </c>
      <c r="U40" s="75" t="s">
        <v>414</v>
      </c>
    </row>
    <row r="41">
      <c r="A41" s="75" t="s">
        <v>653</v>
      </c>
      <c r="C41" s="75" t="s">
        <v>414</v>
      </c>
      <c r="D41" s="75" t="s">
        <v>654</v>
      </c>
      <c r="F41" s="75" t="s">
        <v>414</v>
      </c>
      <c r="G41" s="75" t="s">
        <v>655</v>
      </c>
      <c r="I41" s="75" t="s">
        <v>414</v>
      </c>
      <c r="J41" s="75" t="s">
        <v>656</v>
      </c>
      <c r="L41" s="75" t="s">
        <v>414</v>
      </c>
      <c r="M41" s="75" t="s">
        <v>657</v>
      </c>
      <c r="O41" s="75" t="s">
        <v>414</v>
      </c>
      <c r="P41" s="75" t="s">
        <v>658</v>
      </c>
      <c r="R41" s="75" t="s">
        <v>414</v>
      </c>
      <c r="S41" s="75" t="s">
        <v>659</v>
      </c>
      <c r="U41" s="75" t="s">
        <v>414</v>
      </c>
    </row>
    <row r="42">
      <c r="A42" s="75" t="s">
        <v>660</v>
      </c>
      <c r="C42" s="75" t="s">
        <v>414</v>
      </c>
      <c r="D42" s="75" t="s">
        <v>661</v>
      </c>
      <c r="F42" s="75" t="s">
        <v>414</v>
      </c>
      <c r="G42" s="75" t="s">
        <v>662</v>
      </c>
      <c r="I42" s="75" t="s">
        <v>414</v>
      </c>
      <c r="J42" s="75" t="s">
        <v>663</v>
      </c>
      <c r="L42" s="75" t="s">
        <v>414</v>
      </c>
      <c r="M42" s="75" t="s">
        <v>664</v>
      </c>
      <c r="O42" s="75" t="s">
        <v>414</v>
      </c>
      <c r="P42" s="75" t="s">
        <v>665</v>
      </c>
      <c r="R42" s="75" t="s">
        <v>414</v>
      </c>
      <c r="S42" s="75" t="s">
        <v>666</v>
      </c>
      <c r="U42" s="75" t="s">
        <v>414</v>
      </c>
    </row>
    <row r="43">
      <c r="A43" s="76"/>
      <c r="C43" s="76"/>
      <c r="D43" s="76"/>
      <c r="F43" s="76"/>
      <c r="G43" s="76"/>
      <c r="I43" s="76"/>
      <c r="J43" s="76"/>
      <c r="L43" s="76"/>
      <c r="M43" s="76"/>
      <c r="O43" s="76"/>
      <c r="P43" s="76"/>
      <c r="R43" s="76"/>
      <c r="S43" s="77"/>
      <c r="U43" s="76"/>
      <c r="V43" s="76"/>
      <c r="W43" s="76"/>
      <c r="X43" s="76"/>
      <c r="Y43" s="76"/>
      <c r="Z43" s="76"/>
    </row>
    <row r="44">
      <c r="A44" s="75" t="s">
        <v>667</v>
      </c>
      <c r="C44" s="75" t="s">
        <v>414</v>
      </c>
      <c r="D44" s="75" t="s">
        <v>668</v>
      </c>
      <c r="F44" s="75" t="s">
        <v>414</v>
      </c>
      <c r="G44" s="75" t="s">
        <v>669</v>
      </c>
      <c r="I44" s="75" t="s">
        <v>414</v>
      </c>
      <c r="J44" s="75" t="s">
        <v>670</v>
      </c>
      <c r="L44" s="75" t="s">
        <v>414</v>
      </c>
      <c r="M44" s="75" t="s">
        <v>671</v>
      </c>
      <c r="O44" s="75" t="s">
        <v>414</v>
      </c>
      <c r="P44" s="75" t="s">
        <v>672</v>
      </c>
      <c r="R44" s="75" t="s">
        <v>414</v>
      </c>
      <c r="S44" s="75" t="s">
        <v>673</v>
      </c>
      <c r="U44" s="75" t="s">
        <v>414</v>
      </c>
    </row>
    <row r="45">
      <c r="A45" s="75" t="s">
        <v>674</v>
      </c>
      <c r="C45" s="75" t="s">
        <v>414</v>
      </c>
      <c r="D45" s="75" t="s">
        <v>675</v>
      </c>
      <c r="F45" s="75" t="s">
        <v>414</v>
      </c>
      <c r="G45" s="75" t="s">
        <v>676</v>
      </c>
      <c r="I45" s="75" t="s">
        <v>414</v>
      </c>
      <c r="J45" s="75" t="s">
        <v>677</v>
      </c>
      <c r="L45" s="75" t="s">
        <v>414</v>
      </c>
      <c r="M45" s="75" t="s">
        <v>678</v>
      </c>
      <c r="O45" s="75" t="s">
        <v>414</v>
      </c>
      <c r="P45" s="75" t="s">
        <v>679</v>
      </c>
      <c r="R45" s="75" t="s">
        <v>414</v>
      </c>
      <c r="S45" s="75" t="s">
        <v>680</v>
      </c>
      <c r="U45" s="75" t="s">
        <v>414</v>
      </c>
    </row>
    <row r="46">
      <c r="A46" s="75" t="s">
        <v>681</v>
      </c>
      <c r="C46" s="75" t="s">
        <v>414</v>
      </c>
      <c r="D46" s="75" t="s">
        <v>682</v>
      </c>
      <c r="F46" s="75" t="s">
        <v>414</v>
      </c>
      <c r="G46" s="75" t="s">
        <v>683</v>
      </c>
      <c r="I46" s="75" t="s">
        <v>414</v>
      </c>
      <c r="J46" s="75" t="s">
        <v>684</v>
      </c>
      <c r="L46" s="75" t="s">
        <v>414</v>
      </c>
      <c r="M46" s="75" t="s">
        <v>685</v>
      </c>
      <c r="O46" s="75" t="s">
        <v>414</v>
      </c>
      <c r="P46" s="75" t="s">
        <v>686</v>
      </c>
      <c r="R46" s="75" t="s">
        <v>414</v>
      </c>
      <c r="S46" s="75" t="s">
        <v>687</v>
      </c>
      <c r="U46" s="75" t="s">
        <v>414</v>
      </c>
    </row>
    <row r="47">
      <c r="A47" s="75" t="s">
        <v>688</v>
      </c>
      <c r="C47" s="75" t="s">
        <v>414</v>
      </c>
      <c r="D47" s="75" t="s">
        <v>689</v>
      </c>
      <c r="F47" s="75" t="s">
        <v>414</v>
      </c>
      <c r="G47" s="75" t="s">
        <v>690</v>
      </c>
      <c r="I47" s="75" t="s">
        <v>414</v>
      </c>
      <c r="J47" s="75" t="s">
        <v>691</v>
      </c>
      <c r="L47" s="75" t="s">
        <v>414</v>
      </c>
      <c r="M47" s="75" t="s">
        <v>692</v>
      </c>
      <c r="O47" s="75" t="s">
        <v>414</v>
      </c>
      <c r="P47" s="75" t="s">
        <v>693</v>
      </c>
      <c r="R47" s="75" t="s">
        <v>414</v>
      </c>
      <c r="S47" s="75" t="s">
        <v>694</v>
      </c>
      <c r="U47" s="75" t="s">
        <v>414</v>
      </c>
    </row>
    <row r="48">
      <c r="A48" s="75" t="s">
        <v>695</v>
      </c>
      <c r="C48" s="75" t="s">
        <v>414</v>
      </c>
      <c r="D48" s="75" t="s">
        <v>696</v>
      </c>
      <c r="F48" s="75" t="s">
        <v>414</v>
      </c>
      <c r="G48" s="75" t="s">
        <v>697</v>
      </c>
      <c r="I48" s="75" t="s">
        <v>414</v>
      </c>
      <c r="J48" s="75" t="s">
        <v>698</v>
      </c>
      <c r="L48" s="75" t="s">
        <v>414</v>
      </c>
      <c r="M48" s="75" t="s">
        <v>699</v>
      </c>
      <c r="O48" s="75" t="s">
        <v>414</v>
      </c>
      <c r="P48" s="75" t="s">
        <v>700</v>
      </c>
      <c r="R48" s="75" t="s">
        <v>414</v>
      </c>
      <c r="S48" s="75" t="s">
        <v>701</v>
      </c>
      <c r="U48" s="75" t="s">
        <v>414</v>
      </c>
    </row>
    <row r="49">
      <c r="A49" s="75" t="s">
        <v>702</v>
      </c>
      <c r="C49" s="75" t="s">
        <v>414</v>
      </c>
      <c r="D49" s="75" t="s">
        <v>703</v>
      </c>
      <c r="F49" s="75" t="s">
        <v>414</v>
      </c>
      <c r="G49" s="75" t="s">
        <v>704</v>
      </c>
      <c r="I49" s="75" t="s">
        <v>414</v>
      </c>
      <c r="J49" s="75" t="s">
        <v>705</v>
      </c>
      <c r="L49" s="75" t="s">
        <v>414</v>
      </c>
      <c r="M49" s="75" t="s">
        <v>706</v>
      </c>
      <c r="O49" s="75" t="s">
        <v>414</v>
      </c>
      <c r="P49" s="75" t="s">
        <v>707</v>
      </c>
      <c r="R49" s="75" t="s">
        <v>414</v>
      </c>
      <c r="S49" s="75" t="s">
        <v>708</v>
      </c>
      <c r="U49" s="75" t="s">
        <v>414</v>
      </c>
    </row>
    <row r="50">
      <c r="A50" s="76"/>
      <c r="C50" s="76"/>
      <c r="D50" s="76"/>
      <c r="F50" s="76"/>
      <c r="G50" s="76"/>
      <c r="I50" s="76"/>
      <c r="J50" s="76"/>
      <c r="L50" s="76"/>
      <c r="M50" s="76"/>
      <c r="O50" s="76"/>
      <c r="P50" s="76"/>
      <c r="R50" s="76"/>
      <c r="S50" s="77"/>
      <c r="U50" s="76"/>
      <c r="V50" s="76"/>
      <c r="W50" s="76"/>
      <c r="X50" s="76"/>
      <c r="Y50" s="76"/>
      <c r="Z50" s="76"/>
    </row>
    <row r="51">
      <c r="S51" s="79"/>
    </row>
    <row r="52">
      <c r="S52" s="79"/>
    </row>
    <row r="53">
      <c r="S53" s="79"/>
    </row>
    <row r="54">
      <c r="S54" s="79"/>
    </row>
    <row r="55">
      <c r="S55" s="79"/>
    </row>
    <row r="56">
      <c r="S56" s="79"/>
    </row>
    <row r="57">
      <c r="S57" s="79"/>
    </row>
    <row r="58">
      <c r="S58" s="79"/>
    </row>
    <row r="59">
      <c r="S59" s="79"/>
    </row>
    <row r="60">
      <c r="S60" s="79"/>
    </row>
    <row r="61">
      <c r="S61" s="79"/>
    </row>
    <row r="62">
      <c r="S62" s="79"/>
    </row>
    <row r="63">
      <c r="S63" s="79"/>
    </row>
    <row r="64">
      <c r="S64" s="79"/>
    </row>
    <row r="65">
      <c r="S65" s="79"/>
    </row>
    <row r="66">
      <c r="S66" s="79"/>
    </row>
    <row r="67">
      <c r="S67" s="79"/>
    </row>
    <row r="68">
      <c r="S68" s="79"/>
    </row>
    <row r="69">
      <c r="S69" s="79"/>
    </row>
    <row r="70">
      <c r="S70" s="79"/>
    </row>
    <row r="71">
      <c r="S71" s="79"/>
    </row>
    <row r="72">
      <c r="S72" s="79"/>
    </row>
    <row r="73">
      <c r="S73" s="79"/>
    </row>
    <row r="74">
      <c r="S74" s="79"/>
    </row>
    <row r="75">
      <c r="S75" s="79"/>
    </row>
    <row r="76">
      <c r="S76" s="79"/>
    </row>
    <row r="77">
      <c r="S77" s="79"/>
    </row>
    <row r="78">
      <c r="S78" s="79"/>
    </row>
    <row r="79">
      <c r="S79" s="79"/>
    </row>
    <row r="80">
      <c r="S80" s="79"/>
    </row>
    <row r="81">
      <c r="S81" s="79"/>
    </row>
    <row r="82">
      <c r="S82" s="79"/>
    </row>
    <row r="83">
      <c r="S83" s="79"/>
    </row>
    <row r="84">
      <c r="S84" s="79"/>
    </row>
    <row r="85">
      <c r="S85" s="79"/>
    </row>
    <row r="86">
      <c r="S86" s="79"/>
    </row>
    <row r="87">
      <c r="S87" s="79"/>
    </row>
    <row r="88">
      <c r="S88" s="79"/>
    </row>
    <row r="89">
      <c r="S89" s="79"/>
    </row>
    <row r="90">
      <c r="S90" s="79"/>
    </row>
    <row r="91">
      <c r="S91" s="79"/>
    </row>
    <row r="92">
      <c r="S92" s="79"/>
    </row>
    <row r="93">
      <c r="S93" s="79"/>
    </row>
    <row r="94">
      <c r="S94" s="79"/>
    </row>
    <row r="95">
      <c r="S95" s="79"/>
    </row>
    <row r="96">
      <c r="S96" s="79"/>
    </row>
    <row r="97">
      <c r="S97" s="79"/>
    </row>
    <row r="98">
      <c r="S98" s="79"/>
    </row>
    <row r="99">
      <c r="S99" s="79"/>
    </row>
    <row r="100">
      <c r="S100" s="79"/>
    </row>
    <row r="101">
      <c r="S101" s="79"/>
    </row>
    <row r="102">
      <c r="S102" s="79"/>
    </row>
    <row r="103">
      <c r="S103" s="79"/>
    </row>
    <row r="104">
      <c r="S104" s="79"/>
    </row>
    <row r="105">
      <c r="S105" s="79"/>
    </row>
    <row r="106">
      <c r="S106" s="79"/>
    </row>
    <row r="107">
      <c r="S107" s="79"/>
    </row>
    <row r="108">
      <c r="S108" s="79"/>
    </row>
    <row r="109">
      <c r="S109" s="79"/>
    </row>
    <row r="110">
      <c r="S110" s="79"/>
    </row>
    <row r="111">
      <c r="S111" s="79"/>
    </row>
    <row r="112">
      <c r="S112" s="79"/>
    </row>
    <row r="113">
      <c r="S113" s="79"/>
    </row>
    <row r="114">
      <c r="S114" s="79"/>
    </row>
    <row r="115">
      <c r="S115" s="79"/>
    </row>
    <row r="116">
      <c r="S116" s="79"/>
    </row>
    <row r="117">
      <c r="S117" s="79"/>
    </row>
    <row r="118">
      <c r="S118" s="79"/>
    </row>
    <row r="119">
      <c r="S119" s="79"/>
    </row>
    <row r="120">
      <c r="S120" s="79"/>
    </row>
    <row r="121">
      <c r="S121" s="79"/>
    </row>
    <row r="122">
      <c r="S122" s="79"/>
    </row>
    <row r="123">
      <c r="S123" s="79"/>
    </row>
    <row r="124">
      <c r="S124" s="79"/>
    </row>
    <row r="125">
      <c r="S125" s="79"/>
    </row>
    <row r="126">
      <c r="S126" s="79"/>
    </row>
    <row r="127">
      <c r="S127" s="79"/>
    </row>
    <row r="128">
      <c r="S128" s="79"/>
    </row>
    <row r="129">
      <c r="S129" s="79"/>
    </row>
    <row r="130">
      <c r="S130" s="79"/>
    </row>
    <row r="131">
      <c r="S131" s="79"/>
    </row>
    <row r="132">
      <c r="S132" s="79"/>
    </row>
    <row r="133">
      <c r="S133" s="79"/>
    </row>
    <row r="134">
      <c r="S134" s="79"/>
    </row>
    <row r="135">
      <c r="S135" s="79"/>
    </row>
    <row r="136">
      <c r="S136" s="79"/>
    </row>
    <row r="137">
      <c r="S137" s="79"/>
    </row>
    <row r="138">
      <c r="S138" s="79"/>
    </row>
    <row r="139">
      <c r="S139" s="79"/>
    </row>
    <row r="140">
      <c r="S140" s="79"/>
    </row>
    <row r="141">
      <c r="S141" s="79"/>
    </row>
    <row r="142">
      <c r="S142" s="79"/>
    </row>
    <row r="143">
      <c r="S143" s="79"/>
    </row>
    <row r="144">
      <c r="S144" s="79"/>
    </row>
    <row r="145">
      <c r="S145" s="79"/>
    </row>
    <row r="146">
      <c r="S146" s="79"/>
    </row>
    <row r="147">
      <c r="S147" s="79"/>
    </row>
    <row r="148">
      <c r="S148" s="79"/>
    </row>
    <row r="149">
      <c r="S149" s="79"/>
    </row>
    <row r="150">
      <c r="S150" s="79"/>
    </row>
    <row r="151">
      <c r="S151" s="79"/>
    </row>
    <row r="152">
      <c r="S152" s="79"/>
    </row>
    <row r="153">
      <c r="S153" s="79"/>
    </row>
    <row r="154">
      <c r="S154" s="79"/>
    </row>
    <row r="155">
      <c r="S155" s="79"/>
    </row>
    <row r="156">
      <c r="S156" s="79"/>
    </row>
    <row r="157">
      <c r="S157" s="79"/>
    </row>
    <row r="158">
      <c r="S158" s="79"/>
    </row>
    <row r="159">
      <c r="S159" s="79"/>
    </row>
    <row r="160">
      <c r="S160" s="79"/>
    </row>
    <row r="161">
      <c r="S161" s="79"/>
    </row>
    <row r="162">
      <c r="S162" s="79"/>
    </row>
    <row r="163">
      <c r="S163" s="79"/>
    </row>
    <row r="164">
      <c r="S164" s="79"/>
    </row>
    <row r="165">
      <c r="S165" s="79"/>
    </row>
    <row r="166">
      <c r="S166" s="79"/>
    </row>
    <row r="167">
      <c r="S167" s="79"/>
    </row>
    <row r="168">
      <c r="S168" s="79"/>
    </row>
    <row r="169">
      <c r="S169" s="79"/>
    </row>
    <row r="170">
      <c r="S170" s="79"/>
    </row>
    <row r="171">
      <c r="S171" s="79"/>
    </row>
    <row r="172">
      <c r="S172" s="79"/>
    </row>
    <row r="173">
      <c r="S173" s="79"/>
    </row>
    <row r="174">
      <c r="S174" s="79"/>
    </row>
    <row r="175">
      <c r="S175" s="79"/>
    </row>
    <row r="176">
      <c r="S176" s="79"/>
    </row>
    <row r="177">
      <c r="S177" s="79"/>
    </row>
    <row r="178">
      <c r="S178" s="79"/>
    </row>
    <row r="179">
      <c r="S179" s="79"/>
    </row>
    <row r="180">
      <c r="S180" s="79"/>
    </row>
    <row r="181">
      <c r="S181" s="79"/>
    </row>
    <row r="182">
      <c r="S182" s="79"/>
    </row>
    <row r="183">
      <c r="S183" s="79"/>
    </row>
    <row r="184">
      <c r="S184" s="79"/>
    </row>
    <row r="185">
      <c r="S185" s="79"/>
    </row>
    <row r="186">
      <c r="S186" s="79"/>
    </row>
    <row r="187">
      <c r="S187" s="79"/>
    </row>
    <row r="188">
      <c r="S188" s="79"/>
    </row>
    <row r="189">
      <c r="S189" s="79"/>
    </row>
    <row r="190">
      <c r="S190" s="79"/>
    </row>
    <row r="191">
      <c r="S191" s="79"/>
    </row>
    <row r="192">
      <c r="S192" s="79"/>
    </row>
    <row r="193">
      <c r="S193" s="79"/>
    </row>
    <row r="194">
      <c r="S194" s="79"/>
    </row>
    <row r="195">
      <c r="S195" s="79"/>
    </row>
    <row r="196">
      <c r="S196" s="79"/>
    </row>
    <row r="197">
      <c r="S197" s="79"/>
    </row>
    <row r="198">
      <c r="S198" s="79"/>
    </row>
    <row r="199">
      <c r="S199" s="79"/>
    </row>
    <row r="200">
      <c r="S200" s="79"/>
    </row>
    <row r="201">
      <c r="S201" s="79"/>
    </row>
    <row r="202">
      <c r="S202" s="79"/>
    </row>
    <row r="203">
      <c r="S203" s="79"/>
    </row>
    <row r="204">
      <c r="S204" s="79"/>
    </row>
    <row r="205">
      <c r="S205" s="79"/>
    </row>
    <row r="206">
      <c r="S206" s="79"/>
    </row>
    <row r="207">
      <c r="S207" s="79"/>
    </row>
    <row r="208">
      <c r="S208" s="79"/>
    </row>
    <row r="209">
      <c r="S209" s="79"/>
    </row>
    <row r="210">
      <c r="S210" s="79"/>
    </row>
    <row r="211">
      <c r="S211" s="79"/>
    </row>
    <row r="212">
      <c r="S212" s="79"/>
    </row>
    <row r="213">
      <c r="S213" s="79"/>
    </row>
    <row r="214">
      <c r="S214" s="79"/>
    </row>
    <row r="215">
      <c r="S215" s="79"/>
    </row>
    <row r="216">
      <c r="S216" s="79"/>
    </row>
    <row r="217">
      <c r="S217" s="79"/>
    </row>
    <row r="218">
      <c r="S218" s="79"/>
    </row>
    <row r="219">
      <c r="S219" s="79"/>
    </row>
    <row r="220">
      <c r="S220" s="79"/>
    </row>
    <row r="221">
      <c r="S221" s="79"/>
    </row>
    <row r="222">
      <c r="S222" s="79"/>
    </row>
    <row r="223">
      <c r="S223" s="79"/>
    </row>
    <row r="224">
      <c r="S224" s="79"/>
    </row>
    <row r="225">
      <c r="S225" s="79"/>
    </row>
    <row r="226">
      <c r="S226" s="79"/>
    </row>
    <row r="227">
      <c r="S227" s="79"/>
    </row>
    <row r="228">
      <c r="S228" s="79"/>
    </row>
    <row r="229">
      <c r="S229" s="79"/>
    </row>
    <row r="230">
      <c r="S230" s="79"/>
    </row>
    <row r="231">
      <c r="S231" s="79"/>
    </row>
    <row r="232">
      <c r="S232" s="79"/>
    </row>
    <row r="233">
      <c r="S233" s="79"/>
    </row>
    <row r="234">
      <c r="S234" s="79"/>
    </row>
    <row r="235">
      <c r="S235" s="79"/>
    </row>
    <row r="236">
      <c r="S236" s="79"/>
    </row>
    <row r="237">
      <c r="S237" s="79"/>
    </row>
    <row r="238">
      <c r="S238" s="79"/>
    </row>
    <row r="239">
      <c r="S239" s="79"/>
    </row>
    <row r="240">
      <c r="S240" s="79"/>
    </row>
    <row r="241">
      <c r="S241" s="79"/>
    </row>
    <row r="242">
      <c r="S242" s="79"/>
    </row>
    <row r="243">
      <c r="S243" s="79"/>
    </row>
    <row r="244">
      <c r="S244" s="79"/>
    </row>
    <row r="245">
      <c r="S245" s="79"/>
    </row>
    <row r="246">
      <c r="S246" s="79"/>
    </row>
    <row r="247">
      <c r="S247" s="79"/>
    </row>
    <row r="248">
      <c r="S248" s="79"/>
    </row>
    <row r="249">
      <c r="S249" s="79"/>
    </row>
    <row r="250">
      <c r="S250" s="79"/>
    </row>
    <row r="251">
      <c r="S251" s="79"/>
    </row>
    <row r="252">
      <c r="S252" s="79"/>
    </row>
    <row r="253">
      <c r="S253" s="79"/>
    </row>
    <row r="254">
      <c r="S254" s="79"/>
    </row>
    <row r="255">
      <c r="S255" s="79"/>
    </row>
    <row r="256">
      <c r="S256" s="79"/>
    </row>
    <row r="257">
      <c r="S257" s="79"/>
    </row>
    <row r="258">
      <c r="S258" s="79"/>
    </row>
    <row r="259">
      <c r="S259" s="79"/>
    </row>
    <row r="260">
      <c r="S260" s="79"/>
    </row>
    <row r="261">
      <c r="S261" s="79"/>
    </row>
    <row r="262">
      <c r="S262" s="79"/>
    </row>
    <row r="263">
      <c r="S263" s="79"/>
    </row>
    <row r="264">
      <c r="S264" s="79"/>
    </row>
    <row r="265">
      <c r="S265" s="79"/>
    </row>
    <row r="266">
      <c r="S266" s="79"/>
    </row>
    <row r="267">
      <c r="S267" s="79"/>
    </row>
    <row r="268">
      <c r="S268" s="79"/>
    </row>
    <row r="269">
      <c r="S269" s="79"/>
    </row>
    <row r="270">
      <c r="S270" s="79"/>
    </row>
    <row r="271">
      <c r="S271" s="79"/>
    </row>
    <row r="272">
      <c r="S272" s="79"/>
    </row>
    <row r="273">
      <c r="S273" s="79"/>
    </row>
    <row r="274">
      <c r="S274" s="79"/>
    </row>
    <row r="275">
      <c r="S275" s="79"/>
    </row>
    <row r="276">
      <c r="S276" s="79"/>
    </row>
    <row r="277">
      <c r="S277" s="79"/>
    </row>
    <row r="278">
      <c r="S278" s="79"/>
    </row>
    <row r="279">
      <c r="S279" s="79"/>
    </row>
    <row r="280">
      <c r="S280" s="79"/>
    </row>
    <row r="281">
      <c r="S281" s="79"/>
    </row>
    <row r="282">
      <c r="S282" s="79"/>
    </row>
    <row r="283">
      <c r="S283" s="79"/>
    </row>
    <row r="284">
      <c r="S284" s="79"/>
    </row>
    <row r="285">
      <c r="S285" s="79"/>
    </row>
    <row r="286">
      <c r="S286" s="79"/>
    </row>
    <row r="287">
      <c r="S287" s="79"/>
    </row>
    <row r="288">
      <c r="S288" s="79"/>
    </row>
    <row r="289">
      <c r="S289" s="79"/>
    </row>
    <row r="290">
      <c r="S290" s="79"/>
    </row>
    <row r="291">
      <c r="S291" s="79"/>
    </row>
    <row r="292">
      <c r="S292" s="79"/>
    </row>
    <row r="293">
      <c r="S293" s="79"/>
    </row>
    <row r="294">
      <c r="S294" s="79"/>
    </row>
    <row r="295">
      <c r="S295" s="79"/>
    </row>
    <row r="296">
      <c r="S296" s="79"/>
    </row>
    <row r="297">
      <c r="S297" s="79"/>
    </row>
    <row r="298">
      <c r="S298" s="79"/>
    </row>
    <row r="299">
      <c r="S299" s="79"/>
    </row>
    <row r="300">
      <c r="S300" s="79"/>
    </row>
    <row r="301">
      <c r="S301" s="79"/>
    </row>
    <row r="302">
      <c r="S302" s="79"/>
    </row>
    <row r="303">
      <c r="S303" s="79"/>
    </row>
    <row r="304">
      <c r="S304" s="79"/>
    </row>
    <row r="305">
      <c r="S305" s="79"/>
    </row>
    <row r="306">
      <c r="S306" s="79"/>
    </row>
    <row r="307">
      <c r="S307" s="79"/>
    </row>
    <row r="308">
      <c r="S308" s="79"/>
    </row>
    <row r="309">
      <c r="S309" s="79"/>
    </row>
    <row r="310">
      <c r="S310" s="79"/>
    </row>
    <row r="311">
      <c r="S311" s="79"/>
    </row>
    <row r="312">
      <c r="S312" s="79"/>
    </row>
    <row r="313">
      <c r="S313" s="79"/>
    </row>
    <row r="314">
      <c r="S314" s="79"/>
    </row>
    <row r="315">
      <c r="S315" s="79"/>
    </row>
    <row r="316">
      <c r="S316" s="79"/>
    </row>
    <row r="317">
      <c r="S317" s="79"/>
    </row>
    <row r="318">
      <c r="S318" s="79"/>
    </row>
    <row r="319">
      <c r="S319" s="79"/>
    </row>
    <row r="320">
      <c r="S320" s="79"/>
    </row>
    <row r="321">
      <c r="S321" s="79"/>
    </row>
    <row r="322">
      <c r="S322" s="79"/>
    </row>
    <row r="323">
      <c r="S323" s="79"/>
    </row>
    <row r="324">
      <c r="S324" s="79"/>
    </row>
    <row r="325">
      <c r="S325" s="79"/>
    </row>
    <row r="326">
      <c r="S326" s="79"/>
    </row>
    <row r="327">
      <c r="S327" s="79"/>
    </row>
    <row r="328">
      <c r="S328" s="79"/>
    </row>
    <row r="329">
      <c r="S329" s="79"/>
    </row>
    <row r="330">
      <c r="S330" s="79"/>
    </row>
    <row r="331">
      <c r="S331" s="79"/>
    </row>
    <row r="332">
      <c r="S332" s="79"/>
    </row>
    <row r="333">
      <c r="S333" s="79"/>
    </row>
    <row r="334">
      <c r="S334" s="79"/>
    </row>
    <row r="335">
      <c r="S335" s="79"/>
    </row>
    <row r="336">
      <c r="S336" s="79"/>
    </row>
    <row r="337">
      <c r="S337" s="79"/>
    </row>
    <row r="338">
      <c r="S338" s="79"/>
    </row>
    <row r="339">
      <c r="S339" s="79"/>
    </row>
    <row r="340">
      <c r="S340" s="79"/>
    </row>
    <row r="341">
      <c r="S341" s="79"/>
    </row>
    <row r="342">
      <c r="S342" s="79"/>
    </row>
    <row r="343">
      <c r="S343" s="79"/>
    </row>
    <row r="344">
      <c r="S344" s="79"/>
    </row>
    <row r="345">
      <c r="S345" s="79"/>
    </row>
    <row r="346">
      <c r="S346" s="79"/>
    </row>
    <row r="347">
      <c r="S347" s="79"/>
    </row>
    <row r="348">
      <c r="S348" s="79"/>
    </row>
    <row r="349">
      <c r="S349" s="79"/>
    </row>
    <row r="350">
      <c r="S350" s="79"/>
    </row>
    <row r="351">
      <c r="S351" s="79"/>
    </row>
    <row r="352">
      <c r="S352" s="79"/>
    </row>
    <row r="353">
      <c r="S353" s="79"/>
    </row>
    <row r="354">
      <c r="S354" s="79"/>
    </row>
    <row r="355">
      <c r="S355" s="79"/>
    </row>
    <row r="356">
      <c r="S356" s="79"/>
    </row>
    <row r="357">
      <c r="S357" s="79"/>
    </row>
    <row r="358">
      <c r="S358" s="79"/>
    </row>
    <row r="359">
      <c r="S359" s="79"/>
    </row>
    <row r="360">
      <c r="S360" s="79"/>
    </row>
    <row r="361">
      <c r="S361" s="79"/>
    </row>
    <row r="362">
      <c r="S362" s="79"/>
    </row>
    <row r="363">
      <c r="S363" s="79"/>
    </row>
    <row r="364">
      <c r="S364" s="79"/>
    </row>
    <row r="365">
      <c r="S365" s="79"/>
    </row>
    <row r="366">
      <c r="S366" s="79"/>
    </row>
    <row r="367">
      <c r="S367" s="79"/>
    </row>
    <row r="368">
      <c r="S368" s="79"/>
    </row>
    <row r="369">
      <c r="S369" s="79"/>
    </row>
    <row r="370">
      <c r="S370" s="79"/>
    </row>
    <row r="371">
      <c r="S371" s="79"/>
    </row>
    <row r="372">
      <c r="S372" s="79"/>
    </row>
    <row r="373">
      <c r="S373" s="79"/>
    </row>
    <row r="374">
      <c r="S374" s="79"/>
    </row>
    <row r="375">
      <c r="S375" s="79"/>
    </row>
    <row r="376">
      <c r="S376" s="79"/>
    </row>
    <row r="377">
      <c r="S377" s="79"/>
    </row>
    <row r="378">
      <c r="S378" s="79"/>
    </row>
    <row r="379">
      <c r="S379" s="79"/>
    </row>
    <row r="380">
      <c r="S380" s="79"/>
    </row>
    <row r="381">
      <c r="S381" s="79"/>
    </row>
    <row r="382">
      <c r="S382" s="79"/>
    </row>
    <row r="383">
      <c r="S383" s="79"/>
    </row>
    <row r="384">
      <c r="S384" s="79"/>
    </row>
    <row r="385">
      <c r="S385" s="79"/>
    </row>
    <row r="386">
      <c r="S386" s="79"/>
    </row>
    <row r="387">
      <c r="S387" s="79"/>
    </row>
    <row r="388">
      <c r="S388" s="79"/>
    </row>
    <row r="389">
      <c r="S389" s="79"/>
    </row>
    <row r="390">
      <c r="S390" s="79"/>
    </row>
    <row r="391">
      <c r="S391" s="79"/>
    </row>
    <row r="392">
      <c r="S392" s="79"/>
    </row>
    <row r="393">
      <c r="S393" s="79"/>
    </row>
    <row r="394">
      <c r="S394" s="79"/>
    </row>
    <row r="395">
      <c r="S395" s="79"/>
    </row>
    <row r="396">
      <c r="S396" s="79"/>
    </row>
    <row r="397">
      <c r="S397" s="79"/>
    </row>
    <row r="398">
      <c r="S398" s="79"/>
    </row>
    <row r="399">
      <c r="S399" s="79"/>
    </row>
    <row r="400">
      <c r="S400" s="79"/>
    </row>
    <row r="401">
      <c r="S401" s="79"/>
    </row>
    <row r="402">
      <c r="S402" s="79"/>
    </row>
    <row r="403">
      <c r="S403" s="79"/>
    </row>
    <row r="404">
      <c r="S404" s="79"/>
    </row>
    <row r="405">
      <c r="S405" s="79"/>
    </row>
    <row r="406">
      <c r="S406" s="79"/>
    </row>
    <row r="407">
      <c r="S407" s="79"/>
    </row>
    <row r="408">
      <c r="S408" s="79"/>
    </row>
    <row r="409">
      <c r="S409" s="79"/>
    </row>
    <row r="410">
      <c r="S410" s="79"/>
    </row>
    <row r="411">
      <c r="S411" s="79"/>
    </row>
    <row r="412">
      <c r="S412" s="79"/>
    </row>
    <row r="413">
      <c r="S413" s="79"/>
    </row>
    <row r="414">
      <c r="S414" s="79"/>
    </row>
    <row r="415">
      <c r="S415" s="79"/>
    </row>
    <row r="416">
      <c r="S416" s="79"/>
    </row>
    <row r="417">
      <c r="S417" s="79"/>
    </row>
    <row r="418">
      <c r="S418" s="79"/>
    </row>
    <row r="419">
      <c r="S419" s="79"/>
    </row>
    <row r="420">
      <c r="S420" s="79"/>
    </row>
    <row r="421">
      <c r="S421" s="79"/>
    </row>
    <row r="422">
      <c r="S422" s="79"/>
    </row>
    <row r="423">
      <c r="S423" s="79"/>
    </row>
    <row r="424">
      <c r="S424" s="79"/>
    </row>
    <row r="425">
      <c r="S425" s="79"/>
    </row>
    <row r="426">
      <c r="S426" s="79"/>
    </row>
    <row r="427">
      <c r="S427" s="79"/>
    </row>
    <row r="428">
      <c r="S428" s="79"/>
    </row>
    <row r="429">
      <c r="S429" s="79"/>
    </row>
    <row r="430">
      <c r="S430" s="79"/>
    </row>
    <row r="431">
      <c r="S431" s="79"/>
    </row>
    <row r="432">
      <c r="S432" s="79"/>
    </row>
    <row r="433">
      <c r="S433" s="79"/>
    </row>
    <row r="434">
      <c r="S434" s="79"/>
    </row>
    <row r="435">
      <c r="S435" s="79"/>
    </row>
    <row r="436">
      <c r="S436" s="79"/>
    </row>
    <row r="437">
      <c r="S437" s="79"/>
    </row>
    <row r="438">
      <c r="S438" s="79"/>
    </row>
    <row r="439">
      <c r="S439" s="79"/>
    </row>
    <row r="440">
      <c r="S440" s="79"/>
    </row>
    <row r="441">
      <c r="S441" s="79"/>
    </row>
    <row r="442">
      <c r="S442" s="79"/>
    </row>
    <row r="443">
      <c r="S443" s="79"/>
    </row>
    <row r="444">
      <c r="S444" s="79"/>
    </row>
    <row r="445">
      <c r="S445" s="79"/>
    </row>
    <row r="446">
      <c r="S446" s="79"/>
    </row>
    <row r="447">
      <c r="S447" s="79"/>
    </row>
    <row r="448">
      <c r="S448" s="79"/>
    </row>
    <row r="449">
      <c r="S449" s="79"/>
    </row>
    <row r="450">
      <c r="S450" s="79"/>
    </row>
    <row r="451">
      <c r="S451" s="79"/>
    </row>
    <row r="452">
      <c r="S452" s="79"/>
    </row>
    <row r="453">
      <c r="S453" s="79"/>
    </row>
    <row r="454">
      <c r="S454" s="79"/>
    </row>
    <row r="455">
      <c r="S455" s="79"/>
    </row>
    <row r="456">
      <c r="S456" s="79"/>
    </row>
    <row r="457">
      <c r="S457" s="79"/>
    </row>
    <row r="458">
      <c r="S458" s="79"/>
    </row>
    <row r="459">
      <c r="S459" s="79"/>
    </row>
    <row r="460">
      <c r="S460" s="79"/>
    </row>
    <row r="461">
      <c r="S461" s="79"/>
    </row>
    <row r="462">
      <c r="S462" s="79"/>
    </row>
    <row r="463">
      <c r="S463" s="79"/>
    </row>
    <row r="464">
      <c r="S464" s="79"/>
    </row>
    <row r="465">
      <c r="S465" s="79"/>
    </row>
    <row r="466">
      <c r="S466" s="79"/>
    </row>
    <row r="467">
      <c r="S467" s="79"/>
    </row>
    <row r="468">
      <c r="S468" s="79"/>
    </row>
    <row r="469">
      <c r="S469" s="79"/>
    </row>
    <row r="470">
      <c r="S470" s="79"/>
    </row>
    <row r="471">
      <c r="S471" s="79"/>
    </row>
    <row r="472">
      <c r="S472" s="79"/>
    </row>
    <row r="473">
      <c r="S473" s="79"/>
    </row>
    <row r="474">
      <c r="S474" s="79"/>
    </row>
    <row r="475">
      <c r="S475" s="79"/>
    </row>
    <row r="476">
      <c r="S476" s="79"/>
    </row>
    <row r="477">
      <c r="S477" s="79"/>
    </row>
    <row r="478">
      <c r="S478" s="79"/>
    </row>
    <row r="479">
      <c r="S479" s="79"/>
    </row>
    <row r="480">
      <c r="S480" s="79"/>
    </row>
    <row r="481">
      <c r="S481" s="79"/>
    </row>
    <row r="482">
      <c r="S482" s="79"/>
    </row>
    <row r="483">
      <c r="S483" s="79"/>
    </row>
    <row r="484">
      <c r="S484" s="79"/>
    </row>
    <row r="485">
      <c r="S485" s="79"/>
    </row>
    <row r="486">
      <c r="S486" s="79"/>
    </row>
    <row r="487">
      <c r="S487" s="79"/>
    </row>
    <row r="488">
      <c r="S488" s="79"/>
    </row>
    <row r="489">
      <c r="S489" s="79"/>
    </row>
    <row r="490">
      <c r="S490" s="79"/>
    </row>
    <row r="491">
      <c r="S491" s="79"/>
    </row>
    <row r="492">
      <c r="S492" s="79"/>
    </row>
    <row r="493">
      <c r="S493" s="79"/>
    </row>
    <row r="494">
      <c r="S494" s="79"/>
    </row>
    <row r="495">
      <c r="S495" s="79"/>
    </row>
    <row r="496">
      <c r="S496" s="79"/>
    </row>
    <row r="497">
      <c r="S497" s="79"/>
    </row>
    <row r="498">
      <c r="S498" s="79"/>
    </row>
    <row r="499">
      <c r="S499" s="79"/>
    </row>
    <row r="500">
      <c r="S500" s="79"/>
    </row>
    <row r="501">
      <c r="S501" s="79"/>
    </row>
    <row r="502">
      <c r="S502" s="79"/>
    </row>
    <row r="503">
      <c r="S503" s="79"/>
    </row>
    <row r="504">
      <c r="S504" s="79"/>
    </row>
    <row r="505">
      <c r="S505" s="79"/>
    </row>
    <row r="506">
      <c r="S506" s="79"/>
    </row>
    <row r="507">
      <c r="S507" s="79"/>
    </row>
    <row r="508">
      <c r="S508" s="79"/>
    </row>
    <row r="509">
      <c r="S509" s="79"/>
    </row>
    <row r="510">
      <c r="S510" s="79"/>
    </row>
    <row r="511">
      <c r="S511" s="79"/>
    </row>
    <row r="512">
      <c r="S512" s="79"/>
    </row>
    <row r="513">
      <c r="S513" s="79"/>
    </row>
    <row r="514">
      <c r="S514" s="79"/>
    </row>
    <row r="515">
      <c r="S515" s="79"/>
    </row>
    <row r="516">
      <c r="S516" s="79"/>
    </row>
    <row r="517">
      <c r="S517" s="79"/>
    </row>
    <row r="518">
      <c r="S518" s="79"/>
    </row>
    <row r="519">
      <c r="S519" s="79"/>
    </row>
    <row r="520">
      <c r="S520" s="79"/>
    </row>
    <row r="521">
      <c r="S521" s="79"/>
    </row>
    <row r="522">
      <c r="S522" s="79"/>
    </row>
    <row r="523">
      <c r="S523" s="79"/>
    </row>
    <row r="524">
      <c r="S524" s="79"/>
    </row>
    <row r="525">
      <c r="S525" s="79"/>
    </row>
    <row r="526">
      <c r="S526" s="79"/>
    </row>
    <row r="527">
      <c r="S527" s="79"/>
    </row>
    <row r="528">
      <c r="S528" s="79"/>
    </row>
    <row r="529">
      <c r="S529" s="79"/>
    </row>
    <row r="530">
      <c r="S530" s="79"/>
    </row>
    <row r="531">
      <c r="S531" s="79"/>
    </row>
    <row r="532">
      <c r="S532" s="79"/>
    </row>
    <row r="533">
      <c r="S533" s="79"/>
    </row>
    <row r="534">
      <c r="S534" s="79"/>
    </row>
    <row r="535">
      <c r="S535" s="79"/>
    </row>
    <row r="536">
      <c r="S536" s="79"/>
    </row>
    <row r="537">
      <c r="S537" s="79"/>
    </row>
    <row r="538">
      <c r="S538" s="79"/>
    </row>
    <row r="539">
      <c r="S539" s="79"/>
    </row>
    <row r="540">
      <c r="S540" s="79"/>
    </row>
    <row r="541">
      <c r="S541" s="79"/>
    </row>
    <row r="542">
      <c r="S542" s="79"/>
    </row>
    <row r="543">
      <c r="S543" s="79"/>
    </row>
    <row r="544">
      <c r="S544" s="79"/>
    </row>
    <row r="545">
      <c r="S545" s="79"/>
    </row>
    <row r="546">
      <c r="S546" s="79"/>
    </row>
    <row r="547">
      <c r="S547" s="79"/>
    </row>
    <row r="548">
      <c r="S548" s="79"/>
    </row>
    <row r="549">
      <c r="S549" s="79"/>
    </row>
    <row r="550">
      <c r="S550" s="79"/>
    </row>
    <row r="551">
      <c r="S551" s="79"/>
    </row>
    <row r="552">
      <c r="S552" s="79"/>
    </row>
    <row r="553">
      <c r="S553" s="79"/>
    </row>
    <row r="554">
      <c r="S554" s="79"/>
    </row>
    <row r="555">
      <c r="S555" s="79"/>
    </row>
    <row r="556">
      <c r="S556" s="79"/>
    </row>
    <row r="557">
      <c r="S557" s="79"/>
    </row>
    <row r="558">
      <c r="S558" s="79"/>
    </row>
    <row r="559">
      <c r="S559" s="79"/>
    </row>
    <row r="560">
      <c r="S560" s="79"/>
    </row>
    <row r="561">
      <c r="S561" s="79"/>
    </row>
    <row r="562">
      <c r="S562" s="79"/>
    </row>
    <row r="563">
      <c r="S563" s="79"/>
    </row>
    <row r="564">
      <c r="S564" s="79"/>
    </row>
    <row r="565">
      <c r="S565" s="79"/>
    </row>
    <row r="566">
      <c r="S566" s="79"/>
    </row>
    <row r="567">
      <c r="S567" s="79"/>
    </row>
    <row r="568">
      <c r="S568" s="79"/>
    </row>
    <row r="569">
      <c r="S569" s="79"/>
    </row>
    <row r="570">
      <c r="S570" s="79"/>
    </row>
    <row r="571">
      <c r="S571" s="79"/>
    </row>
    <row r="572">
      <c r="S572" s="79"/>
    </row>
    <row r="573">
      <c r="S573" s="79"/>
    </row>
    <row r="574">
      <c r="S574" s="79"/>
    </row>
    <row r="575">
      <c r="S575" s="79"/>
    </row>
    <row r="576">
      <c r="S576" s="79"/>
    </row>
    <row r="577">
      <c r="S577" s="79"/>
    </row>
    <row r="578">
      <c r="S578" s="79"/>
    </row>
    <row r="579">
      <c r="S579" s="79"/>
    </row>
    <row r="580">
      <c r="S580" s="79"/>
    </row>
    <row r="581">
      <c r="S581" s="79"/>
    </row>
    <row r="582">
      <c r="S582" s="79"/>
    </row>
    <row r="583">
      <c r="S583" s="79"/>
    </row>
    <row r="584">
      <c r="S584" s="79"/>
    </row>
    <row r="585">
      <c r="S585" s="79"/>
    </row>
    <row r="586">
      <c r="S586" s="79"/>
    </row>
    <row r="587">
      <c r="S587" s="79"/>
    </row>
    <row r="588">
      <c r="S588" s="79"/>
    </row>
    <row r="589">
      <c r="S589" s="79"/>
    </row>
    <row r="590">
      <c r="S590" s="79"/>
    </row>
    <row r="591">
      <c r="S591" s="79"/>
    </row>
    <row r="592">
      <c r="S592" s="79"/>
    </row>
    <row r="593">
      <c r="S593" s="79"/>
    </row>
    <row r="594">
      <c r="S594" s="79"/>
    </row>
    <row r="595">
      <c r="S595" s="79"/>
    </row>
    <row r="596">
      <c r="S596" s="79"/>
    </row>
    <row r="597">
      <c r="S597" s="79"/>
    </row>
    <row r="598">
      <c r="S598" s="79"/>
    </row>
    <row r="599">
      <c r="S599" s="79"/>
    </row>
    <row r="600">
      <c r="S600" s="79"/>
    </row>
    <row r="601">
      <c r="S601" s="79"/>
    </row>
    <row r="602">
      <c r="S602" s="79"/>
    </row>
    <row r="603">
      <c r="S603" s="79"/>
    </row>
    <row r="604">
      <c r="S604" s="79"/>
    </row>
    <row r="605">
      <c r="S605" s="79"/>
    </row>
    <row r="606">
      <c r="S606" s="79"/>
    </row>
    <row r="607">
      <c r="S607" s="79"/>
    </row>
    <row r="608">
      <c r="S608" s="79"/>
    </row>
    <row r="609">
      <c r="S609" s="79"/>
    </row>
    <row r="610">
      <c r="S610" s="79"/>
    </row>
    <row r="611">
      <c r="S611" s="79"/>
    </row>
    <row r="612">
      <c r="S612" s="79"/>
    </row>
    <row r="613">
      <c r="S613" s="79"/>
    </row>
    <row r="614">
      <c r="S614" s="79"/>
    </row>
    <row r="615">
      <c r="S615" s="79"/>
    </row>
    <row r="616">
      <c r="S616" s="79"/>
    </row>
    <row r="617">
      <c r="S617" s="79"/>
    </row>
    <row r="618">
      <c r="S618" s="79"/>
    </row>
    <row r="619">
      <c r="S619" s="79"/>
    </row>
    <row r="620">
      <c r="S620" s="79"/>
    </row>
    <row r="621">
      <c r="S621" s="79"/>
    </row>
    <row r="622">
      <c r="S622" s="79"/>
    </row>
    <row r="623">
      <c r="S623" s="79"/>
    </row>
    <row r="624">
      <c r="S624" s="79"/>
    </row>
    <row r="625">
      <c r="S625" s="79"/>
    </row>
    <row r="626">
      <c r="S626" s="79"/>
    </row>
    <row r="627">
      <c r="S627" s="79"/>
    </row>
    <row r="628">
      <c r="S628" s="79"/>
    </row>
    <row r="629">
      <c r="S629" s="79"/>
    </row>
    <row r="630">
      <c r="S630" s="79"/>
    </row>
    <row r="631">
      <c r="S631" s="79"/>
    </row>
    <row r="632">
      <c r="S632" s="79"/>
    </row>
    <row r="633">
      <c r="S633" s="79"/>
    </row>
    <row r="634">
      <c r="S634" s="79"/>
    </row>
    <row r="635">
      <c r="S635" s="79"/>
    </row>
    <row r="636">
      <c r="S636" s="79"/>
    </row>
    <row r="637">
      <c r="S637" s="79"/>
    </row>
    <row r="638">
      <c r="S638" s="79"/>
    </row>
    <row r="639">
      <c r="S639" s="79"/>
    </row>
    <row r="640">
      <c r="S640" s="79"/>
    </row>
    <row r="641">
      <c r="S641" s="79"/>
    </row>
    <row r="642">
      <c r="S642" s="79"/>
    </row>
    <row r="643">
      <c r="S643" s="79"/>
    </row>
    <row r="644">
      <c r="S644" s="79"/>
    </row>
    <row r="645">
      <c r="S645" s="79"/>
    </row>
    <row r="646">
      <c r="S646" s="79"/>
    </row>
    <row r="647">
      <c r="S647" s="79"/>
    </row>
    <row r="648">
      <c r="S648" s="79"/>
    </row>
    <row r="649">
      <c r="S649" s="79"/>
    </row>
    <row r="650">
      <c r="S650" s="79"/>
    </row>
    <row r="651">
      <c r="S651" s="79"/>
    </row>
    <row r="652">
      <c r="S652" s="79"/>
    </row>
    <row r="653">
      <c r="S653" s="79"/>
    </row>
    <row r="654">
      <c r="S654" s="79"/>
    </row>
    <row r="655">
      <c r="S655" s="79"/>
    </row>
    <row r="656">
      <c r="S656" s="79"/>
    </row>
    <row r="657">
      <c r="S657" s="79"/>
    </row>
    <row r="658">
      <c r="S658" s="79"/>
    </row>
    <row r="659">
      <c r="S659" s="79"/>
    </row>
    <row r="660">
      <c r="S660" s="79"/>
    </row>
    <row r="661">
      <c r="S661" s="79"/>
    </row>
    <row r="662">
      <c r="S662" s="79"/>
    </row>
    <row r="663">
      <c r="S663" s="79"/>
    </row>
    <row r="664">
      <c r="S664" s="79"/>
    </row>
    <row r="665">
      <c r="S665" s="79"/>
    </row>
    <row r="666">
      <c r="S666" s="79"/>
    </row>
    <row r="667">
      <c r="S667" s="79"/>
    </row>
    <row r="668">
      <c r="S668" s="79"/>
    </row>
    <row r="669">
      <c r="S669" s="79"/>
    </row>
    <row r="670">
      <c r="S670" s="79"/>
    </row>
    <row r="671">
      <c r="S671" s="79"/>
    </row>
    <row r="672">
      <c r="S672" s="79"/>
    </row>
    <row r="673">
      <c r="S673" s="79"/>
    </row>
    <row r="674">
      <c r="S674" s="79"/>
    </row>
    <row r="675">
      <c r="S675" s="79"/>
    </row>
    <row r="676">
      <c r="S676" s="79"/>
    </row>
    <row r="677">
      <c r="S677" s="79"/>
    </row>
    <row r="678">
      <c r="S678" s="79"/>
    </row>
    <row r="679">
      <c r="S679" s="79"/>
    </row>
    <row r="680">
      <c r="S680" s="79"/>
    </row>
    <row r="681">
      <c r="S681" s="79"/>
    </row>
    <row r="682">
      <c r="S682" s="79"/>
    </row>
    <row r="683">
      <c r="S683" s="79"/>
    </row>
    <row r="684">
      <c r="S684" s="79"/>
    </row>
    <row r="685">
      <c r="S685" s="79"/>
    </row>
    <row r="686">
      <c r="S686" s="79"/>
    </row>
    <row r="687">
      <c r="S687" s="79"/>
    </row>
    <row r="688">
      <c r="S688" s="79"/>
    </row>
    <row r="689">
      <c r="S689" s="79"/>
    </row>
    <row r="690">
      <c r="S690" s="79"/>
    </row>
    <row r="691">
      <c r="S691" s="79"/>
    </row>
    <row r="692">
      <c r="S692" s="79"/>
    </row>
    <row r="693">
      <c r="S693" s="79"/>
    </row>
    <row r="694">
      <c r="S694" s="79"/>
    </row>
    <row r="695">
      <c r="S695" s="79"/>
    </row>
    <row r="696">
      <c r="S696" s="79"/>
    </row>
    <row r="697">
      <c r="S697" s="79"/>
    </row>
    <row r="698">
      <c r="S698" s="79"/>
    </row>
    <row r="699">
      <c r="S699" s="79"/>
    </row>
    <row r="700">
      <c r="S700" s="79"/>
    </row>
    <row r="701">
      <c r="S701" s="79"/>
    </row>
    <row r="702">
      <c r="S702" s="79"/>
    </row>
    <row r="703">
      <c r="S703" s="79"/>
    </row>
    <row r="704">
      <c r="S704" s="79"/>
    </row>
    <row r="705">
      <c r="S705" s="79"/>
    </row>
    <row r="706">
      <c r="S706" s="79"/>
    </row>
    <row r="707">
      <c r="S707" s="79"/>
    </row>
    <row r="708">
      <c r="S708" s="79"/>
    </row>
    <row r="709">
      <c r="S709" s="79"/>
    </row>
    <row r="710">
      <c r="S710" s="79"/>
    </row>
    <row r="711">
      <c r="S711" s="79"/>
    </row>
    <row r="712">
      <c r="S712" s="79"/>
    </row>
    <row r="713">
      <c r="S713" s="79"/>
    </row>
    <row r="714">
      <c r="S714" s="79"/>
    </row>
    <row r="715">
      <c r="S715" s="79"/>
    </row>
    <row r="716">
      <c r="S716" s="79"/>
    </row>
    <row r="717">
      <c r="S717" s="79"/>
    </row>
    <row r="718">
      <c r="S718" s="79"/>
    </row>
    <row r="719">
      <c r="S719" s="79"/>
    </row>
    <row r="720">
      <c r="S720" s="79"/>
    </row>
    <row r="721">
      <c r="S721" s="79"/>
    </row>
    <row r="722">
      <c r="S722" s="79"/>
    </row>
    <row r="723">
      <c r="S723" s="79"/>
    </row>
    <row r="724">
      <c r="S724" s="79"/>
    </row>
    <row r="725">
      <c r="S725" s="79"/>
    </row>
    <row r="726">
      <c r="S726" s="79"/>
    </row>
    <row r="727">
      <c r="S727" s="79"/>
    </row>
    <row r="728">
      <c r="S728" s="79"/>
    </row>
    <row r="729">
      <c r="S729" s="79"/>
    </row>
    <row r="730">
      <c r="S730" s="79"/>
    </row>
    <row r="731">
      <c r="S731" s="79"/>
    </row>
    <row r="732">
      <c r="S732" s="79"/>
    </row>
    <row r="733">
      <c r="S733" s="79"/>
    </row>
    <row r="734">
      <c r="S734" s="79"/>
    </row>
    <row r="735">
      <c r="S735" s="79"/>
    </row>
    <row r="736">
      <c r="S736" s="79"/>
    </row>
    <row r="737">
      <c r="S737" s="79"/>
    </row>
    <row r="738">
      <c r="S738" s="79"/>
    </row>
    <row r="739">
      <c r="S739" s="79"/>
    </row>
    <row r="740">
      <c r="S740" s="79"/>
    </row>
    <row r="741">
      <c r="S741" s="79"/>
    </row>
    <row r="742">
      <c r="S742" s="79"/>
    </row>
    <row r="743">
      <c r="S743" s="79"/>
    </row>
    <row r="744">
      <c r="S744" s="79"/>
    </row>
    <row r="745">
      <c r="S745" s="79"/>
    </row>
    <row r="746">
      <c r="S746" s="79"/>
    </row>
    <row r="747">
      <c r="S747" s="79"/>
    </row>
    <row r="748">
      <c r="S748" s="79"/>
    </row>
    <row r="749">
      <c r="S749" s="79"/>
    </row>
    <row r="750">
      <c r="S750" s="79"/>
    </row>
    <row r="751">
      <c r="S751" s="79"/>
    </row>
    <row r="752">
      <c r="S752" s="79"/>
    </row>
    <row r="753">
      <c r="S753" s="79"/>
    </row>
    <row r="754">
      <c r="S754" s="79"/>
    </row>
    <row r="755">
      <c r="S755" s="79"/>
    </row>
    <row r="756">
      <c r="S756" s="79"/>
    </row>
    <row r="757">
      <c r="S757" s="79"/>
    </row>
    <row r="758">
      <c r="S758" s="79"/>
    </row>
    <row r="759">
      <c r="S759" s="79"/>
    </row>
    <row r="760">
      <c r="S760" s="79"/>
    </row>
    <row r="761">
      <c r="S761" s="79"/>
    </row>
    <row r="762">
      <c r="S762" s="79"/>
    </row>
    <row r="763">
      <c r="S763" s="79"/>
    </row>
    <row r="764">
      <c r="S764" s="79"/>
    </row>
    <row r="765">
      <c r="S765" s="79"/>
    </row>
    <row r="766">
      <c r="S766" s="79"/>
    </row>
    <row r="767">
      <c r="S767" s="79"/>
    </row>
    <row r="768">
      <c r="S768" s="79"/>
    </row>
    <row r="769">
      <c r="S769" s="79"/>
    </row>
    <row r="770">
      <c r="S770" s="79"/>
    </row>
    <row r="771">
      <c r="S771" s="79"/>
    </row>
    <row r="772">
      <c r="S772" s="79"/>
    </row>
    <row r="773">
      <c r="S773" s="79"/>
    </row>
    <row r="774">
      <c r="S774" s="79"/>
    </row>
    <row r="775">
      <c r="S775" s="79"/>
    </row>
    <row r="776">
      <c r="S776" s="79"/>
    </row>
    <row r="777">
      <c r="S777" s="79"/>
    </row>
    <row r="778">
      <c r="S778" s="79"/>
    </row>
    <row r="779">
      <c r="S779" s="79"/>
    </row>
    <row r="780">
      <c r="S780" s="79"/>
    </row>
    <row r="781">
      <c r="S781" s="79"/>
    </row>
    <row r="782">
      <c r="S782" s="79"/>
    </row>
    <row r="783">
      <c r="S783" s="79"/>
    </row>
    <row r="784">
      <c r="S784" s="79"/>
    </row>
    <row r="785">
      <c r="S785" s="79"/>
    </row>
    <row r="786">
      <c r="S786" s="79"/>
    </row>
    <row r="787">
      <c r="S787" s="79"/>
    </row>
    <row r="788">
      <c r="S788" s="79"/>
    </row>
    <row r="789">
      <c r="S789" s="79"/>
    </row>
    <row r="790">
      <c r="S790" s="79"/>
    </row>
    <row r="791">
      <c r="S791" s="79"/>
    </row>
    <row r="792">
      <c r="S792" s="79"/>
    </row>
    <row r="793">
      <c r="S793" s="79"/>
    </row>
    <row r="794">
      <c r="S794" s="79"/>
    </row>
    <row r="795">
      <c r="S795" s="79"/>
    </row>
    <row r="796">
      <c r="S796" s="79"/>
    </row>
    <row r="797">
      <c r="S797" s="79"/>
    </row>
    <row r="798">
      <c r="S798" s="79"/>
    </row>
    <row r="799">
      <c r="S799" s="79"/>
    </row>
    <row r="800">
      <c r="S800" s="79"/>
    </row>
    <row r="801">
      <c r="S801" s="79"/>
    </row>
    <row r="802">
      <c r="S802" s="79"/>
    </row>
    <row r="803">
      <c r="S803" s="79"/>
    </row>
    <row r="804">
      <c r="S804" s="79"/>
    </row>
    <row r="805">
      <c r="S805" s="79"/>
    </row>
    <row r="806">
      <c r="S806" s="79"/>
    </row>
    <row r="807">
      <c r="S807" s="79"/>
    </row>
    <row r="808">
      <c r="S808" s="79"/>
    </row>
    <row r="809">
      <c r="S809" s="79"/>
    </row>
    <row r="810">
      <c r="S810" s="79"/>
    </row>
    <row r="811">
      <c r="S811" s="79"/>
    </row>
    <row r="812">
      <c r="S812" s="79"/>
    </row>
    <row r="813">
      <c r="S813" s="79"/>
    </row>
    <row r="814">
      <c r="S814" s="79"/>
    </row>
    <row r="815">
      <c r="S815" s="79"/>
    </row>
    <row r="816">
      <c r="S816" s="79"/>
    </row>
    <row r="817">
      <c r="S817" s="79"/>
    </row>
    <row r="818">
      <c r="S818" s="79"/>
    </row>
    <row r="819">
      <c r="S819" s="79"/>
    </row>
    <row r="820">
      <c r="S820" s="79"/>
    </row>
    <row r="821">
      <c r="S821" s="79"/>
    </row>
    <row r="822">
      <c r="S822" s="79"/>
    </row>
    <row r="823">
      <c r="S823" s="79"/>
    </row>
    <row r="824">
      <c r="S824" s="79"/>
    </row>
    <row r="825">
      <c r="S825" s="79"/>
    </row>
    <row r="826">
      <c r="S826" s="79"/>
    </row>
    <row r="827">
      <c r="S827" s="79"/>
    </row>
    <row r="828">
      <c r="S828" s="79"/>
    </row>
    <row r="829">
      <c r="S829" s="79"/>
    </row>
    <row r="830">
      <c r="S830" s="79"/>
    </row>
    <row r="831">
      <c r="S831" s="79"/>
    </row>
    <row r="832">
      <c r="S832" s="79"/>
    </row>
    <row r="833">
      <c r="S833" s="79"/>
    </row>
    <row r="834">
      <c r="S834" s="79"/>
    </row>
    <row r="835">
      <c r="S835" s="79"/>
    </row>
    <row r="836">
      <c r="S836" s="79"/>
    </row>
    <row r="837">
      <c r="S837" s="79"/>
    </row>
    <row r="838">
      <c r="S838" s="79"/>
    </row>
    <row r="839">
      <c r="S839" s="79"/>
    </row>
    <row r="840">
      <c r="S840" s="79"/>
    </row>
    <row r="841">
      <c r="S841" s="79"/>
    </row>
    <row r="842">
      <c r="S842" s="79"/>
    </row>
    <row r="843">
      <c r="S843" s="79"/>
    </row>
    <row r="844">
      <c r="S844" s="79"/>
    </row>
    <row r="845">
      <c r="S845" s="79"/>
    </row>
    <row r="846">
      <c r="S846" s="79"/>
    </row>
    <row r="847">
      <c r="S847" s="79"/>
    </row>
    <row r="848">
      <c r="S848" s="79"/>
    </row>
    <row r="849">
      <c r="S849" s="79"/>
    </row>
    <row r="850">
      <c r="S850" s="79"/>
    </row>
    <row r="851">
      <c r="S851" s="79"/>
    </row>
    <row r="852">
      <c r="S852" s="79"/>
    </row>
    <row r="853">
      <c r="S853" s="79"/>
    </row>
    <row r="854">
      <c r="S854" s="79"/>
    </row>
    <row r="855">
      <c r="S855" s="79"/>
    </row>
    <row r="856">
      <c r="S856" s="79"/>
    </row>
    <row r="857">
      <c r="S857" s="79"/>
    </row>
    <row r="858">
      <c r="S858" s="79"/>
    </row>
    <row r="859">
      <c r="S859" s="79"/>
    </row>
    <row r="860">
      <c r="S860" s="79"/>
    </row>
    <row r="861">
      <c r="S861" s="79"/>
    </row>
    <row r="862">
      <c r="S862" s="79"/>
    </row>
    <row r="863">
      <c r="S863" s="79"/>
    </row>
    <row r="864">
      <c r="S864" s="79"/>
    </row>
    <row r="865">
      <c r="S865" s="79"/>
    </row>
    <row r="866">
      <c r="S866" s="79"/>
    </row>
    <row r="867">
      <c r="S867" s="79"/>
    </row>
    <row r="868">
      <c r="S868" s="79"/>
    </row>
    <row r="869">
      <c r="S869" s="79"/>
    </row>
    <row r="870">
      <c r="S870" s="79"/>
    </row>
    <row r="871">
      <c r="S871" s="79"/>
    </row>
    <row r="872">
      <c r="S872" s="79"/>
    </row>
    <row r="873">
      <c r="S873" s="79"/>
    </row>
    <row r="874">
      <c r="S874" s="79"/>
    </row>
    <row r="875">
      <c r="S875" s="79"/>
    </row>
    <row r="876">
      <c r="S876" s="79"/>
    </row>
    <row r="877">
      <c r="S877" s="79"/>
    </row>
    <row r="878">
      <c r="S878" s="79"/>
    </row>
    <row r="879">
      <c r="S879" s="79"/>
    </row>
    <row r="880">
      <c r="S880" s="79"/>
    </row>
    <row r="881">
      <c r="S881" s="79"/>
    </row>
    <row r="882">
      <c r="S882" s="79"/>
    </row>
    <row r="883">
      <c r="S883" s="79"/>
    </row>
    <row r="884">
      <c r="S884" s="79"/>
    </row>
    <row r="885">
      <c r="S885" s="79"/>
    </row>
    <row r="886">
      <c r="S886" s="79"/>
    </row>
    <row r="887">
      <c r="S887" s="79"/>
    </row>
    <row r="888">
      <c r="S888" s="79"/>
    </row>
    <row r="889">
      <c r="S889" s="79"/>
    </row>
    <row r="890">
      <c r="S890" s="79"/>
    </row>
    <row r="891">
      <c r="S891" s="79"/>
    </row>
    <row r="892">
      <c r="S892" s="79"/>
    </row>
    <row r="893">
      <c r="S893" s="79"/>
    </row>
    <row r="894">
      <c r="S894" s="79"/>
    </row>
    <row r="895">
      <c r="S895" s="79"/>
    </row>
    <row r="896">
      <c r="S896" s="79"/>
    </row>
    <row r="897">
      <c r="S897" s="79"/>
    </row>
    <row r="898">
      <c r="S898" s="79"/>
    </row>
    <row r="899">
      <c r="S899" s="79"/>
    </row>
    <row r="900">
      <c r="S900" s="79"/>
    </row>
    <row r="901">
      <c r="S901" s="79"/>
    </row>
    <row r="902">
      <c r="S902" s="79"/>
    </row>
    <row r="903">
      <c r="S903" s="79"/>
    </row>
    <row r="904">
      <c r="S904" s="79"/>
    </row>
    <row r="905">
      <c r="S905" s="79"/>
    </row>
    <row r="906">
      <c r="S906" s="79"/>
    </row>
    <row r="907">
      <c r="S907" s="79"/>
    </row>
    <row r="908">
      <c r="S908" s="79"/>
    </row>
    <row r="909">
      <c r="S909" s="79"/>
    </row>
    <row r="910">
      <c r="S910" s="79"/>
    </row>
    <row r="911">
      <c r="S911" s="79"/>
    </row>
    <row r="912">
      <c r="S912" s="79"/>
    </row>
    <row r="913">
      <c r="S913" s="79"/>
    </row>
    <row r="914">
      <c r="S914" s="79"/>
    </row>
    <row r="915">
      <c r="S915" s="79"/>
    </row>
    <row r="916">
      <c r="S916" s="79"/>
    </row>
    <row r="917">
      <c r="S917" s="79"/>
    </row>
    <row r="918">
      <c r="S918" s="79"/>
    </row>
    <row r="919">
      <c r="S919" s="79"/>
    </row>
    <row r="920">
      <c r="S920" s="79"/>
    </row>
    <row r="921">
      <c r="S921" s="79"/>
    </row>
    <row r="922">
      <c r="S922" s="79"/>
    </row>
    <row r="923">
      <c r="S923" s="79"/>
    </row>
    <row r="924">
      <c r="S924" s="79"/>
    </row>
    <row r="925">
      <c r="S925" s="79"/>
    </row>
    <row r="926">
      <c r="S926" s="79"/>
    </row>
    <row r="927">
      <c r="S927" s="79"/>
    </row>
    <row r="928">
      <c r="S928" s="79"/>
    </row>
    <row r="929">
      <c r="S929" s="79"/>
    </row>
    <row r="930">
      <c r="S930" s="79"/>
    </row>
    <row r="931">
      <c r="S931" s="79"/>
    </row>
    <row r="932">
      <c r="S932" s="79"/>
    </row>
    <row r="933">
      <c r="S933" s="79"/>
    </row>
    <row r="934">
      <c r="S934" s="79"/>
    </row>
    <row r="935">
      <c r="S935" s="79"/>
    </row>
    <row r="936">
      <c r="S936" s="79"/>
    </row>
    <row r="937">
      <c r="S937" s="79"/>
    </row>
    <row r="938">
      <c r="S938" s="79"/>
    </row>
    <row r="939">
      <c r="S939" s="79"/>
    </row>
    <row r="940">
      <c r="S940" s="79"/>
    </row>
    <row r="941">
      <c r="S941" s="79"/>
    </row>
    <row r="942">
      <c r="S942" s="79"/>
    </row>
    <row r="943">
      <c r="S943" s="79"/>
    </row>
    <row r="944">
      <c r="S944" s="79"/>
    </row>
    <row r="945">
      <c r="S945" s="79"/>
    </row>
    <row r="946">
      <c r="S946" s="79"/>
    </row>
    <row r="947">
      <c r="S947" s="79"/>
    </row>
    <row r="948">
      <c r="S948" s="79"/>
    </row>
    <row r="949">
      <c r="S949" s="79"/>
    </row>
    <row r="950">
      <c r="S950" s="79"/>
    </row>
    <row r="951">
      <c r="S951" s="79"/>
    </row>
    <row r="952">
      <c r="S952" s="79"/>
    </row>
    <row r="953">
      <c r="S953" s="79"/>
    </row>
    <row r="954">
      <c r="S954" s="79"/>
    </row>
    <row r="955">
      <c r="S955" s="79"/>
    </row>
    <row r="956">
      <c r="S956" s="79"/>
    </row>
    <row r="957">
      <c r="S957" s="79"/>
    </row>
    <row r="958">
      <c r="S958" s="79"/>
    </row>
    <row r="959">
      <c r="S959" s="79"/>
    </row>
    <row r="960">
      <c r="S960" s="79"/>
    </row>
    <row r="961">
      <c r="S961" s="79"/>
    </row>
    <row r="962">
      <c r="S962" s="79"/>
    </row>
    <row r="963">
      <c r="S963" s="79"/>
    </row>
    <row r="964">
      <c r="S964" s="79"/>
    </row>
    <row r="965">
      <c r="S965" s="79"/>
    </row>
    <row r="966">
      <c r="S966" s="79"/>
    </row>
    <row r="967">
      <c r="S967" s="79"/>
    </row>
    <row r="968">
      <c r="S968" s="79"/>
    </row>
    <row r="969">
      <c r="S969" s="79"/>
    </row>
    <row r="970">
      <c r="S970" s="79"/>
    </row>
    <row r="971">
      <c r="S971" s="79"/>
    </row>
    <row r="972">
      <c r="S972" s="79"/>
    </row>
    <row r="973">
      <c r="S973" s="79"/>
    </row>
    <row r="974">
      <c r="S974" s="79"/>
    </row>
    <row r="975">
      <c r="S975" s="79"/>
    </row>
    <row r="976">
      <c r="S976" s="79"/>
    </row>
    <row r="977">
      <c r="S977" s="79"/>
    </row>
    <row r="978">
      <c r="S978" s="79"/>
    </row>
    <row r="979">
      <c r="S979" s="79"/>
    </row>
    <row r="980">
      <c r="S980" s="79"/>
    </row>
    <row r="981">
      <c r="S981" s="79"/>
    </row>
    <row r="982">
      <c r="S982" s="79"/>
    </row>
    <row r="983">
      <c r="S983" s="79"/>
    </row>
    <row r="984">
      <c r="S984" s="79"/>
    </row>
    <row r="985">
      <c r="S985" s="79"/>
    </row>
    <row r="986">
      <c r="S986" s="79"/>
    </row>
    <row r="987">
      <c r="S987" s="79"/>
    </row>
    <row r="988">
      <c r="S988" s="79"/>
    </row>
    <row r="989">
      <c r="S989" s="79"/>
    </row>
    <row r="990">
      <c r="S990" s="79"/>
    </row>
    <row r="991">
      <c r="S991" s="79"/>
    </row>
    <row r="992">
      <c r="S992" s="79"/>
    </row>
    <row r="993">
      <c r="S993" s="79"/>
    </row>
    <row r="994">
      <c r="S994" s="79"/>
    </row>
    <row r="995">
      <c r="S995" s="79"/>
    </row>
    <row r="996">
      <c r="S996" s="79"/>
    </row>
    <row r="997">
      <c r="S997" s="79"/>
    </row>
    <row r="998">
      <c r="S998" s="79"/>
    </row>
    <row r="999">
      <c r="S999" s="79"/>
    </row>
    <row r="1000">
      <c r="S1000" s="79"/>
    </row>
    <row r="1001">
      <c r="S1001" s="79"/>
    </row>
    <row r="1002">
      <c r="S1002" s="79"/>
    </row>
  </sheetData>
  <mergeCells count="7086">
    <mergeCell ref="D392:E392"/>
    <mergeCell ref="D393:E393"/>
    <mergeCell ref="D394:E394"/>
    <mergeCell ref="G388:H388"/>
    <mergeCell ref="G389:H389"/>
    <mergeCell ref="D390:E390"/>
    <mergeCell ref="G390:H390"/>
    <mergeCell ref="D391:E391"/>
    <mergeCell ref="G391:H391"/>
    <mergeCell ref="G392:H392"/>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G166:H166"/>
    <mergeCell ref="G167:H167"/>
    <mergeCell ref="D162:E162"/>
    <mergeCell ref="D163:E163"/>
    <mergeCell ref="D164:E164"/>
    <mergeCell ref="D165:E165"/>
    <mergeCell ref="G165:H165"/>
    <mergeCell ref="D166:E166"/>
    <mergeCell ref="D167:E167"/>
    <mergeCell ref="D168:E168"/>
    <mergeCell ref="G168:H168"/>
    <mergeCell ref="D169:E169"/>
    <mergeCell ref="G169:H169"/>
    <mergeCell ref="D170:E170"/>
    <mergeCell ref="G170:H170"/>
    <mergeCell ref="G171:H171"/>
    <mergeCell ref="D171:E171"/>
    <mergeCell ref="D172:E172"/>
    <mergeCell ref="D173:E173"/>
    <mergeCell ref="D174:E174"/>
    <mergeCell ref="D175:E175"/>
    <mergeCell ref="D176:E176"/>
    <mergeCell ref="D177:E177"/>
    <mergeCell ref="G393:H393"/>
    <mergeCell ref="G394:H394"/>
    <mergeCell ref="D357:E357"/>
    <mergeCell ref="D358:E358"/>
    <mergeCell ref="D359:E359"/>
    <mergeCell ref="G353:H353"/>
    <mergeCell ref="G354:H354"/>
    <mergeCell ref="D355:E355"/>
    <mergeCell ref="G355:H355"/>
    <mergeCell ref="D356:E356"/>
    <mergeCell ref="G356:H356"/>
    <mergeCell ref="G357:H357"/>
    <mergeCell ref="D362:E362"/>
    <mergeCell ref="D363:E363"/>
    <mergeCell ref="D364:E364"/>
    <mergeCell ref="G358:H358"/>
    <mergeCell ref="G359:H359"/>
    <mergeCell ref="D360:E360"/>
    <mergeCell ref="G360:H360"/>
    <mergeCell ref="D361:E361"/>
    <mergeCell ref="G361:H361"/>
    <mergeCell ref="G362:H362"/>
    <mergeCell ref="D367:E367"/>
    <mergeCell ref="D368:E368"/>
    <mergeCell ref="D369:E369"/>
    <mergeCell ref="G363:H363"/>
    <mergeCell ref="G364:H364"/>
    <mergeCell ref="D365:E365"/>
    <mergeCell ref="G365:H365"/>
    <mergeCell ref="D366:E366"/>
    <mergeCell ref="G366:H366"/>
    <mergeCell ref="G367:H367"/>
    <mergeCell ref="D372:E372"/>
    <mergeCell ref="D373:E373"/>
    <mergeCell ref="D374:E374"/>
    <mergeCell ref="G368:H368"/>
    <mergeCell ref="G369:H369"/>
    <mergeCell ref="D370:E370"/>
    <mergeCell ref="G370:H370"/>
    <mergeCell ref="D371:E371"/>
    <mergeCell ref="G371:H371"/>
    <mergeCell ref="G372:H372"/>
    <mergeCell ref="D377:E377"/>
    <mergeCell ref="D378:E378"/>
    <mergeCell ref="D379:E379"/>
    <mergeCell ref="G373:H373"/>
    <mergeCell ref="G374:H374"/>
    <mergeCell ref="D375:E375"/>
    <mergeCell ref="G375:H375"/>
    <mergeCell ref="D376:E376"/>
    <mergeCell ref="G376:H376"/>
    <mergeCell ref="G377:H377"/>
    <mergeCell ref="D382:E382"/>
    <mergeCell ref="D383:E383"/>
    <mergeCell ref="D384:E384"/>
    <mergeCell ref="G378:H378"/>
    <mergeCell ref="G379:H379"/>
    <mergeCell ref="D380:E380"/>
    <mergeCell ref="G380:H380"/>
    <mergeCell ref="D381:E381"/>
    <mergeCell ref="G381:H381"/>
    <mergeCell ref="G382:H382"/>
    <mergeCell ref="D387:E387"/>
    <mergeCell ref="D388:E388"/>
    <mergeCell ref="D389:E389"/>
    <mergeCell ref="G383:H383"/>
    <mergeCell ref="G384:H384"/>
    <mergeCell ref="D385:E385"/>
    <mergeCell ref="G385:H385"/>
    <mergeCell ref="D386:E386"/>
    <mergeCell ref="G386:H386"/>
    <mergeCell ref="G387:H387"/>
    <mergeCell ref="D1:E1"/>
    <mergeCell ref="D2:E2"/>
    <mergeCell ref="A3:B3"/>
    <mergeCell ref="D3:E3"/>
    <mergeCell ref="G3:H3"/>
    <mergeCell ref="D4:E4"/>
    <mergeCell ref="G4:H4"/>
    <mergeCell ref="A4:B4"/>
    <mergeCell ref="A5:B5"/>
    <mergeCell ref="D5:E5"/>
    <mergeCell ref="G5:H5"/>
    <mergeCell ref="A6:B6"/>
    <mergeCell ref="G6:H6"/>
    <mergeCell ref="G7:H7"/>
    <mergeCell ref="A9:B9"/>
    <mergeCell ref="D9:E9"/>
    <mergeCell ref="G9:H9"/>
    <mergeCell ref="A10:B10"/>
    <mergeCell ref="D10:E10"/>
    <mergeCell ref="A11:B11"/>
    <mergeCell ref="G12:H12"/>
    <mergeCell ref="D11:E11"/>
    <mergeCell ref="D12:E12"/>
    <mergeCell ref="D13:E13"/>
    <mergeCell ref="D14:E14"/>
    <mergeCell ref="D15:E15"/>
    <mergeCell ref="D16:E16"/>
    <mergeCell ref="D17:E17"/>
    <mergeCell ref="G10:H10"/>
    <mergeCell ref="G11:H11"/>
    <mergeCell ref="G13:H13"/>
    <mergeCell ref="G14:H14"/>
    <mergeCell ref="G15:H15"/>
    <mergeCell ref="G16:H16"/>
    <mergeCell ref="G17:H17"/>
    <mergeCell ref="D18:E18"/>
    <mergeCell ref="D19:E19"/>
    <mergeCell ref="D20:E20"/>
    <mergeCell ref="D21:E21"/>
    <mergeCell ref="D22:E22"/>
    <mergeCell ref="D23:E23"/>
    <mergeCell ref="D24:E24"/>
    <mergeCell ref="G35:H35"/>
    <mergeCell ref="G36:H36"/>
    <mergeCell ref="G30:H30"/>
    <mergeCell ref="G31:H31"/>
    <mergeCell ref="D32:E32"/>
    <mergeCell ref="G32:H32"/>
    <mergeCell ref="D33:E33"/>
    <mergeCell ref="G33:H33"/>
    <mergeCell ref="G34:H34"/>
    <mergeCell ref="G38:H38"/>
    <mergeCell ref="G39:H39"/>
    <mergeCell ref="D34:E34"/>
    <mergeCell ref="D35:E35"/>
    <mergeCell ref="D36:E36"/>
    <mergeCell ref="D37:E37"/>
    <mergeCell ref="G37:H37"/>
    <mergeCell ref="D38:E38"/>
    <mergeCell ref="D39:E39"/>
    <mergeCell ref="D40:E40"/>
    <mergeCell ref="G40:H40"/>
    <mergeCell ref="D41:E41"/>
    <mergeCell ref="G41:H41"/>
    <mergeCell ref="D42:E42"/>
    <mergeCell ref="G42:H42"/>
    <mergeCell ref="G43:H43"/>
    <mergeCell ref="D43:E43"/>
    <mergeCell ref="D44:E44"/>
    <mergeCell ref="D45:E45"/>
    <mergeCell ref="D46:E46"/>
    <mergeCell ref="D47:E47"/>
    <mergeCell ref="D48:E48"/>
    <mergeCell ref="D49:E49"/>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G179:H179"/>
    <mergeCell ref="G180:H180"/>
    <mergeCell ref="G172:H172"/>
    <mergeCell ref="G173:H173"/>
    <mergeCell ref="G174:H174"/>
    <mergeCell ref="G175:H175"/>
    <mergeCell ref="G176:H176"/>
    <mergeCell ref="G177:H177"/>
    <mergeCell ref="G178:H178"/>
    <mergeCell ref="G182:H182"/>
    <mergeCell ref="G183:H183"/>
    <mergeCell ref="D178:E178"/>
    <mergeCell ref="D179:E179"/>
    <mergeCell ref="D180:E180"/>
    <mergeCell ref="D181:E181"/>
    <mergeCell ref="G181:H181"/>
    <mergeCell ref="D182:E182"/>
    <mergeCell ref="D183:E183"/>
    <mergeCell ref="D187:E187"/>
    <mergeCell ref="D188:E188"/>
    <mergeCell ref="D189:E189"/>
    <mergeCell ref="D184:E184"/>
    <mergeCell ref="G184:H184"/>
    <mergeCell ref="D185:E185"/>
    <mergeCell ref="G185:H185"/>
    <mergeCell ref="D186:E186"/>
    <mergeCell ref="G186:H186"/>
    <mergeCell ref="G187:H187"/>
    <mergeCell ref="D192:E192"/>
    <mergeCell ref="D193:E193"/>
    <mergeCell ref="D194:E194"/>
    <mergeCell ref="G188:H188"/>
    <mergeCell ref="G189:H189"/>
    <mergeCell ref="D190:E190"/>
    <mergeCell ref="G190:H190"/>
    <mergeCell ref="D191:E191"/>
    <mergeCell ref="G191:H191"/>
    <mergeCell ref="G192:H192"/>
    <mergeCell ref="D197:E197"/>
    <mergeCell ref="D198:E198"/>
    <mergeCell ref="D199:E199"/>
    <mergeCell ref="G193:H193"/>
    <mergeCell ref="G194:H194"/>
    <mergeCell ref="D195:E195"/>
    <mergeCell ref="G195:H195"/>
    <mergeCell ref="D196:E196"/>
    <mergeCell ref="G196:H196"/>
    <mergeCell ref="G197:H197"/>
    <mergeCell ref="D202:E202"/>
    <mergeCell ref="D203:E203"/>
    <mergeCell ref="D204:E204"/>
    <mergeCell ref="G198:H198"/>
    <mergeCell ref="G199:H199"/>
    <mergeCell ref="D200:E200"/>
    <mergeCell ref="G200:H200"/>
    <mergeCell ref="D201:E201"/>
    <mergeCell ref="G201:H201"/>
    <mergeCell ref="G202:H202"/>
    <mergeCell ref="D207:E207"/>
    <mergeCell ref="D208:E208"/>
    <mergeCell ref="D209:E209"/>
    <mergeCell ref="G203:H203"/>
    <mergeCell ref="G204:H204"/>
    <mergeCell ref="D205:E205"/>
    <mergeCell ref="G205:H205"/>
    <mergeCell ref="D206:E206"/>
    <mergeCell ref="G206:H206"/>
    <mergeCell ref="G207:H207"/>
    <mergeCell ref="D212:E212"/>
    <mergeCell ref="D213:E213"/>
    <mergeCell ref="D214:E214"/>
    <mergeCell ref="G208:H208"/>
    <mergeCell ref="G209:H209"/>
    <mergeCell ref="D210:E210"/>
    <mergeCell ref="G210:H210"/>
    <mergeCell ref="D211:E211"/>
    <mergeCell ref="G211:H211"/>
    <mergeCell ref="G212:H212"/>
    <mergeCell ref="D217:E217"/>
    <mergeCell ref="D218:E218"/>
    <mergeCell ref="D219:E219"/>
    <mergeCell ref="G213:H213"/>
    <mergeCell ref="G214:H214"/>
    <mergeCell ref="D215:E215"/>
    <mergeCell ref="G215:H215"/>
    <mergeCell ref="D216:E216"/>
    <mergeCell ref="G216:H216"/>
    <mergeCell ref="G217:H217"/>
    <mergeCell ref="D222:E222"/>
    <mergeCell ref="D223:E223"/>
    <mergeCell ref="D224:E224"/>
    <mergeCell ref="G218:H218"/>
    <mergeCell ref="G219:H219"/>
    <mergeCell ref="D220:E220"/>
    <mergeCell ref="G220:H220"/>
    <mergeCell ref="D221:E221"/>
    <mergeCell ref="G221:H221"/>
    <mergeCell ref="G222:H222"/>
    <mergeCell ref="D227:E227"/>
    <mergeCell ref="D228:E228"/>
    <mergeCell ref="D229:E229"/>
    <mergeCell ref="G223:H223"/>
    <mergeCell ref="G224:H224"/>
    <mergeCell ref="D225:E225"/>
    <mergeCell ref="G225:H225"/>
    <mergeCell ref="D226:E226"/>
    <mergeCell ref="G226:H226"/>
    <mergeCell ref="G227:H227"/>
    <mergeCell ref="D232:E232"/>
    <mergeCell ref="D233:E233"/>
    <mergeCell ref="D234:E234"/>
    <mergeCell ref="G228:H228"/>
    <mergeCell ref="G229:H229"/>
    <mergeCell ref="D230:E230"/>
    <mergeCell ref="G230:H230"/>
    <mergeCell ref="D231:E231"/>
    <mergeCell ref="G231:H231"/>
    <mergeCell ref="G232:H232"/>
    <mergeCell ref="D237:E237"/>
    <mergeCell ref="D238:E238"/>
    <mergeCell ref="D239:E239"/>
    <mergeCell ref="G233:H233"/>
    <mergeCell ref="G234:H234"/>
    <mergeCell ref="D235:E235"/>
    <mergeCell ref="G235:H235"/>
    <mergeCell ref="D236:E236"/>
    <mergeCell ref="G236:H236"/>
    <mergeCell ref="G237:H237"/>
    <mergeCell ref="D242:E242"/>
    <mergeCell ref="D243:E243"/>
    <mergeCell ref="D244:E244"/>
    <mergeCell ref="G238:H238"/>
    <mergeCell ref="G239:H239"/>
    <mergeCell ref="D240:E240"/>
    <mergeCell ref="G240:H240"/>
    <mergeCell ref="D241:E241"/>
    <mergeCell ref="G241:H241"/>
    <mergeCell ref="G242:H242"/>
    <mergeCell ref="D247:E247"/>
    <mergeCell ref="D248:E248"/>
    <mergeCell ref="D249:E249"/>
    <mergeCell ref="G243:H243"/>
    <mergeCell ref="G244:H244"/>
    <mergeCell ref="D245:E245"/>
    <mergeCell ref="G245:H245"/>
    <mergeCell ref="D246:E246"/>
    <mergeCell ref="G246:H246"/>
    <mergeCell ref="G247:H247"/>
    <mergeCell ref="D252:E252"/>
    <mergeCell ref="D253:E253"/>
    <mergeCell ref="D254:E254"/>
    <mergeCell ref="G248:H248"/>
    <mergeCell ref="G249:H249"/>
    <mergeCell ref="D250:E250"/>
    <mergeCell ref="G250:H250"/>
    <mergeCell ref="D251:E251"/>
    <mergeCell ref="G251:H251"/>
    <mergeCell ref="G252:H252"/>
    <mergeCell ref="D257:E257"/>
    <mergeCell ref="D258:E258"/>
    <mergeCell ref="D259:E259"/>
    <mergeCell ref="G253:H253"/>
    <mergeCell ref="G254:H254"/>
    <mergeCell ref="D255:E255"/>
    <mergeCell ref="G255:H255"/>
    <mergeCell ref="D256:E256"/>
    <mergeCell ref="G256:H256"/>
    <mergeCell ref="G257:H257"/>
    <mergeCell ref="D262:E262"/>
    <mergeCell ref="D263:E263"/>
    <mergeCell ref="D264:E264"/>
    <mergeCell ref="G258:H258"/>
    <mergeCell ref="G259:H259"/>
    <mergeCell ref="D260:E260"/>
    <mergeCell ref="G260:H260"/>
    <mergeCell ref="D261:E261"/>
    <mergeCell ref="G261:H261"/>
    <mergeCell ref="G262:H262"/>
    <mergeCell ref="D267:E267"/>
    <mergeCell ref="D268:E268"/>
    <mergeCell ref="D269:E269"/>
    <mergeCell ref="G263:H263"/>
    <mergeCell ref="G264:H264"/>
    <mergeCell ref="D265:E265"/>
    <mergeCell ref="G265:H265"/>
    <mergeCell ref="D266:E266"/>
    <mergeCell ref="G266:H266"/>
    <mergeCell ref="G267:H267"/>
    <mergeCell ref="D272:E272"/>
    <mergeCell ref="D273:E273"/>
    <mergeCell ref="D274:E274"/>
    <mergeCell ref="G268:H268"/>
    <mergeCell ref="G269:H269"/>
    <mergeCell ref="D270:E270"/>
    <mergeCell ref="G270:H270"/>
    <mergeCell ref="D271:E271"/>
    <mergeCell ref="G271:H271"/>
    <mergeCell ref="G272:H272"/>
    <mergeCell ref="D277:E277"/>
    <mergeCell ref="D278:E278"/>
    <mergeCell ref="D279:E279"/>
    <mergeCell ref="G273:H273"/>
    <mergeCell ref="G274:H274"/>
    <mergeCell ref="D275:E275"/>
    <mergeCell ref="G275:H275"/>
    <mergeCell ref="D276:E276"/>
    <mergeCell ref="G276:H276"/>
    <mergeCell ref="G277:H277"/>
    <mergeCell ref="D282:E282"/>
    <mergeCell ref="D283:E283"/>
    <mergeCell ref="D284:E284"/>
    <mergeCell ref="G278:H278"/>
    <mergeCell ref="G279:H279"/>
    <mergeCell ref="D280:E280"/>
    <mergeCell ref="G280:H280"/>
    <mergeCell ref="D281:E281"/>
    <mergeCell ref="G281:H281"/>
    <mergeCell ref="G282:H282"/>
    <mergeCell ref="D287:E287"/>
    <mergeCell ref="D288:E288"/>
    <mergeCell ref="D289:E289"/>
    <mergeCell ref="G283:H283"/>
    <mergeCell ref="G284:H284"/>
    <mergeCell ref="D285:E285"/>
    <mergeCell ref="G285:H285"/>
    <mergeCell ref="D286:E286"/>
    <mergeCell ref="G286:H286"/>
    <mergeCell ref="G287:H287"/>
    <mergeCell ref="D292:E292"/>
    <mergeCell ref="D293:E293"/>
    <mergeCell ref="D294:E294"/>
    <mergeCell ref="G288:H288"/>
    <mergeCell ref="G289:H289"/>
    <mergeCell ref="D290:E290"/>
    <mergeCell ref="G290:H290"/>
    <mergeCell ref="D291:E291"/>
    <mergeCell ref="G291:H291"/>
    <mergeCell ref="G292:H292"/>
    <mergeCell ref="D297:E297"/>
    <mergeCell ref="D298:E298"/>
    <mergeCell ref="D299:E299"/>
    <mergeCell ref="G293:H293"/>
    <mergeCell ref="G294:H294"/>
    <mergeCell ref="D295:E295"/>
    <mergeCell ref="G295:H295"/>
    <mergeCell ref="D296:E296"/>
    <mergeCell ref="G296:H296"/>
    <mergeCell ref="G297:H297"/>
    <mergeCell ref="D302:E302"/>
    <mergeCell ref="D303:E303"/>
    <mergeCell ref="D304:E304"/>
    <mergeCell ref="G298:H298"/>
    <mergeCell ref="G299:H299"/>
    <mergeCell ref="D300:E300"/>
    <mergeCell ref="G300:H300"/>
    <mergeCell ref="D301:E301"/>
    <mergeCell ref="G301:H301"/>
    <mergeCell ref="G302:H302"/>
    <mergeCell ref="D307:E307"/>
    <mergeCell ref="D308:E308"/>
    <mergeCell ref="D309:E309"/>
    <mergeCell ref="G303:H303"/>
    <mergeCell ref="G304:H304"/>
    <mergeCell ref="D305:E305"/>
    <mergeCell ref="G305:H305"/>
    <mergeCell ref="D306:E306"/>
    <mergeCell ref="G306:H306"/>
    <mergeCell ref="G307:H307"/>
    <mergeCell ref="D312:E312"/>
    <mergeCell ref="D313:E313"/>
    <mergeCell ref="D314:E314"/>
    <mergeCell ref="G308:H308"/>
    <mergeCell ref="G309:H309"/>
    <mergeCell ref="D310:E310"/>
    <mergeCell ref="G310:H310"/>
    <mergeCell ref="D311:E311"/>
    <mergeCell ref="G311:H311"/>
    <mergeCell ref="G312:H312"/>
    <mergeCell ref="D317:E317"/>
    <mergeCell ref="D318:E318"/>
    <mergeCell ref="D319:E319"/>
    <mergeCell ref="G313:H313"/>
    <mergeCell ref="G314:H314"/>
    <mergeCell ref="D315:E315"/>
    <mergeCell ref="G315:H315"/>
    <mergeCell ref="D316:E316"/>
    <mergeCell ref="G316:H316"/>
    <mergeCell ref="G317:H317"/>
    <mergeCell ref="G472:H472"/>
    <mergeCell ref="G473:H473"/>
    <mergeCell ref="G465:H465"/>
    <mergeCell ref="G466:H466"/>
    <mergeCell ref="G467:H467"/>
    <mergeCell ref="G468:H468"/>
    <mergeCell ref="G469:H469"/>
    <mergeCell ref="G470:H470"/>
    <mergeCell ref="G471:H471"/>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91:H491"/>
    <mergeCell ref="G492:H492"/>
    <mergeCell ref="D487:E487"/>
    <mergeCell ref="D488:E488"/>
    <mergeCell ref="D489:E489"/>
    <mergeCell ref="D490:E490"/>
    <mergeCell ref="G490:H490"/>
    <mergeCell ref="D491:E491"/>
    <mergeCell ref="D492:E492"/>
    <mergeCell ref="D496:E496"/>
    <mergeCell ref="D497:E497"/>
    <mergeCell ref="D498:E498"/>
    <mergeCell ref="D493:E493"/>
    <mergeCell ref="G493:H493"/>
    <mergeCell ref="D494:E494"/>
    <mergeCell ref="G494:H494"/>
    <mergeCell ref="D495:E495"/>
    <mergeCell ref="G495:H495"/>
    <mergeCell ref="G496:H496"/>
    <mergeCell ref="D501:E501"/>
    <mergeCell ref="D502:E502"/>
    <mergeCell ref="D503:E503"/>
    <mergeCell ref="G497:H497"/>
    <mergeCell ref="G498:H498"/>
    <mergeCell ref="D499:E499"/>
    <mergeCell ref="G499:H499"/>
    <mergeCell ref="D500:E500"/>
    <mergeCell ref="G500:H500"/>
    <mergeCell ref="G501:H501"/>
    <mergeCell ref="D506:E506"/>
    <mergeCell ref="D507:E507"/>
    <mergeCell ref="D508:E508"/>
    <mergeCell ref="G502:H502"/>
    <mergeCell ref="G503:H503"/>
    <mergeCell ref="D504:E504"/>
    <mergeCell ref="G504:H504"/>
    <mergeCell ref="D505:E505"/>
    <mergeCell ref="G505:H505"/>
    <mergeCell ref="G506:H506"/>
    <mergeCell ref="D511:E511"/>
    <mergeCell ref="D512:E512"/>
    <mergeCell ref="D513:E513"/>
    <mergeCell ref="G507:H507"/>
    <mergeCell ref="G508:H508"/>
    <mergeCell ref="D509:E509"/>
    <mergeCell ref="G509:H509"/>
    <mergeCell ref="D510:E510"/>
    <mergeCell ref="G510:H510"/>
    <mergeCell ref="G511:H511"/>
    <mergeCell ref="D516:E516"/>
    <mergeCell ref="D517:E517"/>
    <mergeCell ref="D518:E518"/>
    <mergeCell ref="G512:H512"/>
    <mergeCell ref="G513:H513"/>
    <mergeCell ref="D514:E514"/>
    <mergeCell ref="G514:H514"/>
    <mergeCell ref="D515:E515"/>
    <mergeCell ref="G515:H515"/>
    <mergeCell ref="G516:H516"/>
    <mergeCell ref="D521:E521"/>
    <mergeCell ref="D522:E522"/>
    <mergeCell ref="D523:E523"/>
    <mergeCell ref="G517:H517"/>
    <mergeCell ref="G518:H518"/>
    <mergeCell ref="D519:E519"/>
    <mergeCell ref="G519:H519"/>
    <mergeCell ref="D520:E520"/>
    <mergeCell ref="G520:H520"/>
    <mergeCell ref="G521:H521"/>
    <mergeCell ref="D806:E806"/>
    <mergeCell ref="D807:E807"/>
    <mergeCell ref="D808:E808"/>
    <mergeCell ref="G802:H802"/>
    <mergeCell ref="G803:H803"/>
    <mergeCell ref="D804:E804"/>
    <mergeCell ref="G804:H804"/>
    <mergeCell ref="D805:E805"/>
    <mergeCell ref="G805:H805"/>
    <mergeCell ref="G806:H80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G475:H475"/>
    <mergeCell ref="G476:H476"/>
    <mergeCell ref="D471:E471"/>
    <mergeCell ref="D472:E472"/>
    <mergeCell ref="D473:E473"/>
    <mergeCell ref="D474:E474"/>
    <mergeCell ref="G474:H474"/>
    <mergeCell ref="D475:E475"/>
    <mergeCell ref="D476:E476"/>
    <mergeCell ref="D477:E477"/>
    <mergeCell ref="G477:H477"/>
    <mergeCell ref="D478:E478"/>
    <mergeCell ref="G478:H478"/>
    <mergeCell ref="D479:E479"/>
    <mergeCell ref="G479:H479"/>
    <mergeCell ref="G480:H480"/>
    <mergeCell ref="D480:E480"/>
    <mergeCell ref="D481:E481"/>
    <mergeCell ref="D482:E482"/>
    <mergeCell ref="D483:E483"/>
    <mergeCell ref="D484:E484"/>
    <mergeCell ref="D485:E485"/>
    <mergeCell ref="D486:E486"/>
    <mergeCell ref="G807:H807"/>
    <mergeCell ref="G808:H808"/>
    <mergeCell ref="D771:E771"/>
    <mergeCell ref="D772:E772"/>
    <mergeCell ref="D773:E773"/>
    <mergeCell ref="G767:H767"/>
    <mergeCell ref="G768:H768"/>
    <mergeCell ref="D769:E769"/>
    <mergeCell ref="G769:H769"/>
    <mergeCell ref="D770:E770"/>
    <mergeCell ref="G770:H770"/>
    <mergeCell ref="G771:H771"/>
    <mergeCell ref="D776:E776"/>
    <mergeCell ref="D777:E777"/>
    <mergeCell ref="D778:E778"/>
    <mergeCell ref="G772:H772"/>
    <mergeCell ref="G773:H773"/>
    <mergeCell ref="D774:E774"/>
    <mergeCell ref="G774:H774"/>
    <mergeCell ref="D775:E775"/>
    <mergeCell ref="G775:H775"/>
    <mergeCell ref="G776:H776"/>
    <mergeCell ref="D781:E781"/>
    <mergeCell ref="D782:E782"/>
    <mergeCell ref="D783:E783"/>
    <mergeCell ref="G777:H777"/>
    <mergeCell ref="G778:H778"/>
    <mergeCell ref="D779:E779"/>
    <mergeCell ref="G779:H779"/>
    <mergeCell ref="D780:E780"/>
    <mergeCell ref="G780:H780"/>
    <mergeCell ref="G781:H781"/>
    <mergeCell ref="D786:E786"/>
    <mergeCell ref="D787:E787"/>
    <mergeCell ref="D788:E788"/>
    <mergeCell ref="G782:H782"/>
    <mergeCell ref="G783:H783"/>
    <mergeCell ref="D784:E784"/>
    <mergeCell ref="G784:H784"/>
    <mergeCell ref="D785:E785"/>
    <mergeCell ref="G785:H785"/>
    <mergeCell ref="G786:H786"/>
    <mergeCell ref="D791:E791"/>
    <mergeCell ref="D792:E792"/>
    <mergeCell ref="D793:E793"/>
    <mergeCell ref="G787:H787"/>
    <mergeCell ref="G788:H788"/>
    <mergeCell ref="D789:E789"/>
    <mergeCell ref="G789:H789"/>
    <mergeCell ref="D790:E790"/>
    <mergeCell ref="G790:H790"/>
    <mergeCell ref="G791:H791"/>
    <mergeCell ref="D796:E796"/>
    <mergeCell ref="D797:E797"/>
    <mergeCell ref="D798:E798"/>
    <mergeCell ref="G792:H792"/>
    <mergeCell ref="G793:H793"/>
    <mergeCell ref="D794:E794"/>
    <mergeCell ref="G794:H794"/>
    <mergeCell ref="D795:E795"/>
    <mergeCell ref="G795:H795"/>
    <mergeCell ref="G796:H796"/>
    <mergeCell ref="D801:E801"/>
    <mergeCell ref="D802:E802"/>
    <mergeCell ref="D803:E803"/>
    <mergeCell ref="G797:H797"/>
    <mergeCell ref="G798:H798"/>
    <mergeCell ref="D799:E799"/>
    <mergeCell ref="G799:H799"/>
    <mergeCell ref="D800:E800"/>
    <mergeCell ref="G800:H800"/>
    <mergeCell ref="G801:H801"/>
    <mergeCell ref="D526:E526"/>
    <mergeCell ref="D527:E527"/>
    <mergeCell ref="D528:E528"/>
    <mergeCell ref="G522:H522"/>
    <mergeCell ref="G523:H523"/>
    <mergeCell ref="D524:E524"/>
    <mergeCell ref="G524:H524"/>
    <mergeCell ref="D525:E525"/>
    <mergeCell ref="G525:H525"/>
    <mergeCell ref="G526:H526"/>
    <mergeCell ref="D531:E531"/>
    <mergeCell ref="D532:E532"/>
    <mergeCell ref="D533:E533"/>
    <mergeCell ref="G527:H527"/>
    <mergeCell ref="G528:H528"/>
    <mergeCell ref="D529:E529"/>
    <mergeCell ref="G529:H529"/>
    <mergeCell ref="D530:E530"/>
    <mergeCell ref="G530:H530"/>
    <mergeCell ref="G531:H531"/>
    <mergeCell ref="D536:E536"/>
    <mergeCell ref="D537:E537"/>
    <mergeCell ref="D538:E538"/>
    <mergeCell ref="G532:H532"/>
    <mergeCell ref="G533:H533"/>
    <mergeCell ref="D534:E534"/>
    <mergeCell ref="G534:H534"/>
    <mergeCell ref="D535:E535"/>
    <mergeCell ref="G535:H535"/>
    <mergeCell ref="G536:H536"/>
    <mergeCell ref="D541:E541"/>
    <mergeCell ref="D542:E542"/>
    <mergeCell ref="D543:E543"/>
    <mergeCell ref="G537:H537"/>
    <mergeCell ref="G538:H538"/>
    <mergeCell ref="D539:E539"/>
    <mergeCell ref="G539:H539"/>
    <mergeCell ref="D540:E540"/>
    <mergeCell ref="G540:H540"/>
    <mergeCell ref="G541:H541"/>
    <mergeCell ref="D546:E546"/>
    <mergeCell ref="D547:E547"/>
    <mergeCell ref="D548:E548"/>
    <mergeCell ref="G542:H542"/>
    <mergeCell ref="G543:H543"/>
    <mergeCell ref="D544:E544"/>
    <mergeCell ref="G544:H544"/>
    <mergeCell ref="D545:E545"/>
    <mergeCell ref="G545:H545"/>
    <mergeCell ref="G546:H546"/>
    <mergeCell ref="D551:E551"/>
    <mergeCell ref="D552:E552"/>
    <mergeCell ref="D553:E553"/>
    <mergeCell ref="G547:H547"/>
    <mergeCell ref="G548:H548"/>
    <mergeCell ref="D549:E549"/>
    <mergeCell ref="G549:H549"/>
    <mergeCell ref="D550:E550"/>
    <mergeCell ref="G550:H550"/>
    <mergeCell ref="G551:H551"/>
    <mergeCell ref="D556:E556"/>
    <mergeCell ref="D557:E557"/>
    <mergeCell ref="D558:E558"/>
    <mergeCell ref="G552:H552"/>
    <mergeCell ref="G553:H553"/>
    <mergeCell ref="D554:E554"/>
    <mergeCell ref="G554:H554"/>
    <mergeCell ref="D555:E555"/>
    <mergeCell ref="G555:H555"/>
    <mergeCell ref="G556:H556"/>
    <mergeCell ref="D561:E561"/>
    <mergeCell ref="D562:E562"/>
    <mergeCell ref="D563:E563"/>
    <mergeCell ref="G557:H557"/>
    <mergeCell ref="G558:H558"/>
    <mergeCell ref="D559:E559"/>
    <mergeCell ref="G559:H559"/>
    <mergeCell ref="D560:E560"/>
    <mergeCell ref="G560:H560"/>
    <mergeCell ref="G561:H561"/>
    <mergeCell ref="D566:E566"/>
    <mergeCell ref="D567:E567"/>
    <mergeCell ref="D568:E568"/>
    <mergeCell ref="G562:H562"/>
    <mergeCell ref="G563:H563"/>
    <mergeCell ref="D564:E564"/>
    <mergeCell ref="G564:H564"/>
    <mergeCell ref="D565:E565"/>
    <mergeCell ref="G565:H565"/>
    <mergeCell ref="G566:H566"/>
    <mergeCell ref="D571:E571"/>
    <mergeCell ref="D572:E572"/>
    <mergeCell ref="D573:E573"/>
    <mergeCell ref="G567:H567"/>
    <mergeCell ref="G568:H568"/>
    <mergeCell ref="D569:E569"/>
    <mergeCell ref="G569:H569"/>
    <mergeCell ref="D570:E570"/>
    <mergeCell ref="G570:H570"/>
    <mergeCell ref="G571:H571"/>
    <mergeCell ref="D576:E576"/>
    <mergeCell ref="D577:E577"/>
    <mergeCell ref="D578:E578"/>
    <mergeCell ref="G572:H572"/>
    <mergeCell ref="G573:H573"/>
    <mergeCell ref="D574:E574"/>
    <mergeCell ref="G574:H574"/>
    <mergeCell ref="D575:E575"/>
    <mergeCell ref="G575:H575"/>
    <mergeCell ref="G576:H576"/>
    <mergeCell ref="D581:E581"/>
    <mergeCell ref="D582:E582"/>
    <mergeCell ref="D583:E583"/>
    <mergeCell ref="G577:H577"/>
    <mergeCell ref="G578:H578"/>
    <mergeCell ref="D579:E579"/>
    <mergeCell ref="G579:H579"/>
    <mergeCell ref="D580:E580"/>
    <mergeCell ref="G580:H580"/>
    <mergeCell ref="G581:H581"/>
    <mergeCell ref="D586:E586"/>
    <mergeCell ref="D587:E587"/>
    <mergeCell ref="D588:E588"/>
    <mergeCell ref="G582:H582"/>
    <mergeCell ref="G583:H583"/>
    <mergeCell ref="D584:E584"/>
    <mergeCell ref="G584:H584"/>
    <mergeCell ref="D585:E585"/>
    <mergeCell ref="G585:H585"/>
    <mergeCell ref="G586:H586"/>
    <mergeCell ref="D591:E591"/>
    <mergeCell ref="D592:E592"/>
    <mergeCell ref="D593:E593"/>
    <mergeCell ref="G587:H587"/>
    <mergeCell ref="G588:H588"/>
    <mergeCell ref="D589:E589"/>
    <mergeCell ref="G589:H589"/>
    <mergeCell ref="D590:E590"/>
    <mergeCell ref="G590:H590"/>
    <mergeCell ref="G591:H591"/>
    <mergeCell ref="D596:E596"/>
    <mergeCell ref="D597:E597"/>
    <mergeCell ref="D598:E598"/>
    <mergeCell ref="G592:H592"/>
    <mergeCell ref="G593:H593"/>
    <mergeCell ref="D594:E594"/>
    <mergeCell ref="G594:H594"/>
    <mergeCell ref="D595:E595"/>
    <mergeCell ref="G595:H595"/>
    <mergeCell ref="G596:H596"/>
    <mergeCell ref="D601:E601"/>
    <mergeCell ref="D602:E602"/>
    <mergeCell ref="D603:E603"/>
    <mergeCell ref="G597:H597"/>
    <mergeCell ref="G598:H598"/>
    <mergeCell ref="D599:E599"/>
    <mergeCell ref="G599:H599"/>
    <mergeCell ref="D600:E600"/>
    <mergeCell ref="G600:H600"/>
    <mergeCell ref="G601:H601"/>
    <mergeCell ref="D606:E606"/>
    <mergeCell ref="D607:E607"/>
    <mergeCell ref="D608:E608"/>
    <mergeCell ref="G602:H602"/>
    <mergeCell ref="G603:H603"/>
    <mergeCell ref="D604:E604"/>
    <mergeCell ref="G604:H604"/>
    <mergeCell ref="D605:E605"/>
    <mergeCell ref="G605:H605"/>
    <mergeCell ref="G606:H606"/>
    <mergeCell ref="D611:E611"/>
    <mergeCell ref="D612:E612"/>
    <mergeCell ref="D613:E613"/>
    <mergeCell ref="G607:H607"/>
    <mergeCell ref="G608:H608"/>
    <mergeCell ref="D609:E609"/>
    <mergeCell ref="G609:H609"/>
    <mergeCell ref="D610:E610"/>
    <mergeCell ref="G610:H610"/>
    <mergeCell ref="G611:H611"/>
    <mergeCell ref="D616:E616"/>
    <mergeCell ref="D617:E617"/>
    <mergeCell ref="D618:E618"/>
    <mergeCell ref="G612:H612"/>
    <mergeCell ref="G613:H613"/>
    <mergeCell ref="D614:E614"/>
    <mergeCell ref="G614:H614"/>
    <mergeCell ref="D615:E615"/>
    <mergeCell ref="G615:H615"/>
    <mergeCell ref="G616:H616"/>
    <mergeCell ref="D621:E621"/>
    <mergeCell ref="D622:E622"/>
    <mergeCell ref="D623:E623"/>
    <mergeCell ref="G617:H617"/>
    <mergeCell ref="G618:H618"/>
    <mergeCell ref="D619:E619"/>
    <mergeCell ref="G619:H619"/>
    <mergeCell ref="D620:E620"/>
    <mergeCell ref="G620:H620"/>
    <mergeCell ref="G621:H621"/>
    <mergeCell ref="D626:E626"/>
    <mergeCell ref="D627:E627"/>
    <mergeCell ref="D628:E628"/>
    <mergeCell ref="G622:H622"/>
    <mergeCell ref="G623:H623"/>
    <mergeCell ref="D624:E624"/>
    <mergeCell ref="G624:H624"/>
    <mergeCell ref="D625:E625"/>
    <mergeCell ref="G625:H625"/>
    <mergeCell ref="G626:H626"/>
    <mergeCell ref="D631:E631"/>
    <mergeCell ref="D632:E632"/>
    <mergeCell ref="D633:E633"/>
    <mergeCell ref="G627:H627"/>
    <mergeCell ref="G628:H628"/>
    <mergeCell ref="D629:E629"/>
    <mergeCell ref="G629:H629"/>
    <mergeCell ref="D630:E630"/>
    <mergeCell ref="G630:H630"/>
    <mergeCell ref="G631:H631"/>
    <mergeCell ref="D636:E636"/>
    <mergeCell ref="D637:E637"/>
    <mergeCell ref="D638:E638"/>
    <mergeCell ref="G632:H632"/>
    <mergeCell ref="G633:H633"/>
    <mergeCell ref="D634:E634"/>
    <mergeCell ref="G634:H634"/>
    <mergeCell ref="D635:E635"/>
    <mergeCell ref="G635:H635"/>
    <mergeCell ref="G636:H636"/>
    <mergeCell ref="D641:E641"/>
    <mergeCell ref="D642:E642"/>
    <mergeCell ref="D643:E643"/>
    <mergeCell ref="G637:H637"/>
    <mergeCell ref="G638:H638"/>
    <mergeCell ref="D639:E639"/>
    <mergeCell ref="G639:H639"/>
    <mergeCell ref="D640:E640"/>
    <mergeCell ref="G640:H640"/>
    <mergeCell ref="G641:H641"/>
    <mergeCell ref="D646:E646"/>
    <mergeCell ref="D647:E647"/>
    <mergeCell ref="D648:E648"/>
    <mergeCell ref="G642:H642"/>
    <mergeCell ref="G643:H643"/>
    <mergeCell ref="D644:E644"/>
    <mergeCell ref="G644:H644"/>
    <mergeCell ref="D645:E645"/>
    <mergeCell ref="G645:H645"/>
    <mergeCell ref="G646:H646"/>
    <mergeCell ref="D651:E651"/>
    <mergeCell ref="D652:E652"/>
    <mergeCell ref="D653:E653"/>
    <mergeCell ref="G647:H647"/>
    <mergeCell ref="G648:H648"/>
    <mergeCell ref="D649:E649"/>
    <mergeCell ref="G649:H649"/>
    <mergeCell ref="D650:E650"/>
    <mergeCell ref="G650:H650"/>
    <mergeCell ref="G651:H651"/>
    <mergeCell ref="D656:E656"/>
    <mergeCell ref="D657:E657"/>
    <mergeCell ref="D658:E658"/>
    <mergeCell ref="G652:H652"/>
    <mergeCell ref="G653:H653"/>
    <mergeCell ref="D654:E654"/>
    <mergeCell ref="G654:H654"/>
    <mergeCell ref="D655:E655"/>
    <mergeCell ref="G655:H655"/>
    <mergeCell ref="G656:H656"/>
    <mergeCell ref="D661:E661"/>
    <mergeCell ref="D662:E662"/>
    <mergeCell ref="D663:E663"/>
    <mergeCell ref="G657:H657"/>
    <mergeCell ref="G658:H658"/>
    <mergeCell ref="D659:E659"/>
    <mergeCell ref="G659:H659"/>
    <mergeCell ref="D660:E660"/>
    <mergeCell ref="G660:H660"/>
    <mergeCell ref="G661:H661"/>
    <mergeCell ref="D666:E666"/>
    <mergeCell ref="D667:E667"/>
    <mergeCell ref="D668:E668"/>
    <mergeCell ref="G662:H662"/>
    <mergeCell ref="G663:H663"/>
    <mergeCell ref="D664:E664"/>
    <mergeCell ref="G664:H664"/>
    <mergeCell ref="D665:E665"/>
    <mergeCell ref="G665:H665"/>
    <mergeCell ref="G666:H666"/>
    <mergeCell ref="D671:E671"/>
    <mergeCell ref="D672:E672"/>
    <mergeCell ref="D673:E673"/>
    <mergeCell ref="G667:H667"/>
    <mergeCell ref="G668:H668"/>
    <mergeCell ref="D669:E669"/>
    <mergeCell ref="G669:H669"/>
    <mergeCell ref="D670:E670"/>
    <mergeCell ref="G670:H670"/>
    <mergeCell ref="G671:H671"/>
    <mergeCell ref="D676:E676"/>
    <mergeCell ref="D677:E677"/>
    <mergeCell ref="D678:E678"/>
    <mergeCell ref="G672:H672"/>
    <mergeCell ref="G673:H673"/>
    <mergeCell ref="D674:E674"/>
    <mergeCell ref="G674:H674"/>
    <mergeCell ref="D675:E675"/>
    <mergeCell ref="G675:H675"/>
    <mergeCell ref="G676:H676"/>
    <mergeCell ref="D681:E681"/>
    <mergeCell ref="D682:E682"/>
    <mergeCell ref="D683:E683"/>
    <mergeCell ref="G677:H677"/>
    <mergeCell ref="G678:H678"/>
    <mergeCell ref="D679:E679"/>
    <mergeCell ref="G679:H679"/>
    <mergeCell ref="D680:E680"/>
    <mergeCell ref="G680:H680"/>
    <mergeCell ref="G681:H681"/>
    <mergeCell ref="D686:E686"/>
    <mergeCell ref="D687:E687"/>
    <mergeCell ref="D688:E688"/>
    <mergeCell ref="G682:H682"/>
    <mergeCell ref="G683:H683"/>
    <mergeCell ref="D684:E684"/>
    <mergeCell ref="G684:H684"/>
    <mergeCell ref="D685:E685"/>
    <mergeCell ref="G685:H685"/>
    <mergeCell ref="G686:H686"/>
    <mergeCell ref="D691:E691"/>
    <mergeCell ref="D692:E692"/>
    <mergeCell ref="D693:E693"/>
    <mergeCell ref="G687:H687"/>
    <mergeCell ref="G688:H688"/>
    <mergeCell ref="D689:E689"/>
    <mergeCell ref="G689:H689"/>
    <mergeCell ref="D690:E690"/>
    <mergeCell ref="G690:H690"/>
    <mergeCell ref="G691:H691"/>
    <mergeCell ref="D696:E696"/>
    <mergeCell ref="D697:E697"/>
    <mergeCell ref="D698:E698"/>
    <mergeCell ref="G692:H692"/>
    <mergeCell ref="G693:H693"/>
    <mergeCell ref="D694:E694"/>
    <mergeCell ref="G694:H694"/>
    <mergeCell ref="D695:E695"/>
    <mergeCell ref="G695:H695"/>
    <mergeCell ref="G696:H696"/>
    <mergeCell ref="D701:E701"/>
    <mergeCell ref="D702:E702"/>
    <mergeCell ref="D703:E703"/>
    <mergeCell ref="G697:H697"/>
    <mergeCell ref="G698:H698"/>
    <mergeCell ref="D699:E699"/>
    <mergeCell ref="G699:H699"/>
    <mergeCell ref="D700:E700"/>
    <mergeCell ref="G700:H700"/>
    <mergeCell ref="G701:H701"/>
    <mergeCell ref="D706:E706"/>
    <mergeCell ref="D707:E707"/>
    <mergeCell ref="D708:E708"/>
    <mergeCell ref="G702:H702"/>
    <mergeCell ref="G703:H703"/>
    <mergeCell ref="D704:E704"/>
    <mergeCell ref="G704:H704"/>
    <mergeCell ref="D705:E705"/>
    <mergeCell ref="G705:H705"/>
    <mergeCell ref="G706:H706"/>
    <mergeCell ref="D711:E711"/>
    <mergeCell ref="D712:E712"/>
    <mergeCell ref="D713:E713"/>
    <mergeCell ref="G707:H707"/>
    <mergeCell ref="G708:H708"/>
    <mergeCell ref="D709:E709"/>
    <mergeCell ref="G709:H709"/>
    <mergeCell ref="D710:E710"/>
    <mergeCell ref="G710:H710"/>
    <mergeCell ref="G711:H711"/>
    <mergeCell ref="D716:E716"/>
    <mergeCell ref="D717:E717"/>
    <mergeCell ref="D718:E718"/>
    <mergeCell ref="G712:H712"/>
    <mergeCell ref="G713:H713"/>
    <mergeCell ref="D714:E714"/>
    <mergeCell ref="G714:H714"/>
    <mergeCell ref="D715:E715"/>
    <mergeCell ref="G715:H715"/>
    <mergeCell ref="G716:H716"/>
    <mergeCell ref="D721:E721"/>
    <mergeCell ref="D722:E722"/>
    <mergeCell ref="D723:E723"/>
    <mergeCell ref="G717:H717"/>
    <mergeCell ref="G718:H718"/>
    <mergeCell ref="D719:E719"/>
    <mergeCell ref="G719:H719"/>
    <mergeCell ref="D720:E720"/>
    <mergeCell ref="G720:H720"/>
    <mergeCell ref="G721:H721"/>
    <mergeCell ref="D726:E726"/>
    <mergeCell ref="D727:E727"/>
    <mergeCell ref="D728:E728"/>
    <mergeCell ref="G722:H722"/>
    <mergeCell ref="G723:H723"/>
    <mergeCell ref="D724:E724"/>
    <mergeCell ref="G724:H724"/>
    <mergeCell ref="D725:E725"/>
    <mergeCell ref="G725:H725"/>
    <mergeCell ref="G726:H726"/>
    <mergeCell ref="D731:E731"/>
    <mergeCell ref="D732:E732"/>
    <mergeCell ref="D733:E733"/>
    <mergeCell ref="G727:H727"/>
    <mergeCell ref="G728:H728"/>
    <mergeCell ref="D729:E729"/>
    <mergeCell ref="G729:H729"/>
    <mergeCell ref="D730:E730"/>
    <mergeCell ref="G730:H730"/>
    <mergeCell ref="G731:H731"/>
    <mergeCell ref="D736:E736"/>
    <mergeCell ref="D737:E737"/>
    <mergeCell ref="D738:E738"/>
    <mergeCell ref="G732:H732"/>
    <mergeCell ref="G733:H733"/>
    <mergeCell ref="D734:E734"/>
    <mergeCell ref="G734:H734"/>
    <mergeCell ref="D735:E735"/>
    <mergeCell ref="G735:H735"/>
    <mergeCell ref="G736:H736"/>
    <mergeCell ref="D741:E741"/>
    <mergeCell ref="D742:E742"/>
    <mergeCell ref="D743:E743"/>
    <mergeCell ref="G737:H737"/>
    <mergeCell ref="G738:H738"/>
    <mergeCell ref="D739:E739"/>
    <mergeCell ref="G739:H739"/>
    <mergeCell ref="D740:E740"/>
    <mergeCell ref="G740:H740"/>
    <mergeCell ref="G741:H741"/>
    <mergeCell ref="D746:E746"/>
    <mergeCell ref="D747:E747"/>
    <mergeCell ref="D748:E748"/>
    <mergeCell ref="G742:H742"/>
    <mergeCell ref="G743:H743"/>
    <mergeCell ref="D744:E744"/>
    <mergeCell ref="G744:H744"/>
    <mergeCell ref="D745:E745"/>
    <mergeCell ref="G745:H745"/>
    <mergeCell ref="G746:H746"/>
    <mergeCell ref="D751:E751"/>
    <mergeCell ref="D752:E752"/>
    <mergeCell ref="D753:E753"/>
    <mergeCell ref="G747:H747"/>
    <mergeCell ref="G748:H748"/>
    <mergeCell ref="D749:E749"/>
    <mergeCell ref="G749:H749"/>
    <mergeCell ref="D750:E750"/>
    <mergeCell ref="G750:H750"/>
    <mergeCell ref="G751:H751"/>
    <mergeCell ref="D756:E756"/>
    <mergeCell ref="D757:E757"/>
    <mergeCell ref="D758:E758"/>
    <mergeCell ref="G752:H752"/>
    <mergeCell ref="G753:H753"/>
    <mergeCell ref="D754:E754"/>
    <mergeCell ref="G754:H754"/>
    <mergeCell ref="D755:E755"/>
    <mergeCell ref="G755:H755"/>
    <mergeCell ref="G756:H756"/>
    <mergeCell ref="D761:E761"/>
    <mergeCell ref="D762:E762"/>
    <mergeCell ref="D763:E763"/>
    <mergeCell ref="G757:H757"/>
    <mergeCell ref="G758:H758"/>
    <mergeCell ref="D759:E759"/>
    <mergeCell ref="G759:H759"/>
    <mergeCell ref="D760:E760"/>
    <mergeCell ref="G760:H760"/>
    <mergeCell ref="G761:H761"/>
    <mergeCell ref="D766:E766"/>
    <mergeCell ref="D767:E767"/>
    <mergeCell ref="D768:E768"/>
    <mergeCell ref="G762:H762"/>
    <mergeCell ref="G763:H763"/>
    <mergeCell ref="D764:E764"/>
    <mergeCell ref="G764:H764"/>
    <mergeCell ref="D765:E765"/>
    <mergeCell ref="G765:H765"/>
    <mergeCell ref="G766:H766"/>
    <mergeCell ref="M193:N193"/>
    <mergeCell ref="M194:N194"/>
    <mergeCell ref="M186:N186"/>
    <mergeCell ref="M187:N187"/>
    <mergeCell ref="M188:N188"/>
    <mergeCell ref="M189:N189"/>
    <mergeCell ref="M190:N190"/>
    <mergeCell ref="M191:N191"/>
    <mergeCell ref="M192:N192"/>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185:N185"/>
    <mergeCell ref="J1:K1"/>
    <mergeCell ref="J2:K2"/>
    <mergeCell ref="J3:K3"/>
    <mergeCell ref="M3:N3"/>
    <mergeCell ref="J4:K4"/>
    <mergeCell ref="M4:N4"/>
    <mergeCell ref="M5:N5"/>
    <mergeCell ref="M10:N10"/>
    <mergeCell ref="M11:N11"/>
    <mergeCell ref="J5:K5"/>
    <mergeCell ref="J6:K6"/>
    <mergeCell ref="J7:K7"/>
    <mergeCell ref="J9:K9"/>
    <mergeCell ref="M9:N9"/>
    <mergeCell ref="J10:K10"/>
    <mergeCell ref="J11:K11"/>
    <mergeCell ref="J12:K12"/>
    <mergeCell ref="M12:N12"/>
    <mergeCell ref="J13:K13"/>
    <mergeCell ref="M13:N13"/>
    <mergeCell ref="J14:K14"/>
    <mergeCell ref="M14:N14"/>
    <mergeCell ref="M15:N15"/>
    <mergeCell ref="J15:K15"/>
    <mergeCell ref="J16:K16"/>
    <mergeCell ref="J17:K17"/>
    <mergeCell ref="J18:K18"/>
    <mergeCell ref="J19:K19"/>
    <mergeCell ref="J20:K20"/>
    <mergeCell ref="J21:K21"/>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M87:N87"/>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M209:N209"/>
    <mergeCell ref="M210:N210"/>
    <mergeCell ref="M202:N202"/>
    <mergeCell ref="M203:N203"/>
    <mergeCell ref="M204:N204"/>
    <mergeCell ref="M205:N205"/>
    <mergeCell ref="M206:N206"/>
    <mergeCell ref="M207:N207"/>
    <mergeCell ref="M208:N208"/>
    <mergeCell ref="M365:N365"/>
    <mergeCell ref="M366:N366"/>
    <mergeCell ref="M358:N358"/>
    <mergeCell ref="M359:N359"/>
    <mergeCell ref="M360:N360"/>
    <mergeCell ref="M361:N361"/>
    <mergeCell ref="M362:N362"/>
    <mergeCell ref="M363:N363"/>
    <mergeCell ref="M364:N364"/>
    <mergeCell ref="M309:N309"/>
    <mergeCell ref="M310:N310"/>
    <mergeCell ref="M311:N311"/>
    <mergeCell ref="M312:N312"/>
    <mergeCell ref="M313:N313"/>
    <mergeCell ref="M314:N314"/>
    <mergeCell ref="M315:N315"/>
    <mergeCell ref="M316:N316"/>
    <mergeCell ref="M317:N317"/>
    <mergeCell ref="M318:N318"/>
    <mergeCell ref="M319:N319"/>
    <mergeCell ref="M320:N320"/>
    <mergeCell ref="M321:N321"/>
    <mergeCell ref="M322:N322"/>
    <mergeCell ref="M323:N323"/>
    <mergeCell ref="M324:N324"/>
    <mergeCell ref="M325:N325"/>
    <mergeCell ref="M326:N326"/>
    <mergeCell ref="M327:N327"/>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42:N342"/>
    <mergeCell ref="M343:N343"/>
    <mergeCell ref="M344:N344"/>
    <mergeCell ref="M345:N345"/>
    <mergeCell ref="M346:N346"/>
    <mergeCell ref="M347:N347"/>
    <mergeCell ref="M348:N348"/>
    <mergeCell ref="M349:N349"/>
    <mergeCell ref="M350:N350"/>
    <mergeCell ref="M351:N351"/>
    <mergeCell ref="M352:N352"/>
    <mergeCell ref="M353:N353"/>
    <mergeCell ref="M354:N354"/>
    <mergeCell ref="M355:N355"/>
    <mergeCell ref="M356:N356"/>
    <mergeCell ref="M357:N357"/>
    <mergeCell ref="J197:K197"/>
    <mergeCell ref="J198:K198"/>
    <mergeCell ref="J199:K199"/>
    <mergeCell ref="J200:K200"/>
    <mergeCell ref="J201:K201"/>
    <mergeCell ref="J202:K202"/>
    <mergeCell ref="J203:K203"/>
    <mergeCell ref="M195:N195"/>
    <mergeCell ref="M196:N196"/>
    <mergeCell ref="M197:N197"/>
    <mergeCell ref="M198:N198"/>
    <mergeCell ref="M199:N199"/>
    <mergeCell ref="M200:N200"/>
    <mergeCell ref="M201:N201"/>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M211:N211"/>
    <mergeCell ref="M212:N212"/>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M227:N227"/>
    <mergeCell ref="M228:N228"/>
    <mergeCell ref="M229:N229"/>
    <mergeCell ref="M230:N230"/>
    <mergeCell ref="M231:N231"/>
    <mergeCell ref="M232:N232"/>
    <mergeCell ref="M233:N233"/>
    <mergeCell ref="M234:N234"/>
    <mergeCell ref="M235:N235"/>
    <mergeCell ref="M236:N236"/>
    <mergeCell ref="M237:N237"/>
    <mergeCell ref="M238:N238"/>
    <mergeCell ref="M239:N239"/>
    <mergeCell ref="M240:N240"/>
    <mergeCell ref="M241:N241"/>
    <mergeCell ref="M242:N242"/>
    <mergeCell ref="M243:N243"/>
    <mergeCell ref="M244:N244"/>
    <mergeCell ref="M245:N245"/>
    <mergeCell ref="M246:N246"/>
    <mergeCell ref="M247:N247"/>
    <mergeCell ref="M248:N248"/>
    <mergeCell ref="M249:N249"/>
    <mergeCell ref="M250:N250"/>
    <mergeCell ref="M251:N251"/>
    <mergeCell ref="M252:N252"/>
    <mergeCell ref="M253:N253"/>
    <mergeCell ref="M254:N254"/>
    <mergeCell ref="M255:N255"/>
    <mergeCell ref="M256:N256"/>
    <mergeCell ref="M257:N257"/>
    <mergeCell ref="M258:N258"/>
    <mergeCell ref="M259:N259"/>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M260:N260"/>
    <mergeCell ref="M261:N261"/>
    <mergeCell ref="M262:N262"/>
    <mergeCell ref="M263:N263"/>
    <mergeCell ref="M264:N264"/>
    <mergeCell ref="M265:N265"/>
    <mergeCell ref="M266:N266"/>
    <mergeCell ref="M267:N267"/>
    <mergeCell ref="M268:N268"/>
    <mergeCell ref="M269:N269"/>
    <mergeCell ref="M270:N270"/>
    <mergeCell ref="M271:N271"/>
    <mergeCell ref="M272:N272"/>
    <mergeCell ref="M273:N273"/>
    <mergeCell ref="M274:N274"/>
    <mergeCell ref="M275:N275"/>
    <mergeCell ref="M276:N276"/>
    <mergeCell ref="M277:N277"/>
    <mergeCell ref="M278:N278"/>
    <mergeCell ref="M279:N279"/>
    <mergeCell ref="M280:N280"/>
    <mergeCell ref="M281:N281"/>
    <mergeCell ref="M282:N282"/>
    <mergeCell ref="M283:N283"/>
    <mergeCell ref="M284:N284"/>
    <mergeCell ref="M285:N285"/>
    <mergeCell ref="M286:N286"/>
    <mergeCell ref="M287:N287"/>
    <mergeCell ref="M288:N288"/>
    <mergeCell ref="M289:N289"/>
    <mergeCell ref="M290:N290"/>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M305:N305"/>
    <mergeCell ref="M306:N306"/>
    <mergeCell ref="M307:N307"/>
    <mergeCell ref="M308:N308"/>
    <mergeCell ref="M367:N367"/>
    <mergeCell ref="M368:N368"/>
    <mergeCell ref="M369:N369"/>
    <mergeCell ref="M370:N370"/>
    <mergeCell ref="M371:N371"/>
    <mergeCell ref="M372:N372"/>
    <mergeCell ref="M373:N373"/>
    <mergeCell ref="M374:N374"/>
    <mergeCell ref="M375:N375"/>
    <mergeCell ref="M376:N376"/>
    <mergeCell ref="M377:N377"/>
    <mergeCell ref="M378:N378"/>
    <mergeCell ref="M379:N379"/>
    <mergeCell ref="M380:N380"/>
    <mergeCell ref="M381:N381"/>
    <mergeCell ref="M382:N382"/>
    <mergeCell ref="M383:N383"/>
    <mergeCell ref="M384:N384"/>
    <mergeCell ref="M385:N385"/>
    <mergeCell ref="M386:N386"/>
    <mergeCell ref="M387:N387"/>
    <mergeCell ref="M388:N388"/>
    <mergeCell ref="M389:N389"/>
    <mergeCell ref="M390:N390"/>
    <mergeCell ref="M391:N391"/>
    <mergeCell ref="M392:N392"/>
    <mergeCell ref="M393:N393"/>
    <mergeCell ref="M394:N394"/>
    <mergeCell ref="M395:N395"/>
    <mergeCell ref="M396:N396"/>
    <mergeCell ref="M397:N397"/>
    <mergeCell ref="M398:N398"/>
    <mergeCell ref="M399:N399"/>
    <mergeCell ref="M400:N400"/>
    <mergeCell ref="M401:N401"/>
    <mergeCell ref="M402:N402"/>
    <mergeCell ref="M403:N403"/>
    <mergeCell ref="M404:N404"/>
    <mergeCell ref="M405:N405"/>
    <mergeCell ref="M406:N406"/>
    <mergeCell ref="M407:N407"/>
    <mergeCell ref="M408:N408"/>
    <mergeCell ref="M409:N409"/>
    <mergeCell ref="M410:N410"/>
    <mergeCell ref="M411:N411"/>
    <mergeCell ref="M412:N412"/>
    <mergeCell ref="M413:N413"/>
    <mergeCell ref="M414:N414"/>
    <mergeCell ref="M415:N41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834:K834"/>
    <mergeCell ref="J835:K835"/>
    <mergeCell ref="J836:K836"/>
    <mergeCell ref="J837:K837"/>
    <mergeCell ref="J838:K838"/>
    <mergeCell ref="J839:K839"/>
    <mergeCell ref="J840:K840"/>
    <mergeCell ref="J841:K841"/>
    <mergeCell ref="J842:K842"/>
    <mergeCell ref="J843:K843"/>
    <mergeCell ref="J844:K844"/>
    <mergeCell ref="J845:K845"/>
    <mergeCell ref="J846:K846"/>
    <mergeCell ref="J847:K847"/>
    <mergeCell ref="J848:K848"/>
    <mergeCell ref="J849:K849"/>
    <mergeCell ref="J850:K850"/>
    <mergeCell ref="J851:K851"/>
    <mergeCell ref="J852:K852"/>
    <mergeCell ref="J853:K853"/>
    <mergeCell ref="J854:K854"/>
    <mergeCell ref="J855:K855"/>
    <mergeCell ref="J856:K856"/>
    <mergeCell ref="J857:K857"/>
    <mergeCell ref="J858:K858"/>
    <mergeCell ref="J859:K859"/>
    <mergeCell ref="J860:K860"/>
    <mergeCell ref="J861:K861"/>
    <mergeCell ref="J862:K862"/>
    <mergeCell ref="J863:K863"/>
    <mergeCell ref="J864:K864"/>
    <mergeCell ref="J865:K865"/>
    <mergeCell ref="J866:K866"/>
    <mergeCell ref="J867:K867"/>
    <mergeCell ref="J868:K868"/>
    <mergeCell ref="J869:K869"/>
    <mergeCell ref="J870:K870"/>
    <mergeCell ref="J871:K871"/>
    <mergeCell ref="J872:K872"/>
    <mergeCell ref="J873:K873"/>
    <mergeCell ref="J874:K874"/>
    <mergeCell ref="J875:K875"/>
    <mergeCell ref="J876:K876"/>
    <mergeCell ref="J877:K877"/>
    <mergeCell ref="J878:K878"/>
    <mergeCell ref="J879:K879"/>
    <mergeCell ref="J880:K880"/>
    <mergeCell ref="J881:K881"/>
    <mergeCell ref="J882:K882"/>
    <mergeCell ref="J883:K883"/>
    <mergeCell ref="J884:K884"/>
    <mergeCell ref="J885:K885"/>
    <mergeCell ref="J886:K886"/>
    <mergeCell ref="J887:K887"/>
    <mergeCell ref="J888:K888"/>
    <mergeCell ref="J889:K889"/>
    <mergeCell ref="J890:K890"/>
    <mergeCell ref="J891:K891"/>
    <mergeCell ref="J892:K892"/>
    <mergeCell ref="J893:K893"/>
    <mergeCell ref="J894:K894"/>
    <mergeCell ref="J895:K895"/>
    <mergeCell ref="J896:K896"/>
    <mergeCell ref="J897:K897"/>
    <mergeCell ref="J898:K898"/>
    <mergeCell ref="J899:K899"/>
    <mergeCell ref="J900:K900"/>
    <mergeCell ref="J901:K901"/>
    <mergeCell ref="J902:K902"/>
    <mergeCell ref="J903:K903"/>
    <mergeCell ref="J904:K904"/>
    <mergeCell ref="J905:K905"/>
    <mergeCell ref="J906:K906"/>
    <mergeCell ref="J907:K907"/>
    <mergeCell ref="J908:K908"/>
    <mergeCell ref="J909:K909"/>
    <mergeCell ref="J910:K910"/>
    <mergeCell ref="J960:K960"/>
    <mergeCell ref="J961:K961"/>
    <mergeCell ref="J962:K962"/>
    <mergeCell ref="J963:K963"/>
    <mergeCell ref="J964:K964"/>
    <mergeCell ref="J965:K965"/>
    <mergeCell ref="J966:K966"/>
    <mergeCell ref="J967:K967"/>
    <mergeCell ref="J968:K968"/>
    <mergeCell ref="J969:K969"/>
    <mergeCell ref="J970:K970"/>
    <mergeCell ref="J971:K971"/>
    <mergeCell ref="J972:K972"/>
    <mergeCell ref="J973:K973"/>
    <mergeCell ref="J974:K974"/>
    <mergeCell ref="J975:K975"/>
    <mergeCell ref="J976:K976"/>
    <mergeCell ref="J977:K977"/>
    <mergeCell ref="J978:K978"/>
    <mergeCell ref="J979:K979"/>
    <mergeCell ref="J980:K980"/>
    <mergeCell ref="J981:K981"/>
    <mergeCell ref="J982:K982"/>
    <mergeCell ref="J983:K983"/>
    <mergeCell ref="J984:K984"/>
    <mergeCell ref="J985:K985"/>
    <mergeCell ref="J986:K986"/>
    <mergeCell ref="J987:K987"/>
    <mergeCell ref="J995:K995"/>
    <mergeCell ref="J996:K996"/>
    <mergeCell ref="J997:K997"/>
    <mergeCell ref="J998:K998"/>
    <mergeCell ref="J999:K999"/>
    <mergeCell ref="J1000:K1000"/>
    <mergeCell ref="J1001:K1001"/>
    <mergeCell ref="J1002:K1002"/>
    <mergeCell ref="J988:K988"/>
    <mergeCell ref="J989:K989"/>
    <mergeCell ref="J990:K990"/>
    <mergeCell ref="J991:K991"/>
    <mergeCell ref="J992:K992"/>
    <mergeCell ref="J993:K993"/>
    <mergeCell ref="J994:K994"/>
    <mergeCell ref="J911:K911"/>
    <mergeCell ref="J912:K912"/>
    <mergeCell ref="J913:K913"/>
    <mergeCell ref="J914:K914"/>
    <mergeCell ref="J915:K915"/>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2:K932"/>
    <mergeCell ref="J933:K933"/>
    <mergeCell ref="J934:K934"/>
    <mergeCell ref="J935:K935"/>
    <mergeCell ref="J936:K936"/>
    <mergeCell ref="J937:K937"/>
    <mergeCell ref="J938:K938"/>
    <mergeCell ref="J939:K939"/>
    <mergeCell ref="J940:K940"/>
    <mergeCell ref="J941:K941"/>
    <mergeCell ref="J942:K942"/>
    <mergeCell ref="J943:K943"/>
    <mergeCell ref="J944:K944"/>
    <mergeCell ref="J945:K945"/>
    <mergeCell ref="J946:K946"/>
    <mergeCell ref="J947:K947"/>
    <mergeCell ref="J948:K948"/>
    <mergeCell ref="J949:K949"/>
    <mergeCell ref="J950:K950"/>
    <mergeCell ref="J951:K951"/>
    <mergeCell ref="J952:K952"/>
    <mergeCell ref="J953:K953"/>
    <mergeCell ref="J954:K954"/>
    <mergeCell ref="J955:K955"/>
    <mergeCell ref="J956:K956"/>
    <mergeCell ref="J957:K957"/>
    <mergeCell ref="J958:K958"/>
    <mergeCell ref="J959:K959"/>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M759:N759"/>
    <mergeCell ref="M760:N760"/>
    <mergeCell ref="M761:N761"/>
    <mergeCell ref="M762:N762"/>
    <mergeCell ref="M763:N763"/>
    <mergeCell ref="M764:N764"/>
    <mergeCell ref="M765:N765"/>
    <mergeCell ref="M766:N766"/>
    <mergeCell ref="M767:N767"/>
    <mergeCell ref="M768:N768"/>
    <mergeCell ref="M769:N769"/>
    <mergeCell ref="M770:N770"/>
    <mergeCell ref="M771:N771"/>
    <mergeCell ref="M772:N772"/>
    <mergeCell ref="M773:N773"/>
    <mergeCell ref="M774:N774"/>
    <mergeCell ref="M775:N775"/>
    <mergeCell ref="M776:N776"/>
    <mergeCell ref="M777:N777"/>
    <mergeCell ref="M778:N778"/>
    <mergeCell ref="M779:N779"/>
    <mergeCell ref="M780:N780"/>
    <mergeCell ref="M781:N781"/>
    <mergeCell ref="M782:N782"/>
    <mergeCell ref="M783:N783"/>
    <mergeCell ref="M784:N784"/>
    <mergeCell ref="M785:N785"/>
    <mergeCell ref="M786:N786"/>
    <mergeCell ref="M787:N787"/>
    <mergeCell ref="M788:N788"/>
    <mergeCell ref="M789:N789"/>
    <mergeCell ref="M790:N790"/>
    <mergeCell ref="M791:N791"/>
    <mergeCell ref="M792:N792"/>
    <mergeCell ref="M793:N793"/>
    <mergeCell ref="M794:N794"/>
    <mergeCell ref="M795:N795"/>
    <mergeCell ref="M796:N796"/>
    <mergeCell ref="M797:N797"/>
    <mergeCell ref="M798:N798"/>
    <mergeCell ref="M799:N799"/>
    <mergeCell ref="M800:N800"/>
    <mergeCell ref="M801:N801"/>
    <mergeCell ref="M802:N802"/>
    <mergeCell ref="M803:N803"/>
    <mergeCell ref="M804:N804"/>
    <mergeCell ref="M805:N805"/>
    <mergeCell ref="M806:N806"/>
    <mergeCell ref="M807:N807"/>
    <mergeCell ref="M808:N808"/>
    <mergeCell ref="M809:N809"/>
    <mergeCell ref="M810:N810"/>
    <mergeCell ref="M811:N811"/>
    <mergeCell ref="M812:N812"/>
    <mergeCell ref="M813:N813"/>
    <mergeCell ref="M814:N814"/>
    <mergeCell ref="M815:N815"/>
    <mergeCell ref="M816:N816"/>
    <mergeCell ref="M817:N817"/>
    <mergeCell ref="M818:N818"/>
    <mergeCell ref="M819:N819"/>
    <mergeCell ref="M820:N820"/>
    <mergeCell ref="M821:N821"/>
    <mergeCell ref="M822:N822"/>
    <mergeCell ref="M823:N823"/>
    <mergeCell ref="M824:N824"/>
    <mergeCell ref="M825:N825"/>
    <mergeCell ref="M826:N826"/>
    <mergeCell ref="M827:N827"/>
    <mergeCell ref="M828:N828"/>
    <mergeCell ref="M829:N829"/>
    <mergeCell ref="M830:N830"/>
    <mergeCell ref="M831:N831"/>
    <mergeCell ref="M832:N832"/>
    <mergeCell ref="M833:N833"/>
    <mergeCell ref="M834:N834"/>
    <mergeCell ref="M835:N835"/>
    <mergeCell ref="M836:N836"/>
    <mergeCell ref="M837:N837"/>
    <mergeCell ref="M838:N838"/>
    <mergeCell ref="M839:N839"/>
    <mergeCell ref="M840:N840"/>
    <mergeCell ref="M841:N841"/>
    <mergeCell ref="M842:N842"/>
    <mergeCell ref="M843:N843"/>
    <mergeCell ref="M844:N844"/>
    <mergeCell ref="M845:N845"/>
    <mergeCell ref="M846:N846"/>
    <mergeCell ref="M847:N847"/>
    <mergeCell ref="M848:N848"/>
    <mergeCell ref="M849:N849"/>
    <mergeCell ref="M850:N850"/>
    <mergeCell ref="M851:N851"/>
    <mergeCell ref="M852:N852"/>
    <mergeCell ref="M853:N853"/>
    <mergeCell ref="M854:N854"/>
    <mergeCell ref="M855:N855"/>
    <mergeCell ref="M856:N856"/>
    <mergeCell ref="M857:N857"/>
    <mergeCell ref="M858:N858"/>
    <mergeCell ref="M859:N859"/>
    <mergeCell ref="M860:N860"/>
    <mergeCell ref="M861:N861"/>
    <mergeCell ref="M862:N862"/>
    <mergeCell ref="M863:N863"/>
    <mergeCell ref="M864:N864"/>
    <mergeCell ref="M865:N865"/>
    <mergeCell ref="M866:N866"/>
    <mergeCell ref="M867:N867"/>
    <mergeCell ref="M868:N868"/>
    <mergeCell ref="M869:N869"/>
    <mergeCell ref="M870:N870"/>
    <mergeCell ref="M871:N871"/>
    <mergeCell ref="M872:N872"/>
    <mergeCell ref="M873:N873"/>
    <mergeCell ref="M874:N874"/>
    <mergeCell ref="M875:N875"/>
    <mergeCell ref="M876:N876"/>
    <mergeCell ref="M877:N877"/>
    <mergeCell ref="M878:N878"/>
    <mergeCell ref="M879:N879"/>
    <mergeCell ref="M880:N880"/>
    <mergeCell ref="M881:N881"/>
    <mergeCell ref="M882:N882"/>
    <mergeCell ref="M883:N883"/>
    <mergeCell ref="M884:N884"/>
    <mergeCell ref="M885:N885"/>
    <mergeCell ref="M886:N886"/>
    <mergeCell ref="M887:N887"/>
    <mergeCell ref="M888:N888"/>
    <mergeCell ref="M889:N889"/>
    <mergeCell ref="M890:N890"/>
    <mergeCell ref="M891:N891"/>
    <mergeCell ref="M892:N892"/>
    <mergeCell ref="M893:N893"/>
    <mergeCell ref="M894:N894"/>
    <mergeCell ref="M895:N895"/>
    <mergeCell ref="M896:N896"/>
    <mergeCell ref="M897:N897"/>
    <mergeCell ref="M898:N898"/>
    <mergeCell ref="M899:N899"/>
    <mergeCell ref="M900:N900"/>
    <mergeCell ref="M901:N901"/>
    <mergeCell ref="M902:N902"/>
    <mergeCell ref="M903:N903"/>
    <mergeCell ref="M904:N904"/>
    <mergeCell ref="M905:N905"/>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7:N967"/>
    <mergeCell ref="M968:N968"/>
    <mergeCell ref="M969:N969"/>
    <mergeCell ref="M970:N970"/>
    <mergeCell ref="M971:N971"/>
    <mergeCell ref="M972:N972"/>
    <mergeCell ref="M973:N973"/>
    <mergeCell ref="M974:N974"/>
    <mergeCell ref="M975:N975"/>
    <mergeCell ref="M976:N976"/>
    <mergeCell ref="M977:N977"/>
    <mergeCell ref="M978:N978"/>
    <mergeCell ref="M979:N979"/>
    <mergeCell ref="M980:N980"/>
    <mergeCell ref="M981:N981"/>
    <mergeCell ref="M982:N982"/>
    <mergeCell ref="M983:N983"/>
    <mergeCell ref="M984:N984"/>
    <mergeCell ref="M985:N985"/>
    <mergeCell ref="M986:N986"/>
    <mergeCell ref="M987:N987"/>
    <mergeCell ref="M988:N988"/>
    <mergeCell ref="M989:N989"/>
    <mergeCell ref="M997:N997"/>
    <mergeCell ref="M998:N998"/>
    <mergeCell ref="M999:N999"/>
    <mergeCell ref="M1000:N1000"/>
    <mergeCell ref="M1001:N1001"/>
    <mergeCell ref="M1002:N1002"/>
    <mergeCell ref="M990:N990"/>
    <mergeCell ref="M991:N991"/>
    <mergeCell ref="M992:N992"/>
    <mergeCell ref="M993:N993"/>
    <mergeCell ref="M994:N994"/>
    <mergeCell ref="M995:N995"/>
    <mergeCell ref="M996:N996"/>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18:N918"/>
    <mergeCell ref="M919:N919"/>
    <mergeCell ref="M920:N920"/>
    <mergeCell ref="M921:N921"/>
    <mergeCell ref="M922:N922"/>
    <mergeCell ref="M923:N923"/>
    <mergeCell ref="M924:N924"/>
    <mergeCell ref="M925:N925"/>
    <mergeCell ref="M926:N926"/>
    <mergeCell ref="M927:N927"/>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3:N943"/>
    <mergeCell ref="M944:N944"/>
    <mergeCell ref="M945:N945"/>
    <mergeCell ref="M946:N946"/>
    <mergeCell ref="M947:N947"/>
    <mergeCell ref="M948:N948"/>
    <mergeCell ref="M949:N949"/>
    <mergeCell ref="M950:N950"/>
    <mergeCell ref="M951:N951"/>
    <mergeCell ref="M952:N952"/>
    <mergeCell ref="M953:N953"/>
    <mergeCell ref="M954:N954"/>
    <mergeCell ref="M416:N416"/>
    <mergeCell ref="M417:N417"/>
    <mergeCell ref="M418:N418"/>
    <mergeCell ref="M419:N419"/>
    <mergeCell ref="M420:N420"/>
    <mergeCell ref="M421:N421"/>
    <mergeCell ref="M422:N422"/>
    <mergeCell ref="M423:N423"/>
    <mergeCell ref="M424:N424"/>
    <mergeCell ref="M425:N425"/>
    <mergeCell ref="M426:N426"/>
    <mergeCell ref="M427:N427"/>
    <mergeCell ref="M428:N428"/>
    <mergeCell ref="M429:N429"/>
    <mergeCell ref="M430:N430"/>
    <mergeCell ref="M431:N431"/>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M457:N457"/>
    <mergeCell ref="M458:N458"/>
    <mergeCell ref="M459:N459"/>
    <mergeCell ref="M460:N460"/>
    <mergeCell ref="M461:N461"/>
    <mergeCell ref="M462:N462"/>
    <mergeCell ref="M463:N463"/>
    <mergeCell ref="M464:N464"/>
    <mergeCell ref="M465:N465"/>
    <mergeCell ref="M466:N466"/>
    <mergeCell ref="M467:N467"/>
    <mergeCell ref="M468:N468"/>
    <mergeCell ref="M469:N469"/>
    <mergeCell ref="M470:N470"/>
    <mergeCell ref="M471:N471"/>
    <mergeCell ref="M472:N472"/>
    <mergeCell ref="M473:N473"/>
    <mergeCell ref="M474:N474"/>
    <mergeCell ref="M475:N475"/>
    <mergeCell ref="M476:N476"/>
    <mergeCell ref="M477:N477"/>
    <mergeCell ref="M478:N478"/>
    <mergeCell ref="M479:N479"/>
    <mergeCell ref="M480:N480"/>
    <mergeCell ref="M481:N481"/>
    <mergeCell ref="M482:N482"/>
    <mergeCell ref="M483:N483"/>
    <mergeCell ref="M484:N484"/>
    <mergeCell ref="M485:N485"/>
    <mergeCell ref="M486:N486"/>
    <mergeCell ref="M487:N487"/>
    <mergeCell ref="M488:N488"/>
    <mergeCell ref="M489:N489"/>
    <mergeCell ref="M490:N490"/>
    <mergeCell ref="M491:N491"/>
    <mergeCell ref="M492:N492"/>
    <mergeCell ref="M493:N493"/>
    <mergeCell ref="M494:N494"/>
    <mergeCell ref="M495:N495"/>
    <mergeCell ref="M496:N496"/>
    <mergeCell ref="M497:N497"/>
    <mergeCell ref="M498:N498"/>
    <mergeCell ref="M499:N499"/>
    <mergeCell ref="M500:N500"/>
    <mergeCell ref="M501:N501"/>
    <mergeCell ref="M502:N502"/>
    <mergeCell ref="M503:N503"/>
    <mergeCell ref="M504:N504"/>
    <mergeCell ref="M505:N505"/>
    <mergeCell ref="M506:N506"/>
    <mergeCell ref="M507:N507"/>
    <mergeCell ref="M508:N508"/>
    <mergeCell ref="M509:N509"/>
    <mergeCell ref="M510:N510"/>
    <mergeCell ref="M511:N511"/>
    <mergeCell ref="M512:N512"/>
    <mergeCell ref="M513:N513"/>
    <mergeCell ref="M514:N514"/>
    <mergeCell ref="M515:N515"/>
    <mergeCell ref="M516:N516"/>
    <mergeCell ref="M517:N517"/>
    <mergeCell ref="M518:N518"/>
    <mergeCell ref="M519:N519"/>
    <mergeCell ref="M520:N520"/>
    <mergeCell ref="M521:N521"/>
    <mergeCell ref="M522:N522"/>
    <mergeCell ref="M523:N523"/>
    <mergeCell ref="M524:N524"/>
    <mergeCell ref="M525:N525"/>
    <mergeCell ref="M526:N526"/>
    <mergeCell ref="M527:N527"/>
    <mergeCell ref="M528:N528"/>
    <mergeCell ref="M529:N529"/>
    <mergeCell ref="M530:N530"/>
    <mergeCell ref="M531:N531"/>
    <mergeCell ref="M532:N532"/>
    <mergeCell ref="M533:N533"/>
    <mergeCell ref="M534:N534"/>
    <mergeCell ref="M535:N535"/>
    <mergeCell ref="M536:N536"/>
    <mergeCell ref="M537:N537"/>
    <mergeCell ref="M538:N538"/>
    <mergeCell ref="M539:N539"/>
    <mergeCell ref="M540:N540"/>
    <mergeCell ref="M541:N541"/>
    <mergeCell ref="M542:N542"/>
    <mergeCell ref="M543:N543"/>
    <mergeCell ref="M544:N544"/>
    <mergeCell ref="M545:N545"/>
    <mergeCell ref="M546:N546"/>
    <mergeCell ref="M547:N547"/>
    <mergeCell ref="M548:N548"/>
    <mergeCell ref="M549:N549"/>
    <mergeCell ref="M550:N550"/>
    <mergeCell ref="M551:N551"/>
    <mergeCell ref="M552:N552"/>
    <mergeCell ref="M553:N553"/>
    <mergeCell ref="M554:N554"/>
    <mergeCell ref="M555:N555"/>
    <mergeCell ref="M556:N556"/>
    <mergeCell ref="M557:N557"/>
    <mergeCell ref="M558:N558"/>
    <mergeCell ref="M559:N559"/>
    <mergeCell ref="M560:N560"/>
    <mergeCell ref="M561:N561"/>
    <mergeCell ref="M562:N562"/>
    <mergeCell ref="M563:N563"/>
    <mergeCell ref="M564:N564"/>
    <mergeCell ref="M565:N565"/>
    <mergeCell ref="M566:N566"/>
    <mergeCell ref="M567:N567"/>
    <mergeCell ref="M568:N568"/>
    <mergeCell ref="M569:N569"/>
    <mergeCell ref="M570:N570"/>
    <mergeCell ref="M571:N571"/>
    <mergeCell ref="M572:N572"/>
    <mergeCell ref="M573:N573"/>
    <mergeCell ref="M574:N574"/>
    <mergeCell ref="M575:N575"/>
    <mergeCell ref="M576:N576"/>
    <mergeCell ref="M577:N577"/>
    <mergeCell ref="M578:N578"/>
    <mergeCell ref="M579:N579"/>
    <mergeCell ref="M580:N580"/>
    <mergeCell ref="M581:N581"/>
    <mergeCell ref="M582:N582"/>
    <mergeCell ref="M583:N583"/>
    <mergeCell ref="M584:N584"/>
    <mergeCell ref="M585:N585"/>
    <mergeCell ref="M586:N586"/>
    <mergeCell ref="M587:N587"/>
    <mergeCell ref="M588:N588"/>
    <mergeCell ref="M589:N589"/>
    <mergeCell ref="M590:N590"/>
    <mergeCell ref="M591:N591"/>
    <mergeCell ref="M592:N592"/>
    <mergeCell ref="M593:N593"/>
    <mergeCell ref="M594:N594"/>
    <mergeCell ref="M595:N595"/>
    <mergeCell ref="M596:N596"/>
    <mergeCell ref="M597:N597"/>
    <mergeCell ref="M598:N598"/>
    <mergeCell ref="M599:N599"/>
    <mergeCell ref="M600:N600"/>
    <mergeCell ref="M601:N601"/>
    <mergeCell ref="M602:N602"/>
    <mergeCell ref="M603:N603"/>
    <mergeCell ref="M604:N604"/>
    <mergeCell ref="M605:N605"/>
    <mergeCell ref="M606:N606"/>
    <mergeCell ref="M607:N607"/>
    <mergeCell ref="M608:N608"/>
    <mergeCell ref="M609:N609"/>
    <mergeCell ref="M610:N610"/>
    <mergeCell ref="M611:N611"/>
    <mergeCell ref="M612:N612"/>
    <mergeCell ref="M613:N613"/>
    <mergeCell ref="M614:N614"/>
    <mergeCell ref="M615:N615"/>
    <mergeCell ref="M616:N616"/>
    <mergeCell ref="M617:N617"/>
    <mergeCell ref="M618:N618"/>
    <mergeCell ref="M619:N619"/>
    <mergeCell ref="M620:N620"/>
    <mergeCell ref="M621:N621"/>
    <mergeCell ref="M622:N622"/>
    <mergeCell ref="M623:N623"/>
    <mergeCell ref="M624:N624"/>
    <mergeCell ref="M625:N625"/>
    <mergeCell ref="M626:N626"/>
    <mergeCell ref="M627:N627"/>
    <mergeCell ref="M628:N628"/>
    <mergeCell ref="M629:N629"/>
    <mergeCell ref="M630:N630"/>
    <mergeCell ref="M631:N631"/>
    <mergeCell ref="M632:N632"/>
    <mergeCell ref="M633:N633"/>
    <mergeCell ref="M634:N634"/>
    <mergeCell ref="M635:N635"/>
    <mergeCell ref="M636:N636"/>
    <mergeCell ref="M637:N637"/>
    <mergeCell ref="M638:N638"/>
    <mergeCell ref="M639:N639"/>
    <mergeCell ref="M640:N640"/>
    <mergeCell ref="M641:N641"/>
    <mergeCell ref="M642:N642"/>
    <mergeCell ref="M643:N643"/>
    <mergeCell ref="M644:N644"/>
    <mergeCell ref="M645:N645"/>
    <mergeCell ref="M646:N646"/>
    <mergeCell ref="M647:N647"/>
    <mergeCell ref="M648:N648"/>
    <mergeCell ref="M649:N649"/>
    <mergeCell ref="M650:N650"/>
    <mergeCell ref="M651:N651"/>
    <mergeCell ref="M652:N652"/>
    <mergeCell ref="M653:N653"/>
    <mergeCell ref="M654:N654"/>
    <mergeCell ref="M655:N655"/>
    <mergeCell ref="M656:N656"/>
    <mergeCell ref="M657:N657"/>
    <mergeCell ref="M658:N658"/>
    <mergeCell ref="M659:N659"/>
    <mergeCell ref="M660:N660"/>
    <mergeCell ref="M661:N661"/>
    <mergeCell ref="M662:N662"/>
    <mergeCell ref="M663:N663"/>
    <mergeCell ref="M664:N664"/>
    <mergeCell ref="M665:N665"/>
    <mergeCell ref="M666:N666"/>
    <mergeCell ref="M667:N667"/>
    <mergeCell ref="M668:N668"/>
    <mergeCell ref="M669:N669"/>
    <mergeCell ref="M670:N670"/>
    <mergeCell ref="M671:N671"/>
    <mergeCell ref="M672:N672"/>
    <mergeCell ref="M673:N673"/>
    <mergeCell ref="M674:N674"/>
    <mergeCell ref="M675:N675"/>
    <mergeCell ref="M676:N676"/>
    <mergeCell ref="M677:N677"/>
    <mergeCell ref="M678:N678"/>
    <mergeCell ref="M679:N679"/>
    <mergeCell ref="M680:N680"/>
    <mergeCell ref="M681:N681"/>
    <mergeCell ref="M682:N682"/>
    <mergeCell ref="M683:N683"/>
    <mergeCell ref="M684:N684"/>
    <mergeCell ref="M685:N685"/>
    <mergeCell ref="M686:N686"/>
    <mergeCell ref="M687:N687"/>
    <mergeCell ref="M688:N688"/>
    <mergeCell ref="M689:N689"/>
    <mergeCell ref="M690:N690"/>
    <mergeCell ref="M691:N691"/>
    <mergeCell ref="M692:N692"/>
    <mergeCell ref="M693:N693"/>
    <mergeCell ref="M694:N694"/>
    <mergeCell ref="M695:N695"/>
    <mergeCell ref="M696:N696"/>
    <mergeCell ref="M697:N697"/>
    <mergeCell ref="M698:N698"/>
    <mergeCell ref="M699:N699"/>
    <mergeCell ref="M700:N700"/>
    <mergeCell ref="M701:N701"/>
    <mergeCell ref="M702:N702"/>
    <mergeCell ref="M703:N703"/>
    <mergeCell ref="M704:N704"/>
    <mergeCell ref="M705:N705"/>
    <mergeCell ref="M706:N706"/>
    <mergeCell ref="M707:N707"/>
    <mergeCell ref="M708:N708"/>
    <mergeCell ref="M709:N709"/>
    <mergeCell ref="M710:N710"/>
    <mergeCell ref="M711:N711"/>
    <mergeCell ref="M712:N712"/>
    <mergeCell ref="M713:N713"/>
    <mergeCell ref="M714:N714"/>
    <mergeCell ref="M715:N715"/>
    <mergeCell ref="M716:N716"/>
    <mergeCell ref="M717:N717"/>
    <mergeCell ref="M718:N718"/>
    <mergeCell ref="M719:N719"/>
    <mergeCell ref="M720:N720"/>
    <mergeCell ref="M721:N721"/>
    <mergeCell ref="M722:N722"/>
    <mergeCell ref="M723:N723"/>
    <mergeCell ref="M724:N724"/>
    <mergeCell ref="M725:N725"/>
    <mergeCell ref="M726:N726"/>
    <mergeCell ref="M727:N727"/>
    <mergeCell ref="M728:N728"/>
    <mergeCell ref="M729:N729"/>
    <mergeCell ref="M730:N730"/>
    <mergeCell ref="M731:N731"/>
    <mergeCell ref="M732:N732"/>
    <mergeCell ref="M733:N733"/>
    <mergeCell ref="M734:N734"/>
    <mergeCell ref="M735:N735"/>
    <mergeCell ref="M736:N736"/>
    <mergeCell ref="M737:N737"/>
    <mergeCell ref="M738:N738"/>
    <mergeCell ref="M739:N739"/>
    <mergeCell ref="M740:N740"/>
    <mergeCell ref="M741:N741"/>
    <mergeCell ref="M742:N742"/>
    <mergeCell ref="M743:N743"/>
    <mergeCell ref="M744:N744"/>
    <mergeCell ref="M745:N745"/>
    <mergeCell ref="M746:N746"/>
    <mergeCell ref="M747:N747"/>
    <mergeCell ref="M748:N748"/>
    <mergeCell ref="M749:N749"/>
    <mergeCell ref="M750:N750"/>
    <mergeCell ref="M751:N751"/>
    <mergeCell ref="M752:N752"/>
    <mergeCell ref="M753:N753"/>
    <mergeCell ref="M754:N754"/>
    <mergeCell ref="M755:N755"/>
    <mergeCell ref="M756:N756"/>
    <mergeCell ref="M757:N757"/>
    <mergeCell ref="M758:N758"/>
    <mergeCell ref="A1:B1"/>
    <mergeCell ref="G1:H1"/>
    <mergeCell ref="M1:N1"/>
    <mergeCell ref="S1:T1"/>
    <mergeCell ref="A2:B2"/>
    <mergeCell ref="G2:H2"/>
    <mergeCell ref="M2:N2"/>
    <mergeCell ref="S2:T2"/>
    <mergeCell ref="D6:E6"/>
    <mergeCell ref="D7:E7"/>
    <mergeCell ref="D8:E8"/>
    <mergeCell ref="G8:H8"/>
    <mergeCell ref="J8:K8"/>
    <mergeCell ref="M6:N6"/>
    <mergeCell ref="M7:N7"/>
    <mergeCell ref="M8:N8"/>
    <mergeCell ref="P1:Q1"/>
    <mergeCell ref="P2:Q2"/>
    <mergeCell ref="P3:Q3"/>
    <mergeCell ref="S3:T3"/>
    <mergeCell ref="P4:Q4"/>
    <mergeCell ref="S4:T4"/>
    <mergeCell ref="S5:T5"/>
    <mergeCell ref="A7:B7"/>
    <mergeCell ref="A8:B8"/>
    <mergeCell ref="S11:T11"/>
    <mergeCell ref="W11:X11"/>
    <mergeCell ref="S12:T12"/>
    <mergeCell ref="W12:X12"/>
    <mergeCell ref="W13:X13"/>
    <mergeCell ref="W14:X14"/>
    <mergeCell ref="P5:Q5"/>
    <mergeCell ref="P6:Q6"/>
    <mergeCell ref="P7:Q7"/>
    <mergeCell ref="P8:Q8"/>
    <mergeCell ref="P9:Q9"/>
    <mergeCell ref="P10:Q10"/>
    <mergeCell ref="P11:Q11"/>
    <mergeCell ref="G25:H25"/>
    <mergeCell ref="G26:H26"/>
    <mergeCell ref="G18:H18"/>
    <mergeCell ref="G19:H19"/>
    <mergeCell ref="G20:H20"/>
    <mergeCell ref="G21:H21"/>
    <mergeCell ref="G22:H22"/>
    <mergeCell ref="G23:H23"/>
    <mergeCell ref="G24:H24"/>
    <mergeCell ref="D29:E29"/>
    <mergeCell ref="D30:E30"/>
    <mergeCell ref="D31:E31"/>
    <mergeCell ref="D25:E25"/>
    <mergeCell ref="D26:E26"/>
    <mergeCell ref="D27:E27"/>
    <mergeCell ref="G27:H27"/>
    <mergeCell ref="D28:E28"/>
    <mergeCell ref="G28:H28"/>
    <mergeCell ref="G29:H29"/>
    <mergeCell ref="S35:T35"/>
    <mergeCell ref="S36:T36"/>
    <mergeCell ref="S28:T28"/>
    <mergeCell ref="S29:T29"/>
    <mergeCell ref="S30:T30"/>
    <mergeCell ref="S31:T31"/>
    <mergeCell ref="S32:T32"/>
    <mergeCell ref="S33:T33"/>
    <mergeCell ref="S34:T34"/>
    <mergeCell ref="M37:N37"/>
    <mergeCell ref="M38:N38"/>
    <mergeCell ref="M30:N30"/>
    <mergeCell ref="M31:N31"/>
    <mergeCell ref="M32:N32"/>
    <mergeCell ref="M33:N33"/>
    <mergeCell ref="M34:N34"/>
    <mergeCell ref="M35:N35"/>
    <mergeCell ref="M36:N36"/>
    <mergeCell ref="S38:T38"/>
    <mergeCell ref="S39:T39"/>
    <mergeCell ref="P34:Q34"/>
    <mergeCell ref="P35:Q35"/>
    <mergeCell ref="P36:Q36"/>
    <mergeCell ref="P37:Q37"/>
    <mergeCell ref="S37:T37"/>
    <mergeCell ref="P38:Q38"/>
    <mergeCell ref="P39:Q39"/>
    <mergeCell ref="W40:X40"/>
    <mergeCell ref="W41:X41"/>
    <mergeCell ref="W32:X32"/>
    <mergeCell ref="W33:X33"/>
    <mergeCell ref="W34:X34"/>
    <mergeCell ref="W35:X35"/>
    <mergeCell ref="W37:X37"/>
    <mergeCell ref="W38:X38"/>
    <mergeCell ref="W39:X39"/>
    <mergeCell ref="P43:Q43"/>
    <mergeCell ref="P44:Q44"/>
    <mergeCell ref="P45:Q45"/>
    <mergeCell ref="P40:Q40"/>
    <mergeCell ref="S40:T40"/>
    <mergeCell ref="P41:Q41"/>
    <mergeCell ref="S41:T41"/>
    <mergeCell ref="P42:Q42"/>
    <mergeCell ref="S42:T42"/>
    <mergeCell ref="S43:T43"/>
    <mergeCell ref="W46:X46"/>
    <mergeCell ref="Y46:Z46"/>
    <mergeCell ref="W47:X47"/>
    <mergeCell ref="Y47:Z47"/>
    <mergeCell ref="W48:X48"/>
    <mergeCell ref="Y48:Z48"/>
    <mergeCell ref="W49:X49"/>
    <mergeCell ref="Y49:Z49"/>
    <mergeCell ref="Y41:Z41"/>
    <mergeCell ref="W42:X42"/>
    <mergeCell ref="Y42:Z42"/>
    <mergeCell ref="W44:X44"/>
    <mergeCell ref="Y44:Z44"/>
    <mergeCell ref="W45:X45"/>
    <mergeCell ref="Y45:Z45"/>
    <mergeCell ref="S6:T6"/>
    <mergeCell ref="S7:T7"/>
    <mergeCell ref="S8:T8"/>
    <mergeCell ref="S9:T9"/>
    <mergeCell ref="W9:X9"/>
    <mergeCell ref="Y9:Z9"/>
    <mergeCell ref="S10:T10"/>
    <mergeCell ref="W10:X10"/>
    <mergeCell ref="Y10:Z10"/>
    <mergeCell ref="Y11:Z11"/>
    <mergeCell ref="Y12:Z12"/>
    <mergeCell ref="Y13:Z13"/>
    <mergeCell ref="Y14:Z14"/>
    <mergeCell ref="Y16:Z16"/>
    <mergeCell ref="W16:X16"/>
    <mergeCell ref="W17:X17"/>
    <mergeCell ref="W18:X18"/>
    <mergeCell ref="W19:X19"/>
    <mergeCell ref="W20:X20"/>
    <mergeCell ref="W21:X21"/>
    <mergeCell ref="W23:X23"/>
    <mergeCell ref="Y17:Z17"/>
    <mergeCell ref="Y18:Z18"/>
    <mergeCell ref="Y19:Z19"/>
    <mergeCell ref="Y20:Z20"/>
    <mergeCell ref="Y21:Z21"/>
    <mergeCell ref="Y23:Z23"/>
    <mergeCell ref="Y24:Z24"/>
    <mergeCell ref="W24:X24"/>
    <mergeCell ref="W25:X25"/>
    <mergeCell ref="W26:X26"/>
    <mergeCell ref="W27:X27"/>
    <mergeCell ref="W28:X28"/>
    <mergeCell ref="W30:X30"/>
    <mergeCell ref="W31:X31"/>
    <mergeCell ref="Y25:Z25"/>
    <mergeCell ref="Y26:Z26"/>
    <mergeCell ref="Y27:Z27"/>
    <mergeCell ref="Y28:Z28"/>
    <mergeCell ref="Y30:Z30"/>
    <mergeCell ref="Y31:Z31"/>
    <mergeCell ref="Y32:Z32"/>
    <mergeCell ref="Y33:Z33"/>
    <mergeCell ref="Y34:Z34"/>
    <mergeCell ref="Y35:Z35"/>
    <mergeCell ref="Y37:Z37"/>
    <mergeCell ref="Y38:Z38"/>
    <mergeCell ref="Y39:Z39"/>
    <mergeCell ref="Y40:Z40"/>
    <mergeCell ref="P48:Q48"/>
    <mergeCell ref="P49:Q49"/>
    <mergeCell ref="P50:Q50"/>
    <mergeCell ref="S44:T44"/>
    <mergeCell ref="S45:T45"/>
    <mergeCell ref="P46:Q46"/>
    <mergeCell ref="S46:T46"/>
    <mergeCell ref="P47:Q47"/>
    <mergeCell ref="S47:T47"/>
    <mergeCell ref="S48:T48"/>
    <mergeCell ref="P53:Q53"/>
    <mergeCell ref="P54:Q54"/>
    <mergeCell ref="P55:Q55"/>
    <mergeCell ref="S49:T49"/>
    <mergeCell ref="S50:T50"/>
    <mergeCell ref="P51:Q51"/>
    <mergeCell ref="S51:T51"/>
    <mergeCell ref="P52:Q52"/>
    <mergeCell ref="S52:T52"/>
    <mergeCell ref="S53:T53"/>
    <mergeCell ref="P58:Q58"/>
    <mergeCell ref="P59:Q59"/>
    <mergeCell ref="P60:Q60"/>
    <mergeCell ref="S54:T54"/>
    <mergeCell ref="S55:T55"/>
    <mergeCell ref="P56:Q56"/>
    <mergeCell ref="S56:T56"/>
    <mergeCell ref="P57:Q57"/>
    <mergeCell ref="S57:T57"/>
    <mergeCell ref="S58:T58"/>
    <mergeCell ref="P63:Q63"/>
    <mergeCell ref="P64:Q64"/>
    <mergeCell ref="P65:Q65"/>
    <mergeCell ref="S59:T59"/>
    <mergeCell ref="S60:T60"/>
    <mergeCell ref="P61:Q61"/>
    <mergeCell ref="S61:T61"/>
    <mergeCell ref="P62:Q62"/>
    <mergeCell ref="S62:T62"/>
    <mergeCell ref="S63:T63"/>
    <mergeCell ref="P68:Q68"/>
    <mergeCell ref="P69:Q69"/>
    <mergeCell ref="P70:Q70"/>
    <mergeCell ref="S64:T64"/>
    <mergeCell ref="S65:T65"/>
    <mergeCell ref="P66:Q66"/>
    <mergeCell ref="S66:T66"/>
    <mergeCell ref="P67:Q67"/>
    <mergeCell ref="S67:T67"/>
    <mergeCell ref="S68:T68"/>
    <mergeCell ref="P73:Q73"/>
    <mergeCell ref="P74:Q74"/>
    <mergeCell ref="P75:Q75"/>
    <mergeCell ref="S69:T69"/>
    <mergeCell ref="S70:T70"/>
    <mergeCell ref="P71:Q71"/>
    <mergeCell ref="S71:T71"/>
    <mergeCell ref="P72:Q72"/>
    <mergeCell ref="S72:T72"/>
    <mergeCell ref="S73:T73"/>
    <mergeCell ref="P78:Q78"/>
    <mergeCell ref="P79:Q79"/>
    <mergeCell ref="P80:Q80"/>
    <mergeCell ref="S74:T74"/>
    <mergeCell ref="S75:T75"/>
    <mergeCell ref="P76:Q76"/>
    <mergeCell ref="S76:T76"/>
    <mergeCell ref="P77:Q77"/>
    <mergeCell ref="S77:T77"/>
    <mergeCell ref="S78:T78"/>
    <mergeCell ref="P83:Q83"/>
    <mergeCell ref="P84:Q84"/>
    <mergeCell ref="P85:Q85"/>
    <mergeCell ref="S79:T79"/>
    <mergeCell ref="S80:T80"/>
    <mergeCell ref="P81:Q81"/>
    <mergeCell ref="S81:T81"/>
    <mergeCell ref="P82:Q82"/>
    <mergeCell ref="S82:T82"/>
    <mergeCell ref="S83:T83"/>
    <mergeCell ref="P88:Q88"/>
    <mergeCell ref="P89:Q89"/>
    <mergeCell ref="P90:Q90"/>
    <mergeCell ref="S84:T84"/>
    <mergeCell ref="S85:T85"/>
    <mergeCell ref="P86:Q86"/>
    <mergeCell ref="S86:T86"/>
    <mergeCell ref="P87:Q87"/>
    <mergeCell ref="S87:T87"/>
    <mergeCell ref="S88:T88"/>
    <mergeCell ref="P93:Q93"/>
    <mergeCell ref="P94:Q94"/>
    <mergeCell ref="P95:Q95"/>
    <mergeCell ref="S89:T89"/>
    <mergeCell ref="S90:T90"/>
    <mergeCell ref="P91:Q91"/>
    <mergeCell ref="S91:T91"/>
    <mergeCell ref="P92:Q92"/>
    <mergeCell ref="S92:T92"/>
    <mergeCell ref="S93:T93"/>
    <mergeCell ref="P98:Q98"/>
    <mergeCell ref="P99:Q99"/>
    <mergeCell ref="P100:Q100"/>
    <mergeCell ref="S94:T94"/>
    <mergeCell ref="S95:T95"/>
    <mergeCell ref="P96:Q96"/>
    <mergeCell ref="S96:T96"/>
    <mergeCell ref="P97:Q97"/>
    <mergeCell ref="S97:T97"/>
    <mergeCell ref="S98:T98"/>
    <mergeCell ref="P103:Q103"/>
    <mergeCell ref="P104:Q104"/>
    <mergeCell ref="P105:Q105"/>
    <mergeCell ref="S99:T99"/>
    <mergeCell ref="S100:T100"/>
    <mergeCell ref="P101:Q101"/>
    <mergeCell ref="S101:T101"/>
    <mergeCell ref="P102:Q102"/>
    <mergeCell ref="S102:T102"/>
    <mergeCell ref="S103:T103"/>
    <mergeCell ref="P108:Q108"/>
    <mergeCell ref="P109:Q109"/>
    <mergeCell ref="P110:Q110"/>
    <mergeCell ref="S104:T104"/>
    <mergeCell ref="S105:T105"/>
    <mergeCell ref="P106:Q106"/>
    <mergeCell ref="S106:T106"/>
    <mergeCell ref="P107:Q107"/>
    <mergeCell ref="S107:T107"/>
    <mergeCell ref="S108:T108"/>
    <mergeCell ref="P113:Q113"/>
    <mergeCell ref="P114:Q114"/>
    <mergeCell ref="P115:Q115"/>
    <mergeCell ref="S109:T109"/>
    <mergeCell ref="S110:T110"/>
    <mergeCell ref="P111:Q111"/>
    <mergeCell ref="S111:T111"/>
    <mergeCell ref="P112:Q112"/>
    <mergeCell ref="S112:T112"/>
    <mergeCell ref="S113:T113"/>
    <mergeCell ref="P118:Q118"/>
    <mergeCell ref="P119:Q119"/>
    <mergeCell ref="P120:Q120"/>
    <mergeCell ref="S114:T114"/>
    <mergeCell ref="S115:T115"/>
    <mergeCell ref="P116:Q116"/>
    <mergeCell ref="S116:T116"/>
    <mergeCell ref="P117:Q117"/>
    <mergeCell ref="S117:T117"/>
    <mergeCell ref="S118:T118"/>
    <mergeCell ref="P123:Q123"/>
    <mergeCell ref="P124:Q124"/>
    <mergeCell ref="P125:Q125"/>
    <mergeCell ref="S119:T119"/>
    <mergeCell ref="S120:T120"/>
    <mergeCell ref="P121:Q121"/>
    <mergeCell ref="S121:T121"/>
    <mergeCell ref="P122:Q122"/>
    <mergeCell ref="S122:T122"/>
    <mergeCell ref="S123:T123"/>
    <mergeCell ref="P128:Q128"/>
    <mergeCell ref="P129:Q129"/>
    <mergeCell ref="P130:Q130"/>
    <mergeCell ref="S124:T124"/>
    <mergeCell ref="S125:T125"/>
    <mergeCell ref="P126:Q126"/>
    <mergeCell ref="S126:T126"/>
    <mergeCell ref="P127:Q127"/>
    <mergeCell ref="S127:T127"/>
    <mergeCell ref="S128:T128"/>
    <mergeCell ref="P133:Q133"/>
    <mergeCell ref="P134:Q134"/>
    <mergeCell ref="P135:Q135"/>
    <mergeCell ref="S129:T129"/>
    <mergeCell ref="S130:T130"/>
    <mergeCell ref="P131:Q131"/>
    <mergeCell ref="S131:T131"/>
    <mergeCell ref="P132:Q132"/>
    <mergeCell ref="S132:T132"/>
    <mergeCell ref="S133:T133"/>
    <mergeCell ref="G163:H163"/>
    <mergeCell ref="G164:H164"/>
    <mergeCell ref="G156:H156"/>
    <mergeCell ref="G157:H157"/>
    <mergeCell ref="G158:H158"/>
    <mergeCell ref="G159:H159"/>
    <mergeCell ref="G160:H160"/>
    <mergeCell ref="G161:H161"/>
    <mergeCell ref="G162:H162"/>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P138:Q138"/>
    <mergeCell ref="P139:Q139"/>
    <mergeCell ref="P140:Q140"/>
    <mergeCell ref="S134:T134"/>
    <mergeCell ref="S135:T135"/>
    <mergeCell ref="P136:Q136"/>
    <mergeCell ref="S136:T136"/>
    <mergeCell ref="P137:Q137"/>
    <mergeCell ref="S137:T137"/>
    <mergeCell ref="S138:T138"/>
    <mergeCell ref="P143:Q143"/>
    <mergeCell ref="P144:Q144"/>
    <mergeCell ref="P145:Q145"/>
    <mergeCell ref="S139:T139"/>
    <mergeCell ref="S140:T140"/>
    <mergeCell ref="P141:Q141"/>
    <mergeCell ref="S141:T141"/>
    <mergeCell ref="P142:Q142"/>
    <mergeCell ref="S142:T142"/>
    <mergeCell ref="S143:T143"/>
    <mergeCell ref="P148:Q148"/>
    <mergeCell ref="P149:Q149"/>
    <mergeCell ref="P150:Q150"/>
    <mergeCell ref="S144:T144"/>
    <mergeCell ref="S145:T145"/>
    <mergeCell ref="P146:Q146"/>
    <mergeCell ref="S146:T146"/>
    <mergeCell ref="P147:Q147"/>
    <mergeCell ref="S147:T147"/>
    <mergeCell ref="S148:T148"/>
    <mergeCell ref="P153:Q153"/>
    <mergeCell ref="P154:Q154"/>
    <mergeCell ref="P155:Q155"/>
    <mergeCell ref="S149:T149"/>
    <mergeCell ref="S150:T150"/>
    <mergeCell ref="P151:Q151"/>
    <mergeCell ref="S151:T151"/>
    <mergeCell ref="P152:Q152"/>
    <mergeCell ref="S152:T152"/>
    <mergeCell ref="S153:T153"/>
    <mergeCell ref="P158:Q158"/>
    <mergeCell ref="P159:Q159"/>
    <mergeCell ref="P160:Q160"/>
    <mergeCell ref="S154:T154"/>
    <mergeCell ref="S155:T155"/>
    <mergeCell ref="P156:Q156"/>
    <mergeCell ref="S156:T156"/>
    <mergeCell ref="P157:Q157"/>
    <mergeCell ref="S157:T157"/>
    <mergeCell ref="S158:T158"/>
    <mergeCell ref="P163:Q163"/>
    <mergeCell ref="P164:Q164"/>
    <mergeCell ref="P165:Q165"/>
    <mergeCell ref="S159:T159"/>
    <mergeCell ref="S160:T160"/>
    <mergeCell ref="P161:Q161"/>
    <mergeCell ref="S161:T161"/>
    <mergeCell ref="P162:Q162"/>
    <mergeCell ref="S162:T162"/>
    <mergeCell ref="S163:T163"/>
    <mergeCell ref="P168:Q168"/>
    <mergeCell ref="P169:Q169"/>
    <mergeCell ref="P170:Q170"/>
    <mergeCell ref="S164:T164"/>
    <mergeCell ref="S165:T165"/>
    <mergeCell ref="P166:Q166"/>
    <mergeCell ref="S166:T166"/>
    <mergeCell ref="P167:Q167"/>
    <mergeCell ref="S167:T167"/>
    <mergeCell ref="S168:T168"/>
    <mergeCell ref="P173:Q173"/>
    <mergeCell ref="P174:Q174"/>
    <mergeCell ref="P175:Q175"/>
    <mergeCell ref="S169:T169"/>
    <mergeCell ref="S170:T170"/>
    <mergeCell ref="P171:Q171"/>
    <mergeCell ref="S171:T171"/>
    <mergeCell ref="P172:Q172"/>
    <mergeCell ref="S172:T172"/>
    <mergeCell ref="S173:T173"/>
    <mergeCell ref="P178:Q178"/>
    <mergeCell ref="P179:Q179"/>
    <mergeCell ref="P180:Q180"/>
    <mergeCell ref="S174:T174"/>
    <mergeCell ref="S175:T175"/>
    <mergeCell ref="P176:Q176"/>
    <mergeCell ref="S176:T176"/>
    <mergeCell ref="P177:Q177"/>
    <mergeCell ref="S177:T177"/>
    <mergeCell ref="S178:T178"/>
    <mergeCell ref="P183:Q183"/>
    <mergeCell ref="P184:Q184"/>
    <mergeCell ref="P185:Q185"/>
    <mergeCell ref="S179:T179"/>
    <mergeCell ref="S180:T180"/>
    <mergeCell ref="P181:Q181"/>
    <mergeCell ref="S181:T181"/>
    <mergeCell ref="P182:Q182"/>
    <mergeCell ref="S182:T182"/>
    <mergeCell ref="S183:T183"/>
    <mergeCell ref="P188:Q188"/>
    <mergeCell ref="P189:Q189"/>
    <mergeCell ref="P190:Q190"/>
    <mergeCell ref="S184:T184"/>
    <mergeCell ref="S185:T185"/>
    <mergeCell ref="P186:Q186"/>
    <mergeCell ref="S186:T186"/>
    <mergeCell ref="P187:Q187"/>
    <mergeCell ref="S187:T187"/>
    <mergeCell ref="S188:T188"/>
    <mergeCell ref="P193:Q193"/>
    <mergeCell ref="P194:Q194"/>
    <mergeCell ref="P195:Q195"/>
    <mergeCell ref="S189:T189"/>
    <mergeCell ref="S190:T190"/>
    <mergeCell ref="P191:Q191"/>
    <mergeCell ref="S191:T191"/>
    <mergeCell ref="P192:Q192"/>
    <mergeCell ref="S192:T192"/>
    <mergeCell ref="S193:T193"/>
    <mergeCell ref="P198:Q198"/>
    <mergeCell ref="P199:Q199"/>
    <mergeCell ref="P200:Q200"/>
    <mergeCell ref="S194:T194"/>
    <mergeCell ref="S195:T195"/>
    <mergeCell ref="P196:Q196"/>
    <mergeCell ref="S196:T196"/>
    <mergeCell ref="P197:Q197"/>
    <mergeCell ref="S197:T197"/>
    <mergeCell ref="S198:T198"/>
    <mergeCell ref="P203:Q203"/>
    <mergeCell ref="P204:Q204"/>
    <mergeCell ref="P205:Q205"/>
    <mergeCell ref="S199:T199"/>
    <mergeCell ref="S200:T200"/>
    <mergeCell ref="P201:Q201"/>
    <mergeCell ref="S201:T201"/>
    <mergeCell ref="P202:Q202"/>
    <mergeCell ref="S202:T202"/>
    <mergeCell ref="S203:T203"/>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747:B747"/>
    <mergeCell ref="A748:B748"/>
    <mergeCell ref="A749:B749"/>
    <mergeCell ref="A750:B750"/>
    <mergeCell ref="A751:B751"/>
    <mergeCell ref="A752:B752"/>
    <mergeCell ref="A753:B753"/>
    <mergeCell ref="A754:B754"/>
    <mergeCell ref="A755:B755"/>
    <mergeCell ref="A756:B756"/>
    <mergeCell ref="A757:B757"/>
    <mergeCell ref="A758:B758"/>
    <mergeCell ref="A759:B759"/>
    <mergeCell ref="A760:B760"/>
    <mergeCell ref="A761:B761"/>
    <mergeCell ref="A762:B762"/>
    <mergeCell ref="A763:B763"/>
    <mergeCell ref="A764:B764"/>
    <mergeCell ref="A765:B765"/>
    <mergeCell ref="A766:B766"/>
    <mergeCell ref="A767:B767"/>
    <mergeCell ref="A768:B768"/>
    <mergeCell ref="A769:B769"/>
    <mergeCell ref="A770:B770"/>
    <mergeCell ref="A771:B771"/>
    <mergeCell ref="A772:B772"/>
    <mergeCell ref="A773:B773"/>
    <mergeCell ref="A774:B774"/>
    <mergeCell ref="A775:B775"/>
    <mergeCell ref="A776:B776"/>
    <mergeCell ref="A777:B777"/>
    <mergeCell ref="A778:B778"/>
    <mergeCell ref="A779:B779"/>
    <mergeCell ref="A780:B780"/>
    <mergeCell ref="A781:B781"/>
    <mergeCell ref="A782:B782"/>
    <mergeCell ref="A783:B783"/>
    <mergeCell ref="A784:B784"/>
    <mergeCell ref="A785:B785"/>
    <mergeCell ref="A786:B786"/>
    <mergeCell ref="A787:B787"/>
    <mergeCell ref="A788:B788"/>
    <mergeCell ref="A789:B789"/>
    <mergeCell ref="A790:B790"/>
    <mergeCell ref="A791:B791"/>
    <mergeCell ref="A792:B792"/>
    <mergeCell ref="A793:B793"/>
    <mergeCell ref="A794:B794"/>
    <mergeCell ref="A795:B795"/>
    <mergeCell ref="A796:B796"/>
    <mergeCell ref="A797:B797"/>
    <mergeCell ref="A798:B798"/>
    <mergeCell ref="A799:B799"/>
    <mergeCell ref="A800:B800"/>
    <mergeCell ref="A801:B801"/>
    <mergeCell ref="A802:B802"/>
    <mergeCell ref="A803:B803"/>
    <mergeCell ref="A804:B804"/>
    <mergeCell ref="A805:B805"/>
    <mergeCell ref="A806:B806"/>
    <mergeCell ref="A807:B807"/>
    <mergeCell ref="A808:B808"/>
    <mergeCell ref="A809:B809"/>
    <mergeCell ref="A810:B810"/>
    <mergeCell ref="A811:B811"/>
    <mergeCell ref="A812:B812"/>
    <mergeCell ref="A813:B813"/>
    <mergeCell ref="A814:B814"/>
    <mergeCell ref="A815:B815"/>
    <mergeCell ref="A816:B816"/>
    <mergeCell ref="A817:B817"/>
    <mergeCell ref="A818:B818"/>
    <mergeCell ref="A819:B819"/>
    <mergeCell ref="A820:B820"/>
    <mergeCell ref="A821:B821"/>
    <mergeCell ref="A822:B822"/>
    <mergeCell ref="A823:B823"/>
    <mergeCell ref="A824:B824"/>
    <mergeCell ref="A825:B825"/>
    <mergeCell ref="A826:B826"/>
    <mergeCell ref="A827:B827"/>
    <mergeCell ref="A828:B828"/>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1:B841"/>
    <mergeCell ref="A842:B842"/>
    <mergeCell ref="A843:B843"/>
    <mergeCell ref="A844:B844"/>
    <mergeCell ref="A845:B845"/>
    <mergeCell ref="A846:B846"/>
    <mergeCell ref="A847:B847"/>
    <mergeCell ref="A848:B848"/>
    <mergeCell ref="A849:B849"/>
    <mergeCell ref="A850:B850"/>
    <mergeCell ref="A851:B851"/>
    <mergeCell ref="A852:B852"/>
    <mergeCell ref="A853:B853"/>
    <mergeCell ref="A854:B854"/>
    <mergeCell ref="A855:B855"/>
    <mergeCell ref="A856:B856"/>
    <mergeCell ref="A857:B857"/>
    <mergeCell ref="A858:B858"/>
    <mergeCell ref="A859:B859"/>
    <mergeCell ref="A860:B860"/>
    <mergeCell ref="A861:B861"/>
    <mergeCell ref="A862:B862"/>
    <mergeCell ref="A863:B863"/>
    <mergeCell ref="A864:B864"/>
    <mergeCell ref="A865:B865"/>
    <mergeCell ref="A866:B866"/>
    <mergeCell ref="A867:B867"/>
    <mergeCell ref="A868:B868"/>
    <mergeCell ref="A869:B869"/>
    <mergeCell ref="A870:B870"/>
    <mergeCell ref="A871:B871"/>
    <mergeCell ref="A872:B872"/>
    <mergeCell ref="A873:B873"/>
    <mergeCell ref="A874:B874"/>
    <mergeCell ref="A875:B875"/>
    <mergeCell ref="A876:B876"/>
    <mergeCell ref="A877:B877"/>
    <mergeCell ref="A878:B878"/>
    <mergeCell ref="A879:B879"/>
    <mergeCell ref="A880:B880"/>
    <mergeCell ref="A881:B881"/>
    <mergeCell ref="A882:B882"/>
    <mergeCell ref="A883:B883"/>
    <mergeCell ref="A884:B884"/>
    <mergeCell ref="A885:B885"/>
    <mergeCell ref="A886:B886"/>
    <mergeCell ref="A887:B887"/>
    <mergeCell ref="A888:B888"/>
    <mergeCell ref="A889:B889"/>
    <mergeCell ref="A890:B890"/>
    <mergeCell ref="A891:B891"/>
    <mergeCell ref="A892:B892"/>
    <mergeCell ref="A893:B893"/>
    <mergeCell ref="A894:B894"/>
    <mergeCell ref="A895:B895"/>
    <mergeCell ref="A896:B896"/>
    <mergeCell ref="A897:B897"/>
    <mergeCell ref="A898:B898"/>
    <mergeCell ref="A899:B899"/>
    <mergeCell ref="A900:B900"/>
    <mergeCell ref="A901:B901"/>
    <mergeCell ref="A902:B902"/>
    <mergeCell ref="A903:B903"/>
    <mergeCell ref="A904:B904"/>
    <mergeCell ref="A905:B905"/>
    <mergeCell ref="A906:B906"/>
    <mergeCell ref="A907:B907"/>
    <mergeCell ref="A908:B908"/>
    <mergeCell ref="A909:B909"/>
    <mergeCell ref="A910:B910"/>
    <mergeCell ref="A911:B911"/>
    <mergeCell ref="A912:B912"/>
    <mergeCell ref="A913:B913"/>
    <mergeCell ref="A914:B914"/>
    <mergeCell ref="A915:B915"/>
    <mergeCell ref="A916:B916"/>
    <mergeCell ref="A917:B917"/>
    <mergeCell ref="A918:B918"/>
    <mergeCell ref="A919:B919"/>
    <mergeCell ref="A920:B920"/>
    <mergeCell ref="A921:B921"/>
    <mergeCell ref="A922:B922"/>
    <mergeCell ref="A923:B923"/>
    <mergeCell ref="A924:B924"/>
    <mergeCell ref="A925:B925"/>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39:B939"/>
    <mergeCell ref="A940:B940"/>
    <mergeCell ref="A941:B941"/>
    <mergeCell ref="A942:B942"/>
    <mergeCell ref="A999:B999"/>
    <mergeCell ref="A1000:B1000"/>
    <mergeCell ref="A1001:B1001"/>
    <mergeCell ref="A1002:B1002"/>
    <mergeCell ref="A992:B992"/>
    <mergeCell ref="A993:B993"/>
    <mergeCell ref="A994:B994"/>
    <mergeCell ref="A995:B995"/>
    <mergeCell ref="A996:B996"/>
    <mergeCell ref="A997:B997"/>
    <mergeCell ref="A998:B998"/>
    <mergeCell ref="A943:B943"/>
    <mergeCell ref="A944:B944"/>
    <mergeCell ref="A945:B945"/>
    <mergeCell ref="A946:B946"/>
    <mergeCell ref="A947:B947"/>
    <mergeCell ref="A948:B948"/>
    <mergeCell ref="A949:B949"/>
    <mergeCell ref="A950:B950"/>
    <mergeCell ref="A951:B951"/>
    <mergeCell ref="A952:B952"/>
    <mergeCell ref="A953:B953"/>
    <mergeCell ref="A954:B954"/>
    <mergeCell ref="A955:B955"/>
    <mergeCell ref="A956:B956"/>
    <mergeCell ref="A957:B957"/>
    <mergeCell ref="A958:B958"/>
    <mergeCell ref="A959:B959"/>
    <mergeCell ref="A960:B960"/>
    <mergeCell ref="A961:B961"/>
    <mergeCell ref="A962:B962"/>
    <mergeCell ref="A963:B963"/>
    <mergeCell ref="A964:B964"/>
    <mergeCell ref="A965:B965"/>
    <mergeCell ref="A966:B966"/>
    <mergeCell ref="A967:B967"/>
    <mergeCell ref="A968:B968"/>
    <mergeCell ref="A969:B969"/>
    <mergeCell ref="A970:B970"/>
    <mergeCell ref="A971:B971"/>
    <mergeCell ref="A972:B972"/>
    <mergeCell ref="A973:B973"/>
    <mergeCell ref="A974:B974"/>
    <mergeCell ref="A975:B975"/>
    <mergeCell ref="A976:B976"/>
    <mergeCell ref="A977:B977"/>
    <mergeCell ref="A978:B978"/>
    <mergeCell ref="A979:B979"/>
    <mergeCell ref="A980:B980"/>
    <mergeCell ref="A981:B981"/>
    <mergeCell ref="A982:B982"/>
    <mergeCell ref="A983:B983"/>
    <mergeCell ref="A984:B984"/>
    <mergeCell ref="A985:B985"/>
    <mergeCell ref="A986:B986"/>
    <mergeCell ref="A987:B987"/>
    <mergeCell ref="A988:B988"/>
    <mergeCell ref="A989:B989"/>
    <mergeCell ref="A990:B990"/>
    <mergeCell ref="A991:B991"/>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23:B423"/>
    <mergeCell ref="A424:B424"/>
    <mergeCell ref="A425:B425"/>
    <mergeCell ref="A426:B426"/>
    <mergeCell ref="A427:B427"/>
    <mergeCell ref="A428:B428"/>
    <mergeCell ref="A429:B429"/>
    <mergeCell ref="A430:B430"/>
    <mergeCell ref="A431:B431"/>
    <mergeCell ref="A432:B432"/>
    <mergeCell ref="A433:B433"/>
    <mergeCell ref="A434:B434"/>
    <mergeCell ref="A435:B435"/>
    <mergeCell ref="A436:B436"/>
    <mergeCell ref="A437:B437"/>
    <mergeCell ref="A438:B438"/>
    <mergeCell ref="A439:B439"/>
    <mergeCell ref="A440:B440"/>
    <mergeCell ref="A441:B441"/>
    <mergeCell ref="A442:B442"/>
    <mergeCell ref="A443:B443"/>
    <mergeCell ref="A444:B444"/>
    <mergeCell ref="A445:B445"/>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5:B505"/>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525:B525"/>
    <mergeCell ref="A526:B526"/>
    <mergeCell ref="A527:B527"/>
    <mergeCell ref="A528:B528"/>
    <mergeCell ref="A529:B529"/>
    <mergeCell ref="A530:B530"/>
    <mergeCell ref="A531:B531"/>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548:B548"/>
    <mergeCell ref="A549:B549"/>
    <mergeCell ref="A550:B550"/>
    <mergeCell ref="A551:B551"/>
    <mergeCell ref="A552:B552"/>
    <mergeCell ref="A553:B553"/>
    <mergeCell ref="A554:B554"/>
    <mergeCell ref="A555:B555"/>
    <mergeCell ref="A556:B556"/>
    <mergeCell ref="A557:B557"/>
    <mergeCell ref="A558:B558"/>
    <mergeCell ref="A559:B559"/>
    <mergeCell ref="A560:B560"/>
    <mergeCell ref="A561:B561"/>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575:B575"/>
    <mergeCell ref="A576:B576"/>
    <mergeCell ref="A577:B577"/>
    <mergeCell ref="A578:B578"/>
    <mergeCell ref="A579:B579"/>
    <mergeCell ref="A580:B580"/>
    <mergeCell ref="A581:B581"/>
    <mergeCell ref="A582:B582"/>
    <mergeCell ref="A583:B583"/>
    <mergeCell ref="A584:B584"/>
    <mergeCell ref="A585:B585"/>
    <mergeCell ref="A586:B586"/>
    <mergeCell ref="A587:B587"/>
    <mergeCell ref="A588:B588"/>
    <mergeCell ref="A589:B589"/>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3:B603"/>
    <mergeCell ref="A604:B604"/>
    <mergeCell ref="A605:B605"/>
    <mergeCell ref="A606:B606"/>
    <mergeCell ref="A607:B607"/>
    <mergeCell ref="A608:B608"/>
    <mergeCell ref="A609:B609"/>
    <mergeCell ref="A610:B610"/>
    <mergeCell ref="A611:B611"/>
    <mergeCell ref="A612:B612"/>
    <mergeCell ref="A613:B613"/>
    <mergeCell ref="A614:B614"/>
    <mergeCell ref="A615:B615"/>
    <mergeCell ref="A616:B616"/>
    <mergeCell ref="A617:B617"/>
    <mergeCell ref="A618:B618"/>
    <mergeCell ref="A619:B619"/>
    <mergeCell ref="A620:B620"/>
    <mergeCell ref="A621:B621"/>
    <mergeCell ref="A622:B622"/>
    <mergeCell ref="A623:B623"/>
    <mergeCell ref="A624:B624"/>
    <mergeCell ref="A625:B625"/>
    <mergeCell ref="A626:B626"/>
    <mergeCell ref="A627:B627"/>
    <mergeCell ref="A628:B628"/>
    <mergeCell ref="A629:B629"/>
    <mergeCell ref="A630:B630"/>
    <mergeCell ref="A631:B631"/>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5:B645"/>
    <mergeCell ref="A646:B646"/>
    <mergeCell ref="A647:B647"/>
    <mergeCell ref="A648:B648"/>
    <mergeCell ref="A649:B649"/>
    <mergeCell ref="A650:B650"/>
    <mergeCell ref="A651:B651"/>
    <mergeCell ref="A652:B652"/>
    <mergeCell ref="A653:B653"/>
    <mergeCell ref="A654:B654"/>
    <mergeCell ref="A655:B655"/>
    <mergeCell ref="A656:B656"/>
    <mergeCell ref="A657:B657"/>
    <mergeCell ref="A658:B658"/>
    <mergeCell ref="A659:B659"/>
    <mergeCell ref="A660:B660"/>
    <mergeCell ref="A661:B661"/>
    <mergeCell ref="A662:B662"/>
    <mergeCell ref="A663:B663"/>
    <mergeCell ref="A664:B664"/>
    <mergeCell ref="A665:B665"/>
    <mergeCell ref="A666:B666"/>
    <mergeCell ref="A667:B667"/>
    <mergeCell ref="A668:B668"/>
    <mergeCell ref="A669:B669"/>
    <mergeCell ref="A670:B670"/>
    <mergeCell ref="A671:B671"/>
    <mergeCell ref="A672:B672"/>
    <mergeCell ref="A673:B673"/>
    <mergeCell ref="A674:B674"/>
    <mergeCell ref="A675:B675"/>
    <mergeCell ref="A676:B676"/>
    <mergeCell ref="A677:B677"/>
    <mergeCell ref="A678:B678"/>
    <mergeCell ref="A679:B679"/>
    <mergeCell ref="A680:B680"/>
    <mergeCell ref="A681:B681"/>
    <mergeCell ref="A682:B682"/>
    <mergeCell ref="A683:B683"/>
    <mergeCell ref="A684:B684"/>
    <mergeCell ref="A685:B685"/>
    <mergeCell ref="A686:B686"/>
    <mergeCell ref="A687:B687"/>
    <mergeCell ref="A688:B688"/>
    <mergeCell ref="A689:B689"/>
    <mergeCell ref="A690:B690"/>
    <mergeCell ref="A691:B691"/>
    <mergeCell ref="A692:B692"/>
    <mergeCell ref="A693:B693"/>
    <mergeCell ref="A694:B694"/>
    <mergeCell ref="A695:B695"/>
    <mergeCell ref="A696:B696"/>
    <mergeCell ref="A697:B697"/>
    <mergeCell ref="A698:B698"/>
    <mergeCell ref="A699:B699"/>
    <mergeCell ref="A700:B700"/>
    <mergeCell ref="A701:B701"/>
    <mergeCell ref="A702:B702"/>
    <mergeCell ref="A703:B703"/>
    <mergeCell ref="A704:B704"/>
    <mergeCell ref="A705:B705"/>
    <mergeCell ref="A706:B706"/>
    <mergeCell ref="A707:B707"/>
    <mergeCell ref="A708:B708"/>
    <mergeCell ref="A709:B709"/>
    <mergeCell ref="A710:B710"/>
    <mergeCell ref="A711:B711"/>
    <mergeCell ref="A712:B712"/>
    <mergeCell ref="A713:B713"/>
    <mergeCell ref="A714:B714"/>
    <mergeCell ref="A715:B715"/>
    <mergeCell ref="A716:B716"/>
    <mergeCell ref="A717:B717"/>
    <mergeCell ref="A718:B718"/>
    <mergeCell ref="A719:B719"/>
    <mergeCell ref="A720:B720"/>
    <mergeCell ref="A721:B721"/>
    <mergeCell ref="A722:B722"/>
    <mergeCell ref="A723:B723"/>
    <mergeCell ref="A724:B724"/>
    <mergeCell ref="A725:B725"/>
    <mergeCell ref="A726:B726"/>
    <mergeCell ref="A727:B727"/>
    <mergeCell ref="A728:B728"/>
    <mergeCell ref="A729:B729"/>
    <mergeCell ref="A730:B730"/>
    <mergeCell ref="A731:B731"/>
    <mergeCell ref="A732:B732"/>
    <mergeCell ref="A733:B733"/>
    <mergeCell ref="A734:B734"/>
    <mergeCell ref="A735:B735"/>
    <mergeCell ref="A736:B736"/>
    <mergeCell ref="A737:B737"/>
    <mergeCell ref="A738:B738"/>
    <mergeCell ref="A739:B739"/>
    <mergeCell ref="A740:B740"/>
    <mergeCell ref="A741:B741"/>
    <mergeCell ref="A742:B742"/>
    <mergeCell ref="A743:B743"/>
    <mergeCell ref="A744:B744"/>
    <mergeCell ref="A745:B745"/>
    <mergeCell ref="A746:B746"/>
    <mergeCell ref="P208:Q208"/>
    <mergeCell ref="P209:Q209"/>
    <mergeCell ref="P210:Q210"/>
    <mergeCell ref="S204:T204"/>
    <mergeCell ref="S205:T205"/>
    <mergeCell ref="P206:Q206"/>
    <mergeCell ref="S206:T206"/>
    <mergeCell ref="P207:Q207"/>
    <mergeCell ref="S207:T207"/>
    <mergeCell ref="S208:T208"/>
    <mergeCell ref="P213:Q213"/>
    <mergeCell ref="P214:Q214"/>
    <mergeCell ref="P215:Q215"/>
    <mergeCell ref="S209:T209"/>
    <mergeCell ref="S210:T210"/>
    <mergeCell ref="P211:Q211"/>
    <mergeCell ref="S211:T211"/>
    <mergeCell ref="P212:Q212"/>
    <mergeCell ref="S212:T212"/>
    <mergeCell ref="S213:T213"/>
    <mergeCell ref="P218:Q218"/>
    <mergeCell ref="P219:Q219"/>
    <mergeCell ref="P220:Q220"/>
    <mergeCell ref="S214:T214"/>
    <mergeCell ref="S215:T215"/>
    <mergeCell ref="P216:Q216"/>
    <mergeCell ref="S216:T216"/>
    <mergeCell ref="P217:Q217"/>
    <mergeCell ref="S217:T217"/>
    <mergeCell ref="S218:T218"/>
    <mergeCell ref="P223:Q223"/>
    <mergeCell ref="P224:Q224"/>
    <mergeCell ref="P225:Q225"/>
    <mergeCell ref="S219:T219"/>
    <mergeCell ref="S220:T220"/>
    <mergeCell ref="P221:Q221"/>
    <mergeCell ref="S221:T221"/>
    <mergeCell ref="P222:Q222"/>
    <mergeCell ref="S222:T222"/>
    <mergeCell ref="S223:T223"/>
    <mergeCell ref="P228:Q228"/>
    <mergeCell ref="P229:Q229"/>
    <mergeCell ref="P230:Q230"/>
    <mergeCell ref="S224:T224"/>
    <mergeCell ref="S225:T225"/>
    <mergeCell ref="P226:Q226"/>
    <mergeCell ref="S226:T226"/>
    <mergeCell ref="P227:Q227"/>
    <mergeCell ref="S227:T227"/>
    <mergeCell ref="S228:T228"/>
    <mergeCell ref="P233:Q233"/>
    <mergeCell ref="P234:Q234"/>
    <mergeCell ref="P235:Q235"/>
    <mergeCell ref="S229:T229"/>
    <mergeCell ref="S230:T230"/>
    <mergeCell ref="P231:Q231"/>
    <mergeCell ref="S231:T231"/>
    <mergeCell ref="P232:Q232"/>
    <mergeCell ref="S232:T232"/>
    <mergeCell ref="S233:T233"/>
    <mergeCell ref="P238:Q238"/>
    <mergeCell ref="P239:Q239"/>
    <mergeCell ref="P240:Q240"/>
    <mergeCell ref="S234:T234"/>
    <mergeCell ref="S235:T235"/>
    <mergeCell ref="P236:Q236"/>
    <mergeCell ref="S236:T236"/>
    <mergeCell ref="P237:Q237"/>
    <mergeCell ref="S237:T237"/>
    <mergeCell ref="S238:T238"/>
    <mergeCell ref="P243:Q243"/>
    <mergeCell ref="P244:Q244"/>
    <mergeCell ref="P245:Q245"/>
    <mergeCell ref="S239:T239"/>
    <mergeCell ref="S240:T240"/>
    <mergeCell ref="P241:Q241"/>
    <mergeCell ref="S241:T241"/>
    <mergeCell ref="P242:Q242"/>
    <mergeCell ref="S242:T242"/>
    <mergeCell ref="S243:T243"/>
    <mergeCell ref="P248:Q248"/>
    <mergeCell ref="P249:Q249"/>
    <mergeCell ref="P250:Q250"/>
    <mergeCell ref="S244:T244"/>
    <mergeCell ref="S245:T245"/>
    <mergeCell ref="P246:Q246"/>
    <mergeCell ref="S246:T246"/>
    <mergeCell ref="P247:Q247"/>
    <mergeCell ref="S247:T247"/>
    <mergeCell ref="S248:T248"/>
    <mergeCell ref="P253:Q253"/>
    <mergeCell ref="P254:Q254"/>
    <mergeCell ref="P255:Q255"/>
    <mergeCell ref="S249:T249"/>
    <mergeCell ref="S250:T250"/>
    <mergeCell ref="P251:Q251"/>
    <mergeCell ref="S251:T251"/>
    <mergeCell ref="P252:Q252"/>
    <mergeCell ref="S252:T252"/>
    <mergeCell ref="S253:T253"/>
    <mergeCell ref="P258:Q258"/>
    <mergeCell ref="P259:Q259"/>
    <mergeCell ref="P260:Q260"/>
    <mergeCell ref="S254:T254"/>
    <mergeCell ref="S255:T255"/>
    <mergeCell ref="P256:Q256"/>
    <mergeCell ref="S256:T256"/>
    <mergeCell ref="P257:Q257"/>
    <mergeCell ref="S257:T257"/>
    <mergeCell ref="S258:T258"/>
    <mergeCell ref="P263:Q263"/>
    <mergeCell ref="P264:Q264"/>
    <mergeCell ref="P265:Q265"/>
    <mergeCell ref="S259:T259"/>
    <mergeCell ref="S260:T260"/>
    <mergeCell ref="P261:Q261"/>
    <mergeCell ref="S261:T261"/>
    <mergeCell ref="P262:Q262"/>
    <mergeCell ref="S262:T262"/>
    <mergeCell ref="S263:T263"/>
    <mergeCell ref="P268:Q268"/>
    <mergeCell ref="P269:Q269"/>
    <mergeCell ref="P270:Q270"/>
    <mergeCell ref="S264:T264"/>
    <mergeCell ref="S265:T265"/>
    <mergeCell ref="P266:Q266"/>
    <mergeCell ref="S266:T266"/>
    <mergeCell ref="P267:Q267"/>
    <mergeCell ref="S267:T267"/>
    <mergeCell ref="S268:T268"/>
    <mergeCell ref="P273:Q273"/>
    <mergeCell ref="P274:Q274"/>
    <mergeCell ref="P275:Q275"/>
    <mergeCell ref="S269:T269"/>
    <mergeCell ref="S270:T270"/>
    <mergeCell ref="P271:Q271"/>
    <mergeCell ref="S271:T271"/>
    <mergeCell ref="P272:Q272"/>
    <mergeCell ref="S272:T272"/>
    <mergeCell ref="S273:T273"/>
    <mergeCell ref="P278:Q278"/>
    <mergeCell ref="P279:Q279"/>
    <mergeCell ref="P280:Q280"/>
    <mergeCell ref="S274:T274"/>
    <mergeCell ref="S275:T275"/>
    <mergeCell ref="P276:Q276"/>
    <mergeCell ref="S276:T276"/>
    <mergeCell ref="P277:Q277"/>
    <mergeCell ref="S277:T277"/>
    <mergeCell ref="S278:T278"/>
    <mergeCell ref="P283:Q283"/>
    <mergeCell ref="P284:Q284"/>
    <mergeCell ref="P285:Q285"/>
    <mergeCell ref="S279:T279"/>
    <mergeCell ref="S280:T280"/>
    <mergeCell ref="P281:Q281"/>
    <mergeCell ref="S281:T281"/>
    <mergeCell ref="P282:Q282"/>
    <mergeCell ref="S282:T282"/>
    <mergeCell ref="S283:T283"/>
    <mergeCell ref="P288:Q288"/>
    <mergeCell ref="P289:Q289"/>
    <mergeCell ref="P290:Q290"/>
    <mergeCell ref="S284:T284"/>
    <mergeCell ref="S285:T285"/>
    <mergeCell ref="P286:Q286"/>
    <mergeCell ref="S286:T286"/>
    <mergeCell ref="P287:Q287"/>
    <mergeCell ref="S287:T287"/>
    <mergeCell ref="S288:T288"/>
    <mergeCell ref="P293:Q293"/>
    <mergeCell ref="P294:Q294"/>
    <mergeCell ref="P295:Q295"/>
    <mergeCell ref="S289:T289"/>
    <mergeCell ref="S290:T290"/>
    <mergeCell ref="P291:Q291"/>
    <mergeCell ref="S291:T291"/>
    <mergeCell ref="P292:Q292"/>
    <mergeCell ref="S292:T292"/>
    <mergeCell ref="S293:T293"/>
    <mergeCell ref="P298:Q298"/>
    <mergeCell ref="P299:Q299"/>
    <mergeCell ref="P300:Q300"/>
    <mergeCell ref="S294:T294"/>
    <mergeCell ref="S295:T295"/>
    <mergeCell ref="P296:Q296"/>
    <mergeCell ref="S296:T296"/>
    <mergeCell ref="P297:Q297"/>
    <mergeCell ref="S297:T297"/>
    <mergeCell ref="S298:T298"/>
    <mergeCell ref="P303:Q303"/>
    <mergeCell ref="P304:Q304"/>
    <mergeCell ref="P305:Q305"/>
    <mergeCell ref="S299:T299"/>
    <mergeCell ref="S300:T300"/>
    <mergeCell ref="P301:Q301"/>
    <mergeCell ref="S301:T301"/>
    <mergeCell ref="P302:Q302"/>
    <mergeCell ref="S302:T302"/>
    <mergeCell ref="S303:T303"/>
    <mergeCell ref="P308:Q308"/>
    <mergeCell ref="P309:Q309"/>
    <mergeCell ref="P310:Q310"/>
    <mergeCell ref="S304:T304"/>
    <mergeCell ref="S305:T305"/>
    <mergeCell ref="P306:Q306"/>
    <mergeCell ref="S306:T306"/>
    <mergeCell ref="P307:Q307"/>
    <mergeCell ref="S307:T307"/>
    <mergeCell ref="S308:T308"/>
    <mergeCell ref="P313:Q313"/>
    <mergeCell ref="P314:Q314"/>
    <mergeCell ref="P315:Q315"/>
    <mergeCell ref="S309:T309"/>
    <mergeCell ref="S310:T310"/>
    <mergeCell ref="P311:Q311"/>
    <mergeCell ref="S311:T311"/>
    <mergeCell ref="P312:Q312"/>
    <mergeCell ref="S312:T312"/>
    <mergeCell ref="S313:T313"/>
    <mergeCell ref="P318:Q318"/>
    <mergeCell ref="P319:Q319"/>
    <mergeCell ref="P320:Q320"/>
    <mergeCell ref="S314:T314"/>
    <mergeCell ref="S315:T315"/>
    <mergeCell ref="P316:Q316"/>
    <mergeCell ref="S316:T316"/>
    <mergeCell ref="P317:Q317"/>
    <mergeCell ref="S317:T317"/>
    <mergeCell ref="S318:T318"/>
    <mergeCell ref="P323:Q323"/>
    <mergeCell ref="P324:Q324"/>
    <mergeCell ref="P325:Q325"/>
    <mergeCell ref="S319:T319"/>
    <mergeCell ref="S320:T320"/>
    <mergeCell ref="P321:Q321"/>
    <mergeCell ref="S321:T321"/>
    <mergeCell ref="P322:Q322"/>
    <mergeCell ref="S322:T322"/>
    <mergeCell ref="S323:T323"/>
    <mergeCell ref="P328:Q328"/>
    <mergeCell ref="P329:Q329"/>
    <mergeCell ref="P330:Q330"/>
    <mergeCell ref="S324:T324"/>
    <mergeCell ref="S325:T325"/>
    <mergeCell ref="P326:Q326"/>
    <mergeCell ref="S326:T326"/>
    <mergeCell ref="P327:Q327"/>
    <mergeCell ref="S327:T327"/>
    <mergeCell ref="S328:T328"/>
    <mergeCell ref="P333:Q333"/>
    <mergeCell ref="P334:Q334"/>
    <mergeCell ref="P335:Q335"/>
    <mergeCell ref="S329:T329"/>
    <mergeCell ref="S330:T330"/>
    <mergeCell ref="P331:Q331"/>
    <mergeCell ref="S331:T331"/>
    <mergeCell ref="P332:Q332"/>
    <mergeCell ref="S332:T332"/>
    <mergeCell ref="S333:T333"/>
    <mergeCell ref="P338:Q338"/>
    <mergeCell ref="P339:Q339"/>
    <mergeCell ref="P340:Q340"/>
    <mergeCell ref="S334:T334"/>
    <mergeCell ref="S335:T335"/>
    <mergeCell ref="P336:Q336"/>
    <mergeCell ref="S336:T336"/>
    <mergeCell ref="P337:Q337"/>
    <mergeCell ref="S337:T337"/>
    <mergeCell ref="S338:T338"/>
    <mergeCell ref="P343:Q343"/>
    <mergeCell ref="P344:Q344"/>
    <mergeCell ref="P345:Q345"/>
    <mergeCell ref="S339:T339"/>
    <mergeCell ref="S340:T340"/>
    <mergeCell ref="P341:Q341"/>
    <mergeCell ref="S341:T341"/>
    <mergeCell ref="P342:Q342"/>
    <mergeCell ref="S342:T342"/>
    <mergeCell ref="S343:T343"/>
    <mergeCell ref="P348:Q348"/>
    <mergeCell ref="P349:Q349"/>
    <mergeCell ref="P350:Q350"/>
    <mergeCell ref="S344:T344"/>
    <mergeCell ref="S345:T345"/>
    <mergeCell ref="P346:Q346"/>
    <mergeCell ref="S346:T346"/>
    <mergeCell ref="P347:Q347"/>
    <mergeCell ref="S347:T347"/>
    <mergeCell ref="S348:T348"/>
    <mergeCell ref="P353:Q353"/>
    <mergeCell ref="P354:Q354"/>
    <mergeCell ref="P355:Q355"/>
    <mergeCell ref="S349:T349"/>
    <mergeCell ref="S350:T350"/>
    <mergeCell ref="P351:Q351"/>
    <mergeCell ref="S351:T351"/>
    <mergeCell ref="P352:Q352"/>
    <mergeCell ref="S352:T352"/>
    <mergeCell ref="S353:T353"/>
    <mergeCell ref="P358:Q358"/>
    <mergeCell ref="P359:Q359"/>
    <mergeCell ref="P360:Q360"/>
    <mergeCell ref="S354:T354"/>
    <mergeCell ref="S355:T355"/>
    <mergeCell ref="P356:Q356"/>
    <mergeCell ref="S356:T356"/>
    <mergeCell ref="P357:Q357"/>
    <mergeCell ref="S357:T357"/>
    <mergeCell ref="S358:T358"/>
    <mergeCell ref="P363:Q363"/>
    <mergeCell ref="P364:Q364"/>
    <mergeCell ref="P365:Q365"/>
    <mergeCell ref="S359:T359"/>
    <mergeCell ref="S360:T360"/>
    <mergeCell ref="P361:Q361"/>
    <mergeCell ref="S361:T361"/>
    <mergeCell ref="P362:Q362"/>
    <mergeCell ref="S362:T362"/>
    <mergeCell ref="S363:T363"/>
    <mergeCell ref="P368:Q368"/>
    <mergeCell ref="P369:Q369"/>
    <mergeCell ref="P370:Q370"/>
    <mergeCell ref="S364:T364"/>
    <mergeCell ref="S365:T365"/>
    <mergeCell ref="P366:Q366"/>
    <mergeCell ref="S366:T366"/>
    <mergeCell ref="P367:Q367"/>
    <mergeCell ref="S367:T367"/>
    <mergeCell ref="S368:T368"/>
    <mergeCell ref="P373:Q373"/>
    <mergeCell ref="P374:Q374"/>
    <mergeCell ref="P375:Q375"/>
    <mergeCell ref="S369:T369"/>
    <mergeCell ref="S370:T370"/>
    <mergeCell ref="P371:Q371"/>
    <mergeCell ref="S371:T371"/>
    <mergeCell ref="P372:Q372"/>
    <mergeCell ref="S372:T372"/>
    <mergeCell ref="S373:T373"/>
    <mergeCell ref="P378:Q378"/>
    <mergeCell ref="P379:Q379"/>
    <mergeCell ref="P380:Q380"/>
    <mergeCell ref="S374:T374"/>
    <mergeCell ref="S375:T375"/>
    <mergeCell ref="P376:Q376"/>
    <mergeCell ref="S376:T376"/>
    <mergeCell ref="P377:Q377"/>
    <mergeCell ref="S377:T377"/>
    <mergeCell ref="S378:T378"/>
    <mergeCell ref="P383:Q383"/>
    <mergeCell ref="P384:Q384"/>
    <mergeCell ref="P385:Q385"/>
    <mergeCell ref="S379:T379"/>
    <mergeCell ref="S380:T380"/>
    <mergeCell ref="P381:Q381"/>
    <mergeCell ref="S381:T381"/>
    <mergeCell ref="P382:Q382"/>
    <mergeCell ref="S382:T382"/>
    <mergeCell ref="S383:T383"/>
    <mergeCell ref="P388:Q388"/>
    <mergeCell ref="P389:Q389"/>
    <mergeCell ref="P390:Q390"/>
    <mergeCell ref="S384:T384"/>
    <mergeCell ref="S385:T385"/>
    <mergeCell ref="P386:Q386"/>
    <mergeCell ref="S386:T386"/>
    <mergeCell ref="P387:Q387"/>
    <mergeCell ref="S387:T387"/>
    <mergeCell ref="S388:T388"/>
    <mergeCell ref="P393:Q393"/>
    <mergeCell ref="P394:Q394"/>
    <mergeCell ref="P395:Q395"/>
    <mergeCell ref="S389:T389"/>
    <mergeCell ref="S390:T390"/>
    <mergeCell ref="P391:Q391"/>
    <mergeCell ref="S391:T391"/>
    <mergeCell ref="P392:Q392"/>
    <mergeCell ref="S392:T392"/>
    <mergeCell ref="S393:T393"/>
    <mergeCell ref="P398:Q398"/>
    <mergeCell ref="P399:Q399"/>
    <mergeCell ref="P400:Q400"/>
    <mergeCell ref="S394:T394"/>
    <mergeCell ref="S395:T395"/>
    <mergeCell ref="P396:Q396"/>
    <mergeCell ref="S396:T396"/>
    <mergeCell ref="P397:Q397"/>
    <mergeCell ref="S397:T397"/>
    <mergeCell ref="S398:T398"/>
    <mergeCell ref="P403:Q403"/>
    <mergeCell ref="P404:Q404"/>
    <mergeCell ref="P405:Q405"/>
    <mergeCell ref="S399:T399"/>
    <mergeCell ref="S400:T400"/>
    <mergeCell ref="P401:Q401"/>
    <mergeCell ref="S401:T401"/>
    <mergeCell ref="P402:Q402"/>
    <mergeCell ref="S402:T402"/>
    <mergeCell ref="S403:T403"/>
    <mergeCell ref="P408:Q408"/>
    <mergeCell ref="P409:Q409"/>
    <mergeCell ref="P410:Q410"/>
    <mergeCell ref="S404:T404"/>
    <mergeCell ref="S405:T405"/>
    <mergeCell ref="P406:Q406"/>
    <mergeCell ref="S406:T406"/>
    <mergeCell ref="P407:Q407"/>
    <mergeCell ref="S407:T407"/>
    <mergeCell ref="S408:T408"/>
    <mergeCell ref="P413:Q413"/>
    <mergeCell ref="P414:Q414"/>
    <mergeCell ref="P415:Q415"/>
    <mergeCell ref="S409:T409"/>
    <mergeCell ref="S410:T410"/>
    <mergeCell ref="P411:Q411"/>
    <mergeCell ref="S411:T411"/>
    <mergeCell ref="P412:Q412"/>
    <mergeCell ref="S412:T412"/>
    <mergeCell ref="S413:T413"/>
    <mergeCell ref="P418:Q418"/>
    <mergeCell ref="P419:Q419"/>
    <mergeCell ref="P420:Q420"/>
    <mergeCell ref="S414:T414"/>
    <mergeCell ref="S415:T415"/>
    <mergeCell ref="P416:Q416"/>
    <mergeCell ref="S416:T416"/>
    <mergeCell ref="P417:Q417"/>
    <mergeCell ref="S417:T417"/>
    <mergeCell ref="S418:T418"/>
    <mergeCell ref="P423:Q423"/>
    <mergeCell ref="P424:Q424"/>
    <mergeCell ref="P425:Q425"/>
    <mergeCell ref="S419:T419"/>
    <mergeCell ref="S420:T420"/>
    <mergeCell ref="P421:Q421"/>
    <mergeCell ref="S421:T421"/>
    <mergeCell ref="P422:Q422"/>
    <mergeCell ref="S422:T422"/>
    <mergeCell ref="S423:T423"/>
    <mergeCell ref="P428:Q428"/>
    <mergeCell ref="P429:Q429"/>
    <mergeCell ref="P430:Q430"/>
    <mergeCell ref="S424:T424"/>
    <mergeCell ref="S425:T425"/>
    <mergeCell ref="P426:Q426"/>
    <mergeCell ref="S426:T426"/>
    <mergeCell ref="P427:Q427"/>
    <mergeCell ref="S427:T427"/>
    <mergeCell ref="S428:T428"/>
    <mergeCell ref="P433:Q433"/>
    <mergeCell ref="P434:Q434"/>
    <mergeCell ref="P435:Q435"/>
    <mergeCell ref="S429:T429"/>
    <mergeCell ref="S430:T430"/>
    <mergeCell ref="P431:Q431"/>
    <mergeCell ref="S431:T431"/>
    <mergeCell ref="P432:Q432"/>
    <mergeCell ref="S432:T432"/>
    <mergeCell ref="S433:T433"/>
    <mergeCell ref="P438:Q438"/>
    <mergeCell ref="P439:Q439"/>
    <mergeCell ref="P440:Q440"/>
    <mergeCell ref="S434:T434"/>
    <mergeCell ref="S435:T435"/>
    <mergeCell ref="P436:Q436"/>
    <mergeCell ref="S436:T436"/>
    <mergeCell ref="P437:Q437"/>
    <mergeCell ref="S437:T437"/>
    <mergeCell ref="S438:T438"/>
    <mergeCell ref="P443:Q443"/>
    <mergeCell ref="P444:Q444"/>
    <mergeCell ref="P445:Q445"/>
    <mergeCell ref="S439:T439"/>
    <mergeCell ref="S440:T440"/>
    <mergeCell ref="P441:Q441"/>
    <mergeCell ref="S441:T441"/>
    <mergeCell ref="P442:Q442"/>
    <mergeCell ref="S442:T442"/>
    <mergeCell ref="S443:T443"/>
    <mergeCell ref="P448:Q448"/>
    <mergeCell ref="P449:Q449"/>
    <mergeCell ref="P450:Q450"/>
    <mergeCell ref="S444:T444"/>
    <mergeCell ref="S445:T445"/>
    <mergeCell ref="P446:Q446"/>
    <mergeCell ref="S446:T446"/>
    <mergeCell ref="P447:Q447"/>
    <mergeCell ref="S447:T447"/>
    <mergeCell ref="S448:T448"/>
    <mergeCell ref="D347:E347"/>
    <mergeCell ref="D348:E348"/>
    <mergeCell ref="D349:E349"/>
    <mergeCell ref="G343:H343"/>
    <mergeCell ref="G344:H344"/>
    <mergeCell ref="D345:E345"/>
    <mergeCell ref="G345:H345"/>
    <mergeCell ref="D346:E346"/>
    <mergeCell ref="G346:H346"/>
    <mergeCell ref="G347:H347"/>
    <mergeCell ref="G348:H348"/>
    <mergeCell ref="G349:H349"/>
    <mergeCell ref="D350:E350"/>
    <mergeCell ref="G350:H350"/>
    <mergeCell ref="D351:E351"/>
    <mergeCell ref="G351:H351"/>
    <mergeCell ref="G352:H352"/>
    <mergeCell ref="G396:H396"/>
    <mergeCell ref="G397:H397"/>
    <mergeCell ref="D352:E352"/>
    <mergeCell ref="D353:E353"/>
    <mergeCell ref="D354:E354"/>
    <mergeCell ref="D395:E395"/>
    <mergeCell ref="G395:H395"/>
    <mergeCell ref="D396:E396"/>
    <mergeCell ref="D397:E397"/>
    <mergeCell ref="D398:E398"/>
    <mergeCell ref="G398:H398"/>
    <mergeCell ref="D399:E399"/>
    <mergeCell ref="G399:H399"/>
    <mergeCell ref="D400:E400"/>
    <mergeCell ref="G400:H400"/>
    <mergeCell ref="G401:H401"/>
    <mergeCell ref="D401:E401"/>
    <mergeCell ref="D402:E402"/>
    <mergeCell ref="D403:E403"/>
    <mergeCell ref="D404:E404"/>
    <mergeCell ref="D405:E405"/>
    <mergeCell ref="D406:E406"/>
    <mergeCell ref="D407:E407"/>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856:H856"/>
    <mergeCell ref="G857:H857"/>
    <mergeCell ref="G849:H849"/>
    <mergeCell ref="G850:H850"/>
    <mergeCell ref="G851:H851"/>
    <mergeCell ref="G852:H852"/>
    <mergeCell ref="G853:H853"/>
    <mergeCell ref="G854:H854"/>
    <mergeCell ref="G855:H855"/>
    <mergeCell ref="G481:H481"/>
    <mergeCell ref="G482:H482"/>
    <mergeCell ref="G483:H483"/>
    <mergeCell ref="G484:H484"/>
    <mergeCell ref="G485:H485"/>
    <mergeCell ref="G486:H486"/>
    <mergeCell ref="G487:H487"/>
    <mergeCell ref="G488:H488"/>
    <mergeCell ref="G489:H489"/>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D858:E858"/>
    <mergeCell ref="G858:H858"/>
    <mergeCell ref="G859:H859"/>
    <mergeCell ref="G860:H860"/>
    <mergeCell ref="G861:H861"/>
    <mergeCell ref="G862:H862"/>
    <mergeCell ref="G863:H863"/>
    <mergeCell ref="D859:E859"/>
    <mergeCell ref="D860:E860"/>
    <mergeCell ref="D861:E861"/>
    <mergeCell ref="D862:E862"/>
    <mergeCell ref="D863:E863"/>
    <mergeCell ref="D864:E864"/>
    <mergeCell ref="D865:E865"/>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D964:E964"/>
    <mergeCell ref="D965:E965"/>
    <mergeCell ref="D966:E966"/>
    <mergeCell ref="D967:E967"/>
    <mergeCell ref="D968:E968"/>
    <mergeCell ref="D969:E969"/>
    <mergeCell ref="D970:E970"/>
    <mergeCell ref="D971:E971"/>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89:E989"/>
    <mergeCell ref="D990:E990"/>
    <mergeCell ref="D991:E991"/>
    <mergeCell ref="D999:E999"/>
    <mergeCell ref="D1000:E1000"/>
    <mergeCell ref="D1001:E1001"/>
    <mergeCell ref="D1002:E1002"/>
    <mergeCell ref="D992:E992"/>
    <mergeCell ref="D993:E993"/>
    <mergeCell ref="D994:E994"/>
    <mergeCell ref="D995:E995"/>
    <mergeCell ref="D996:E996"/>
    <mergeCell ref="D997:E997"/>
    <mergeCell ref="D998:E998"/>
    <mergeCell ref="D915:E915"/>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7:H997"/>
    <mergeCell ref="G998:H998"/>
    <mergeCell ref="G999:H999"/>
    <mergeCell ref="G1000:H1000"/>
    <mergeCell ref="G1001:H1001"/>
    <mergeCell ref="G1002:H1002"/>
    <mergeCell ref="G990:H990"/>
    <mergeCell ref="G991:H991"/>
    <mergeCell ref="G992:H992"/>
    <mergeCell ref="G993:H993"/>
    <mergeCell ref="G994:H994"/>
    <mergeCell ref="G995:H995"/>
    <mergeCell ref="G996:H99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D322:E322"/>
    <mergeCell ref="D323:E323"/>
    <mergeCell ref="D324:E324"/>
    <mergeCell ref="G318:H318"/>
    <mergeCell ref="G319:H319"/>
    <mergeCell ref="D320:E320"/>
    <mergeCell ref="G320:H320"/>
    <mergeCell ref="D321:E321"/>
    <mergeCell ref="G321:H321"/>
    <mergeCell ref="G322:H322"/>
    <mergeCell ref="D327:E327"/>
    <mergeCell ref="D328:E328"/>
    <mergeCell ref="D329:E329"/>
    <mergeCell ref="G323:H323"/>
    <mergeCell ref="G324:H324"/>
    <mergeCell ref="D325:E325"/>
    <mergeCell ref="G325:H325"/>
    <mergeCell ref="D326:E326"/>
    <mergeCell ref="G326:H326"/>
    <mergeCell ref="G327:H327"/>
    <mergeCell ref="D332:E332"/>
    <mergeCell ref="D333:E333"/>
    <mergeCell ref="D334:E334"/>
    <mergeCell ref="G328:H328"/>
    <mergeCell ref="G329:H329"/>
    <mergeCell ref="D330:E330"/>
    <mergeCell ref="G330:H330"/>
    <mergeCell ref="D331:E331"/>
    <mergeCell ref="G331:H331"/>
    <mergeCell ref="G332:H332"/>
    <mergeCell ref="D337:E337"/>
    <mergeCell ref="D338:E338"/>
    <mergeCell ref="D339:E339"/>
    <mergeCell ref="G333:H333"/>
    <mergeCell ref="G334:H334"/>
    <mergeCell ref="D335:E335"/>
    <mergeCell ref="G335:H335"/>
    <mergeCell ref="D336:E336"/>
    <mergeCell ref="G336:H336"/>
    <mergeCell ref="G337:H337"/>
    <mergeCell ref="D342:E342"/>
    <mergeCell ref="D343:E343"/>
    <mergeCell ref="D344:E344"/>
    <mergeCell ref="G338:H338"/>
    <mergeCell ref="G339:H339"/>
    <mergeCell ref="D340:E340"/>
    <mergeCell ref="G340:H340"/>
    <mergeCell ref="D341:E341"/>
    <mergeCell ref="G341:H341"/>
    <mergeCell ref="G342:H342"/>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P453:Q453"/>
    <mergeCell ref="P454:Q454"/>
    <mergeCell ref="P455:Q455"/>
    <mergeCell ref="S449:T449"/>
    <mergeCell ref="S450:T450"/>
    <mergeCell ref="P451:Q451"/>
    <mergeCell ref="S451:T451"/>
    <mergeCell ref="P452:Q452"/>
    <mergeCell ref="S452:T452"/>
    <mergeCell ref="S453:T453"/>
    <mergeCell ref="P458:Q458"/>
    <mergeCell ref="P459:Q459"/>
    <mergeCell ref="P460:Q460"/>
    <mergeCell ref="S454:T454"/>
    <mergeCell ref="S455:T455"/>
    <mergeCell ref="P456:Q456"/>
    <mergeCell ref="S456:T456"/>
    <mergeCell ref="P457:Q457"/>
    <mergeCell ref="S457:T457"/>
    <mergeCell ref="S458:T458"/>
    <mergeCell ref="P463:Q463"/>
    <mergeCell ref="P464:Q464"/>
    <mergeCell ref="P465:Q465"/>
    <mergeCell ref="S459:T459"/>
    <mergeCell ref="S460:T460"/>
    <mergeCell ref="P461:Q461"/>
    <mergeCell ref="S461:T461"/>
    <mergeCell ref="P462:Q462"/>
    <mergeCell ref="S462:T462"/>
    <mergeCell ref="S463:T463"/>
    <mergeCell ref="P468:Q468"/>
    <mergeCell ref="P469:Q469"/>
    <mergeCell ref="P470:Q470"/>
    <mergeCell ref="S464:T464"/>
    <mergeCell ref="S465:T465"/>
    <mergeCell ref="P466:Q466"/>
    <mergeCell ref="S466:T466"/>
    <mergeCell ref="P467:Q467"/>
    <mergeCell ref="S467:T467"/>
    <mergeCell ref="S468:T468"/>
    <mergeCell ref="P473:Q473"/>
    <mergeCell ref="P474:Q474"/>
    <mergeCell ref="P475:Q475"/>
    <mergeCell ref="S469:T469"/>
    <mergeCell ref="S470:T470"/>
    <mergeCell ref="P471:Q471"/>
    <mergeCell ref="S471:T471"/>
    <mergeCell ref="P472:Q472"/>
    <mergeCell ref="S472:T472"/>
    <mergeCell ref="S473:T473"/>
    <mergeCell ref="P478:Q478"/>
    <mergeCell ref="P479:Q479"/>
    <mergeCell ref="P480:Q480"/>
    <mergeCell ref="S474:T474"/>
    <mergeCell ref="S475:T475"/>
    <mergeCell ref="P476:Q476"/>
    <mergeCell ref="S476:T476"/>
    <mergeCell ref="P477:Q477"/>
    <mergeCell ref="S477:T477"/>
    <mergeCell ref="S478:T478"/>
    <mergeCell ref="P483:Q483"/>
    <mergeCell ref="P484:Q484"/>
    <mergeCell ref="P485:Q485"/>
    <mergeCell ref="S479:T479"/>
    <mergeCell ref="S480:T480"/>
    <mergeCell ref="P481:Q481"/>
    <mergeCell ref="S481:T481"/>
    <mergeCell ref="P482:Q482"/>
    <mergeCell ref="S482:T482"/>
    <mergeCell ref="S483:T483"/>
    <mergeCell ref="P488:Q488"/>
    <mergeCell ref="P489:Q489"/>
    <mergeCell ref="P490:Q490"/>
    <mergeCell ref="S484:T484"/>
    <mergeCell ref="S485:T485"/>
    <mergeCell ref="P486:Q486"/>
    <mergeCell ref="S486:T486"/>
    <mergeCell ref="P487:Q487"/>
    <mergeCell ref="S487:T487"/>
    <mergeCell ref="S488:T488"/>
    <mergeCell ref="P493:Q493"/>
    <mergeCell ref="P494:Q494"/>
    <mergeCell ref="P495:Q495"/>
    <mergeCell ref="S489:T489"/>
    <mergeCell ref="S490:T490"/>
    <mergeCell ref="P491:Q491"/>
    <mergeCell ref="S491:T491"/>
    <mergeCell ref="P492:Q492"/>
    <mergeCell ref="S492:T492"/>
    <mergeCell ref="S493:T493"/>
    <mergeCell ref="P498:Q498"/>
    <mergeCell ref="P499:Q499"/>
    <mergeCell ref="P500:Q500"/>
    <mergeCell ref="S494:T494"/>
    <mergeCell ref="S495:T495"/>
    <mergeCell ref="P496:Q496"/>
    <mergeCell ref="S496:T496"/>
    <mergeCell ref="P497:Q497"/>
    <mergeCell ref="S497:T497"/>
    <mergeCell ref="S498:T498"/>
    <mergeCell ref="P503:Q503"/>
    <mergeCell ref="P504:Q504"/>
    <mergeCell ref="P505:Q505"/>
    <mergeCell ref="S499:T499"/>
    <mergeCell ref="S500:T500"/>
    <mergeCell ref="P501:Q501"/>
    <mergeCell ref="S501:T501"/>
    <mergeCell ref="P502:Q502"/>
    <mergeCell ref="S502:T502"/>
    <mergeCell ref="S503:T503"/>
    <mergeCell ref="P508:Q508"/>
    <mergeCell ref="P509:Q509"/>
    <mergeCell ref="P510:Q510"/>
    <mergeCell ref="S504:T504"/>
    <mergeCell ref="S505:T505"/>
    <mergeCell ref="P506:Q506"/>
    <mergeCell ref="S506:T506"/>
    <mergeCell ref="P507:Q507"/>
    <mergeCell ref="S507:T507"/>
    <mergeCell ref="S508:T508"/>
    <mergeCell ref="P513:Q513"/>
    <mergeCell ref="P514:Q514"/>
    <mergeCell ref="P515:Q515"/>
    <mergeCell ref="S509:T509"/>
    <mergeCell ref="S510:T510"/>
    <mergeCell ref="P511:Q511"/>
    <mergeCell ref="S511:T511"/>
    <mergeCell ref="P512:Q512"/>
    <mergeCell ref="S512:T512"/>
    <mergeCell ref="S513:T513"/>
    <mergeCell ref="P518:Q518"/>
    <mergeCell ref="P519:Q519"/>
    <mergeCell ref="P520:Q520"/>
    <mergeCell ref="S514:T514"/>
    <mergeCell ref="S515:T515"/>
    <mergeCell ref="P516:Q516"/>
    <mergeCell ref="S516:T516"/>
    <mergeCell ref="P517:Q517"/>
    <mergeCell ref="S517:T517"/>
    <mergeCell ref="S518:T518"/>
    <mergeCell ref="P523:Q523"/>
    <mergeCell ref="P524:Q524"/>
    <mergeCell ref="P525:Q525"/>
    <mergeCell ref="S519:T519"/>
    <mergeCell ref="S520:T520"/>
    <mergeCell ref="P521:Q521"/>
    <mergeCell ref="S521:T521"/>
    <mergeCell ref="P522:Q522"/>
    <mergeCell ref="S522:T522"/>
    <mergeCell ref="S523:T523"/>
    <mergeCell ref="P528:Q528"/>
    <mergeCell ref="P529:Q529"/>
    <mergeCell ref="P530:Q530"/>
    <mergeCell ref="S524:T524"/>
    <mergeCell ref="S525:T525"/>
    <mergeCell ref="P526:Q526"/>
    <mergeCell ref="S526:T526"/>
    <mergeCell ref="P527:Q527"/>
    <mergeCell ref="S527:T527"/>
    <mergeCell ref="S528:T528"/>
    <mergeCell ref="P533:Q533"/>
    <mergeCell ref="P534:Q534"/>
    <mergeCell ref="P535:Q535"/>
    <mergeCell ref="S529:T529"/>
    <mergeCell ref="S530:T530"/>
    <mergeCell ref="P531:Q531"/>
    <mergeCell ref="S531:T531"/>
    <mergeCell ref="P532:Q532"/>
    <mergeCell ref="S532:T532"/>
    <mergeCell ref="S533:T533"/>
    <mergeCell ref="P538:Q538"/>
    <mergeCell ref="P539:Q539"/>
    <mergeCell ref="P540:Q540"/>
    <mergeCell ref="S534:T534"/>
    <mergeCell ref="S535:T535"/>
    <mergeCell ref="P536:Q536"/>
    <mergeCell ref="S536:T536"/>
    <mergeCell ref="P537:Q537"/>
    <mergeCell ref="S537:T537"/>
    <mergeCell ref="S538:T538"/>
    <mergeCell ref="P543:Q543"/>
    <mergeCell ref="P544:Q544"/>
    <mergeCell ref="P545:Q545"/>
    <mergeCell ref="S539:T539"/>
    <mergeCell ref="S540:T540"/>
    <mergeCell ref="P541:Q541"/>
    <mergeCell ref="S541:T541"/>
    <mergeCell ref="P542:Q542"/>
    <mergeCell ref="S542:T542"/>
    <mergeCell ref="S543:T543"/>
    <mergeCell ref="P548:Q548"/>
    <mergeCell ref="P549:Q549"/>
    <mergeCell ref="P550:Q550"/>
    <mergeCell ref="S544:T544"/>
    <mergeCell ref="S545:T545"/>
    <mergeCell ref="P546:Q546"/>
    <mergeCell ref="S546:T546"/>
    <mergeCell ref="P547:Q547"/>
    <mergeCell ref="S547:T547"/>
    <mergeCell ref="S548:T548"/>
    <mergeCell ref="P553:Q553"/>
    <mergeCell ref="P554:Q554"/>
    <mergeCell ref="P555:Q555"/>
    <mergeCell ref="S549:T549"/>
    <mergeCell ref="S550:T550"/>
    <mergeCell ref="P551:Q551"/>
    <mergeCell ref="S551:T551"/>
    <mergeCell ref="P552:Q552"/>
    <mergeCell ref="S552:T552"/>
    <mergeCell ref="S553:T553"/>
    <mergeCell ref="P558:Q558"/>
    <mergeCell ref="P559:Q559"/>
    <mergeCell ref="P560:Q560"/>
    <mergeCell ref="S554:T554"/>
    <mergeCell ref="S555:T555"/>
    <mergeCell ref="P556:Q556"/>
    <mergeCell ref="S556:T556"/>
    <mergeCell ref="P557:Q557"/>
    <mergeCell ref="S557:T557"/>
    <mergeCell ref="S558:T558"/>
    <mergeCell ref="P563:Q563"/>
    <mergeCell ref="P564:Q564"/>
    <mergeCell ref="P565:Q565"/>
    <mergeCell ref="S559:T559"/>
    <mergeCell ref="S560:T560"/>
    <mergeCell ref="P561:Q561"/>
    <mergeCell ref="S561:T561"/>
    <mergeCell ref="P562:Q562"/>
    <mergeCell ref="S562:T562"/>
    <mergeCell ref="S563:T563"/>
    <mergeCell ref="P568:Q568"/>
    <mergeCell ref="P569:Q569"/>
    <mergeCell ref="P570:Q570"/>
    <mergeCell ref="S564:T564"/>
    <mergeCell ref="S565:T565"/>
    <mergeCell ref="P566:Q566"/>
    <mergeCell ref="S566:T566"/>
    <mergeCell ref="P567:Q567"/>
    <mergeCell ref="S567:T567"/>
    <mergeCell ref="S568:T568"/>
    <mergeCell ref="P573:Q573"/>
    <mergeCell ref="P574:Q574"/>
    <mergeCell ref="P575:Q575"/>
    <mergeCell ref="S569:T569"/>
    <mergeCell ref="S570:T570"/>
    <mergeCell ref="P571:Q571"/>
    <mergeCell ref="S571:T571"/>
    <mergeCell ref="P572:Q572"/>
    <mergeCell ref="S572:T572"/>
    <mergeCell ref="S573:T573"/>
    <mergeCell ref="P578:Q578"/>
    <mergeCell ref="P579:Q579"/>
    <mergeCell ref="P580:Q580"/>
    <mergeCell ref="S574:T574"/>
    <mergeCell ref="S575:T575"/>
    <mergeCell ref="P576:Q576"/>
    <mergeCell ref="S576:T576"/>
    <mergeCell ref="P577:Q577"/>
    <mergeCell ref="S577:T577"/>
    <mergeCell ref="S578:T578"/>
    <mergeCell ref="P583:Q583"/>
    <mergeCell ref="P584:Q584"/>
    <mergeCell ref="P585:Q585"/>
    <mergeCell ref="S579:T579"/>
    <mergeCell ref="S580:T580"/>
    <mergeCell ref="P581:Q581"/>
    <mergeCell ref="S581:T581"/>
    <mergeCell ref="P582:Q582"/>
    <mergeCell ref="S582:T582"/>
    <mergeCell ref="S583:T583"/>
    <mergeCell ref="P588:Q588"/>
    <mergeCell ref="P589:Q589"/>
    <mergeCell ref="P590:Q590"/>
    <mergeCell ref="S584:T584"/>
    <mergeCell ref="S585:T585"/>
    <mergeCell ref="P586:Q586"/>
    <mergeCell ref="S586:T586"/>
    <mergeCell ref="P587:Q587"/>
    <mergeCell ref="S587:T587"/>
    <mergeCell ref="S588:T588"/>
    <mergeCell ref="P593:Q593"/>
    <mergeCell ref="P594:Q594"/>
    <mergeCell ref="P595:Q595"/>
    <mergeCell ref="S589:T589"/>
    <mergeCell ref="S590:T590"/>
    <mergeCell ref="P591:Q591"/>
    <mergeCell ref="S591:T591"/>
    <mergeCell ref="P592:Q592"/>
    <mergeCell ref="S592:T592"/>
    <mergeCell ref="S593:T593"/>
    <mergeCell ref="P598:Q598"/>
    <mergeCell ref="P599:Q599"/>
    <mergeCell ref="P600:Q600"/>
    <mergeCell ref="S594:T594"/>
    <mergeCell ref="S595:T595"/>
    <mergeCell ref="P596:Q596"/>
    <mergeCell ref="S596:T596"/>
    <mergeCell ref="P597:Q597"/>
    <mergeCell ref="S597:T597"/>
    <mergeCell ref="S598:T598"/>
    <mergeCell ref="P603:Q603"/>
    <mergeCell ref="P604:Q604"/>
    <mergeCell ref="P605:Q605"/>
    <mergeCell ref="S599:T599"/>
    <mergeCell ref="S600:T600"/>
    <mergeCell ref="P601:Q601"/>
    <mergeCell ref="S601:T601"/>
    <mergeCell ref="P602:Q602"/>
    <mergeCell ref="S602:T602"/>
    <mergeCell ref="S603:T603"/>
    <mergeCell ref="P608:Q608"/>
    <mergeCell ref="P609:Q609"/>
    <mergeCell ref="P610:Q610"/>
    <mergeCell ref="S604:T604"/>
    <mergeCell ref="S605:T605"/>
    <mergeCell ref="P606:Q606"/>
    <mergeCell ref="S606:T606"/>
    <mergeCell ref="P607:Q607"/>
    <mergeCell ref="S607:T607"/>
    <mergeCell ref="S608:T608"/>
    <mergeCell ref="P613:Q613"/>
    <mergeCell ref="P614:Q614"/>
    <mergeCell ref="P615:Q615"/>
    <mergeCell ref="S609:T609"/>
    <mergeCell ref="S610:T610"/>
    <mergeCell ref="P611:Q611"/>
    <mergeCell ref="S611:T611"/>
    <mergeCell ref="P612:Q612"/>
    <mergeCell ref="S612:T612"/>
    <mergeCell ref="S613:T613"/>
    <mergeCell ref="P618:Q618"/>
    <mergeCell ref="P619:Q619"/>
    <mergeCell ref="P620:Q620"/>
    <mergeCell ref="S614:T614"/>
    <mergeCell ref="S615:T615"/>
    <mergeCell ref="P616:Q616"/>
    <mergeCell ref="S616:T616"/>
    <mergeCell ref="P617:Q617"/>
    <mergeCell ref="S617:T617"/>
    <mergeCell ref="S618:T618"/>
    <mergeCell ref="P623:Q623"/>
    <mergeCell ref="P624:Q624"/>
    <mergeCell ref="P625:Q625"/>
    <mergeCell ref="S619:T619"/>
    <mergeCell ref="S620:T620"/>
    <mergeCell ref="P621:Q621"/>
    <mergeCell ref="S621:T621"/>
    <mergeCell ref="P622:Q622"/>
    <mergeCell ref="S622:T622"/>
    <mergeCell ref="S623:T623"/>
    <mergeCell ref="P628:Q628"/>
    <mergeCell ref="P629:Q629"/>
    <mergeCell ref="P630:Q630"/>
    <mergeCell ref="S624:T624"/>
    <mergeCell ref="S625:T625"/>
    <mergeCell ref="P626:Q626"/>
    <mergeCell ref="S626:T626"/>
    <mergeCell ref="P627:Q627"/>
    <mergeCell ref="S627:T627"/>
    <mergeCell ref="S628:T628"/>
    <mergeCell ref="P633:Q633"/>
    <mergeCell ref="P634:Q634"/>
    <mergeCell ref="P635:Q635"/>
    <mergeCell ref="S629:T629"/>
    <mergeCell ref="S630:T630"/>
    <mergeCell ref="P631:Q631"/>
    <mergeCell ref="S631:T631"/>
    <mergeCell ref="P632:Q632"/>
    <mergeCell ref="S632:T632"/>
    <mergeCell ref="S633:T633"/>
    <mergeCell ref="P638:Q638"/>
    <mergeCell ref="P639:Q639"/>
    <mergeCell ref="P640:Q640"/>
    <mergeCell ref="S634:T634"/>
    <mergeCell ref="S635:T635"/>
    <mergeCell ref="P636:Q636"/>
    <mergeCell ref="S636:T636"/>
    <mergeCell ref="P637:Q637"/>
    <mergeCell ref="S637:T637"/>
    <mergeCell ref="S638:T638"/>
    <mergeCell ref="P643:Q643"/>
    <mergeCell ref="P644:Q644"/>
    <mergeCell ref="P645:Q645"/>
    <mergeCell ref="S639:T639"/>
    <mergeCell ref="S640:T640"/>
    <mergeCell ref="P641:Q641"/>
    <mergeCell ref="S641:T641"/>
    <mergeCell ref="P642:Q642"/>
    <mergeCell ref="S642:T642"/>
    <mergeCell ref="S643:T643"/>
    <mergeCell ref="P648:Q648"/>
    <mergeCell ref="P649:Q649"/>
    <mergeCell ref="P650:Q650"/>
    <mergeCell ref="S644:T644"/>
    <mergeCell ref="S645:T645"/>
    <mergeCell ref="P646:Q646"/>
    <mergeCell ref="S646:T646"/>
    <mergeCell ref="P647:Q647"/>
    <mergeCell ref="S647:T647"/>
    <mergeCell ref="S648:T648"/>
    <mergeCell ref="P653:Q653"/>
    <mergeCell ref="P654:Q654"/>
    <mergeCell ref="P655:Q655"/>
    <mergeCell ref="S649:T649"/>
    <mergeCell ref="S650:T650"/>
    <mergeCell ref="P651:Q651"/>
    <mergeCell ref="S651:T651"/>
    <mergeCell ref="P652:Q652"/>
    <mergeCell ref="S652:T652"/>
    <mergeCell ref="S653:T653"/>
    <mergeCell ref="P658:Q658"/>
    <mergeCell ref="P659:Q659"/>
    <mergeCell ref="P660:Q660"/>
    <mergeCell ref="S654:T654"/>
    <mergeCell ref="S655:T655"/>
    <mergeCell ref="P656:Q656"/>
    <mergeCell ref="S656:T656"/>
    <mergeCell ref="P657:Q657"/>
    <mergeCell ref="S657:T657"/>
    <mergeCell ref="S658:T658"/>
    <mergeCell ref="P663:Q663"/>
    <mergeCell ref="P664:Q664"/>
    <mergeCell ref="P665:Q665"/>
    <mergeCell ref="S659:T659"/>
    <mergeCell ref="S660:T660"/>
    <mergeCell ref="P661:Q661"/>
    <mergeCell ref="S661:T661"/>
    <mergeCell ref="P662:Q662"/>
    <mergeCell ref="S662:T662"/>
    <mergeCell ref="S663:T663"/>
    <mergeCell ref="P668:Q668"/>
    <mergeCell ref="P669:Q669"/>
    <mergeCell ref="P670:Q670"/>
    <mergeCell ref="S664:T664"/>
    <mergeCell ref="S665:T665"/>
    <mergeCell ref="P666:Q666"/>
    <mergeCell ref="S666:T666"/>
    <mergeCell ref="P667:Q667"/>
    <mergeCell ref="S667:T667"/>
    <mergeCell ref="S668:T668"/>
    <mergeCell ref="P673:Q673"/>
    <mergeCell ref="P674:Q674"/>
    <mergeCell ref="P675:Q675"/>
    <mergeCell ref="S669:T669"/>
    <mergeCell ref="S670:T670"/>
    <mergeCell ref="P671:Q671"/>
    <mergeCell ref="S671:T671"/>
    <mergeCell ref="P672:Q672"/>
    <mergeCell ref="S672:T672"/>
    <mergeCell ref="S673:T673"/>
    <mergeCell ref="P678:Q678"/>
    <mergeCell ref="P679:Q679"/>
    <mergeCell ref="P680:Q680"/>
    <mergeCell ref="S674:T674"/>
    <mergeCell ref="S675:T675"/>
    <mergeCell ref="P676:Q676"/>
    <mergeCell ref="S676:T676"/>
    <mergeCell ref="P677:Q677"/>
    <mergeCell ref="S677:T677"/>
    <mergeCell ref="S678:T678"/>
    <mergeCell ref="P683:Q683"/>
    <mergeCell ref="P684:Q684"/>
    <mergeCell ref="P685:Q685"/>
    <mergeCell ref="S679:T679"/>
    <mergeCell ref="S680:T680"/>
    <mergeCell ref="P681:Q681"/>
    <mergeCell ref="S681:T681"/>
    <mergeCell ref="P682:Q682"/>
    <mergeCell ref="S682:T682"/>
    <mergeCell ref="S683:T683"/>
    <mergeCell ref="P688:Q688"/>
    <mergeCell ref="P689:Q689"/>
    <mergeCell ref="P690:Q690"/>
    <mergeCell ref="S684:T684"/>
    <mergeCell ref="S685:T685"/>
    <mergeCell ref="P686:Q686"/>
    <mergeCell ref="S686:T686"/>
    <mergeCell ref="P687:Q687"/>
    <mergeCell ref="S687:T687"/>
    <mergeCell ref="S688:T688"/>
    <mergeCell ref="P693:Q693"/>
    <mergeCell ref="P694:Q694"/>
    <mergeCell ref="P695:Q695"/>
    <mergeCell ref="S689:T689"/>
    <mergeCell ref="S690:T690"/>
    <mergeCell ref="P691:Q691"/>
    <mergeCell ref="S691:T691"/>
    <mergeCell ref="P692:Q692"/>
    <mergeCell ref="S692:T692"/>
    <mergeCell ref="S693:T693"/>
    <mergeCell ref="P978:Q978"/>
    <mergeCell ref="P979:Q979"/>
    <mergeCell ref="P980:Q980"/>
    <mergeCell ref="S974:T974"/>
    <mergeCell ref="S975:T975"/>
    <mergeCell ref="P976:Q976"/>
    <mergeCell ref="S976:T976"/>
    <mergeCell ref="P977:Q977"/>
    <mergeCell ref="S977:T977"/>
    <mergeCell ref="S978:T978"/>
    <mergeCell ref="P983:Q983"/>
    <mergeCell ref="P984:Q984"/>
    <mergeCell ref="P985:Q985"/>
    <mergeCell ref="S979:T979"/>
    <mergeCell ref="S980:T980"/>
    <mergeCell ref="P981:Q981"/>
    <mergeCell ref="S981:T981"/>
    <mergeCell ref="P982:Q982"/>
    <mergeCell ref="S982:T982"/>
    <mergeCell ref="S983:T983"/>
    <mergeCell ref="P988:Q988"/>
    <mergeCell ref="P989:Q989"/>
    <mergeCell ref="P990:Q990"/>
    <mergeCell ref="S984:T984"/>
    <mergeCell ref="S985:T985"/>
    <mergeCell ref="P986:Q986"/>
    <mergeCell ref="S986:T986"/>
    <mergeCell ref="P987:Q987"/>
    <mergeCell ref="S987:T987"/>
    <mergeCell ref="S988:T988"/>
    <mergeCell ref="P993:Q993"/>
    <mergeCell ref="P994:Q994"/>
    <mergeCell ref="P995:Q995"/>
    <mergeCell ref="S989:T989"/>
    <mergeCell ref="S990:T990"/>
    <mergeCell ref="P991:Q991"/>
    <mergeCell ref="S991:T991"/>
    <mergeCell ref="P992:Q992"/>
    <mergeCell ref="S992:T992"/>
    <mergeCell ref="S993:T993"/>
    <mergeCell ref="P998:Q998"/>
    <mergeCell ref="P999:Q999"/>
    <mergeCell ref="P1000:Q1000"/>
    <mergeCell ref="S994:T994"/>
    <mergeCell ref="S995:T995"/>
    <mergeCell ref="P996:Q996"/>
    <mergeCell ref="S996:T996"/>
    <mergeCell ref="P997:Q997"/>
    <mergeCell ref="S997:T997"/>
    <mergeCell ref="S998:T998"/>
    <mergeCell ref="S15:T15"/>
    <mergeCell ref="S16:T16"/>
    <mergeCell ref="P12:Q12"/>
    <mergeCell ref="P13:Q13"/>
    <mergeCell ref="S13:T13"/>
    <mergeCell ref="P14:Q14"/>
    <mergeCell ref="S14:T14"/>
    <mergeCell ref="P15:Q15"/>
    <mergeCell ref="P16:Q16"/>
    <mergeCell ref="P17:Q17"/>
    <mergeCell ref="S17:T17"/>
    <mergeCell ref="P18:Q18"/>
    <mergeCell ref="S18:T18"/>
    <mergeCell ref="P19:Q19"/>
    <mergeCell ref="S19:T19"/>
    <mergeCell ref="S20:T20"/>
    <mergeCell ref="P20:Q20"/>
    <mergeCell ref="P21:Q21"/>
    <mergeCell ref="P22:Q22"/>
    <mergeCell ref="P23:Q23"/>
    <mergeCell ref="P24:Q24"/>
    <mergeCell ref="P25:Q25"/>
    <mergeCell ref="P26:Q26"/>
    <mergeCell ref="S21:T21"/>
    <mergeCell ref="S22:T22"/>
    <mergeCell ref="S23:T23"/>
    <mergeCell ref="S24:T24"/>
    <mergeCell ref="S25:T25"/>
    <mergeCell ref="S26:T26"/>
    <mergeCell ref="S27:T27"/>
    <mergeCell ref="P27:Q27"/>
    <mergeCell ref="P28:Q28"/>
    <mergeCell ref="P29:Q29"/>
    <mergeCell ref="P30:Q30"/>
    <mergeCell ref="P31:Q31"/>
    <mergeCell ref="P32:Q32"/>
    <mergeCell ref="P33:Q33"/>
    <mergeCell ref="S999:T999"/>
    <mergeCell ref="S1000:T1000"/>
    <mergeCell ref="P1001:Q1001"/>
    <mergeCell ref="S1001:T1001"/>
    <mergeCell ref="P1002:Q1002"/>
    <mergeCell ref="S1002:T1002"/>
    <mergeCell ref="P943:Q943"/>
    <mergeCell ref="P944:Q944"/>
    <mergeCell ref="P945:Q945"/>
    <mergeCell ref="S939:T939"/>
    <mergeCell ref="S940:T940"/>
    <mergeCell ref="P941:Q941"/>
    <mergeCell ref="S941:T941"/>
    <mergeCell ref="P942:Q942"/>
    <mergeCell ref="S942:T942"/>
    <mergeCell ref="S943:T943"/>
    <mergeCell ref="P948:Q948"/>
    <mergeCell ref="P949:Q949"/>
    <mergeCell ref="P950:Q950"/>
    <mergeCell ref="S944:T944"/>
    <mergeCell ref="S945:T945"/>
    <mergeCell ref="P946:Q946"/>
    <mergeCell ref="S946:T946"/>
    <mergeCell ref="P947:Q947"/>
    <mergeCell ref="S947:T947"/>
    <mergeCell ref="S948:T948"/>
    <mergeCell ref="P953:Q953"/>
    <mergeCell ref="P954:Q954"/>
    <mergeCell ref="P955:Q955"/>
    <mergeCell ref="S949:T949"/>
    <mergeCell ref="S950:T950"/>
    <mergeCell ref="P951:Q951"/>
    <mergeCell ref="S951:T951"/>
    <mergeCell ref="P952:Q952"/>
    <mergeCell ref="S952:T952"/>
    <mergeCell ref="S953:T953"/>
    <mergeCell ref="P958:Q958"/>
    <mergeCell ref="P959:Q959"/>
    <mergeCell ref="P960:Q960"/>
    <mergeCell ref="S954:T954"/>
    <mergeCell ref="S955:T955"/>
    <mergeCell ref="P956:Q956"/>
    <mergeCell ref="S956:T956"/>
    <mergeCell ref="P957:Q957"/>
    <mergeCell ref="S957:T957"/>
    <mergeCell ref="S958:T958"/>
    <mergeCell ref="P963:Q963"/>
    <mergeCell ref="P964:Q964"/>
    <mergeCell ref="P965:Q965"/>
    <mergeCell ref="S959:T959"/>
    <mergeCell ref="S960:T960"/>
    <mergeCell ref="P961:Q961"/>
    <mergeCell ref="S961:T961"/>
    <mergeCell ref="P962:Q962"/>
    <mergeCell ref="S962:T962"/>
    <mergeCell ref="S963:T963"/>
    <mergeCell ref="P968:Q968"/>
    <mergeCell ref="P969:Q969"/>
    <mergeCell ref="P970:Q970"/>
    <mergeCell ref="S964:T964"/>
    <mergeCell ref="S965:T965"/>
    <mergeCell ref="P966:Q966"/>
    <mergeCell ref="S966:T966"/>
    <mergeCell ref="P967:Q967"/>
    <mergeCell ref="S967:T967"/>
    <mergeCell ref="S968:T968"/>
    <mergeCell ref="P973:Q973"/>
    <mergeCell ref="P974:Q974"/>
    <mergeCell ref="P975:Q975"/>
    <mergeCell ref="S969:T969"/>
    <mergeCell ref="S970:T970"/>
    <mergeCell ref="P971:Q971"/>
    <mergeCell ref="S971:T971"/>
    <mergeCell ref="P972:Q972"/>
    <mergeCell ref="S972:T972"/>
    <mergeCell ref="S973:T973"/>
    <mergeCell ref="P698:Q698"/>
    <mergeCell ref="P699:Q699"/>
    <mergeCell ref="P700:Q700"/>
    <mergeCell ref="S694:T694"/>
    <mergeCell ref="S695:T695"/>
    <mergeCell ref="P696:Q696"/>
    <mergeCell ref="S696:T696"/>
    <mergeCell ref="P697:Q697"/>
    <mergeCell ref="S697:T697"/>
    <mergeCell ref="S698:T698"/>
    <mergeCell ref="P703:Q703"/>
    <mergeCell ref="P704:Q704"/>
    <mergeCell ref="P705:Q705"/>
    <mergeCell ref="S699:T699"/>
    <mergeCell ref="S700:T700"/>
    <mergeCell ref="P701:Q701"/>
    <mergeCell ref="S701:T701"/>
    <mergeCell ref="P702:Q702"/>
    <mergeCell ref="S702:T702"/>
    <mergeCell ref="S703:T703"/>
    <mergeCell ref="P708:Q708"/>
    <mergeCell ref="P709:Q709"/>
    <mergeCell ref="P710:Q710"/>
    <mergeCell ref="S704:T704"/>
    <mergeCell ref="S705:T705"/>
    <mergeCell ref="P706:Q706"/>
    <mergeCell ref="S706:T706"/>
    <mergeCell ref="P707:Q707"/>
    <mergeCell ref="S707:T707"/>
    <mergeCell ref="S708:T708"/>
    <mergeCell ref="P713:Q713"/>
    <mergeCell ref="P714:Q714"/>
    <mergeCell ref="P715:Q715"/>
    <mergeCell ref="S709:T709"/>
    <mergeCell ref="S710:T710"/>
    <mergeCell ref="P711:Q711"/>
    <mergeCell ref="S711:T711"/>
    <mergeCell ref="P712:Q712"/>
    <mergeCell ref="S712:T712"/>
    <mergeCell ref="S713:T713"/>
    <mergeCell ref="P718:Q718"/>
    <mergeCell ref="P719:Q719"/>
    <mergeCell ref="P720:Q720"/>
    <mergeCell ref="S714:T714"/>
    <mergeCell ref="S715:T715"/>
    <mergeCell ref="P716:Q716"/>
    <mergeCell ref="S716:T716"/>
    <mergeCell ref="P717:Q717"/>
    <mergeCell ref="S717:T717"/>
    <mergeCell ref="S718:T718"/>
    <mergeCell ref="P723:Q723"/>
    <mergeCell ref="P724:Q724"/>
    <mergeCell ref="P725:Q725"/>
    <mergeCell ref="S719:T719"/>
    <mergeCell ref="S720:T720"/>
    <mergeCell ref="P721:Q721"/>
    <mergeCell ref="S721:T721"/>
    <mergeCell ref="P722:Q722"/>
    <mergeCell ref="S722:T722"/>
    <mergeCell ref="S723:T723"/>
    <mergeCell ref="P728:Q728"/>
    <mergeCell ref="P729:Q729"/>
    <mergeCell ref="P730:Q730"/>
    <mergeCell ref="S724:T724"/>
    <mergeCell ref="S725:T725"/>
    <mergeCell ref="P726:Q726"/>
    <mergeCell ref="S726:T726"/>
    <mergeCell ref="P727:Q727"/>
    <mergeCell ref="S727:T727"/>
    <mergeCell ref="S728:T728"/>
    <mergeCell ref="P733:Q733"/>
    <mergeCell ref="P734:Q734"/>
    <mergeCell ref="P735:Q735"/>
    <mergeCell ref="S729:T729"/>
    <mergeCell ref="S730:T730"/>
    <mergeCell ref="P731:Q731"/>
    <mergeCell ref="S731:T731"/>
    <mergeCell ref="P732:Q732"/>
    <mergeCell ref="S732:T732"/>
    <mergeCell ref="S733:T733"/>
    <mergeCell ref="P738:Q738"/>
    <mergeCell ref="P739:Q739"/>
    <mergeCell ref="P740:Q740"/>
    <mergeCell ref="S734:T734"/>
    <mergeCell ref="S735:T735"/>
    <mergeCell ref="P736:Q736"/>
    <mergeCell ref="S736:T736"/>
    <mergeCell ref="P737:Q737"/>
    <mergeCell ref="S737:T737"/>
    <mergeCell ref="S738:T738"/>
    <mergeCell ref="P743:Q743"/>
    <mergeCell ref="P744:Q744"/>
    <mergeCell ref="P745:Q745"/>
    <mergeCell ref="S739:T739"/>
    <mergeCell ref="S740:T740"/>
    <mergeCell ref="P741:Q741"/>
    <mergeCell ref="S741:T741"/>
    <mergeCell ref="P742:Q742"/>
    <mergeCell ref="S742:T742"/>
    <mergeCell ref="S743:T743"/>
    <mergeCell ref="P748:Q748"/>
    <mergeCell ref="P749:Q749"/>
    <mergeCell ref="P750:Q750"/>
    <mergeCell ref="S744:T744"/>
    <mergeCell ref="S745:T745"/>
    <mergeCell ref="P746:Q746"/>
    <mergeCell ref="S746:T746"/>
    <mergeCell ref="P747:Q747"/>
    <mergeCell ref="S747:T747"/>
    <mergeCell ref="S748:T748"/>
    <mergeCell ref="P753:Q753"/>
    <mergeCell ref="P754:Q754"/>
    <mergeCell ref="P755:Q755"/>
    <mergeCell ref="S749:T749"/>
    <mergeCell ref="S750:T750"/>
    <mergeCell ref="P751:Q751"/>
    <mergeCell ref="S751:T751"/>
    <mergeCell ref="P752:Q752"/>
    <mergeCell ref="S752:T752"/>
    <mergeCell ref="S753:T753"/>
    <mergeCell ref="P758:Q758"/>
    <mergeCell ref="P759:Q759"/>
    <mergeCell ref="P760:Q760"/>
    <mergeCell ref="S754:T754"/>
    <mergeCell ref="S755:T755"/>
    <mergeCell ref="P756:Q756"/>
    <mergeCell ref="S756:T756"/>
    <mergeCell ref="P757:Q757"/>
    <mergeCell ref="S757:T757"/>
    <mergeCell ref="S758:T758"/>
    <mergeCell ref="P763:Q763"/>
    <mergeCell ref="P764:Q764"/>
    <mergeCell ref="P765:Q765"/>
    <mergeCell ref="S759:T759"/>
    <mergeCell ref="S760:T760"/>
    <mergeCell ref="P761:Q761"/>
    <mergeCell ref="S761:T761"/>
    <mergeCell ref="P762:Q762"/>
    <mergeCell ref="S762:T762"/>
    <mergeCell ref="S763:T763"/>
    <mergeCell ref="P768:Q768"/>
    <mergeCell ref="P769:Q769"/>
    <mergeCell ref="P770:Q770"/>
    <mergeCell ref="S764:T764"/>
    <mergeCell ref="S765:T765"/>
    <mergeCell ref="P766:Q766"/>
    <mergeCell ref="S766:T766"/>
    <mergeCell ref="P767:Q767"/>
    <mergeCell ref="S767:T767"/>
    <mergeCell ref="S768:T768"/>
    <mergeCell ref="P773:Q773"/>
    <mergeCell ref="P774:Q774"/>
    <mergeCell ref="P775:Q775"/>
    <mergeCell ref="S769:T769"/>
    <mergeCell ref="S770:T770"/>
    <mergeCell ref="P771:Q771"/>
    <mergeCell ref="S771:T771"/>
    <mergeCell ref="P772:Q772"/>
    <mergeCell ref="S772:T772"/>
    <mergeCell ref="S773:T773"/>
    <mergeCell ref="P778:Q778"/>
    <mergeCell ref="P779:Q779"/>
    <mergeCell ref="P780:Q780"/>
    <mergeCell ref="S774:T774"/>
    <mergeCell ref="S775:T775"/>
    <mergeCell ref="P776:Q776"/>
    <mergeCell ref="S776:T776"/>
    <mergeCell ref="P777:Q777"/>
    <mergeCell ref="S777:T777"/>
    <mergeCell ref="S778:T778"/>
    <mergeCell ref="P783:Q783"/>
    <mergeCell ref="P784:Q784"/>
    <mergeCell ref="P785:Q785"/>
    <mergeCell ref="S779:T779"/>
    <mergeCell ref="S780:T780"/>
    <mergeCell ref="P781:Q781"/>
    <mergeCell ref="S781:T781"/>
    <mergeCell ref="P782:Q782"/>
    <mergeCell ref="S782:T782"/>
    <mergeCell ref="S783:T783"/>
    <mergeCell ref="P788:Q788"/>
    <mergeCell ref="P789:Q789"/>
    <mergeCell ref="P790:Q790"/>
    <mergeCell ref="S784:T784"/>
    <mergeCell ref="S785:T785"/>
    <mergeCell ref="P786:Q786"/>
    <mergeCell ref="S786:T786"/>
    <mergeCell ref="P787:Q787"/>
    <mergeCell ref="S787:T787"/>
    <mergeCell ref="S788:T788"/>
    <mergeCell ref="P793:Q793"/>
    <mergeCell ref="P794:Q794"/>
    <mergeCell ref="P795:Q795"/>
    <mergeCell ref="S789:T789"/>
    <mergeCell ref="S790:T790"/>
    <mergeCell ref="P791:Q791"/>
    <mergeCell ref="S791:T791"/>
    <mergeCell ref="P792:Q792"/>
    <mergeCell ref="S792:T792"/>
    <mergeCell ref="S793:T793"/>
    <mergeCell ref="P798:Q798"/>
    <mergeCell ref="P799:Q799"/>
    <mergeCell ref="P800:Q800"/>
    <mergeCell ref="S794:T794"/>
    <mergeCell ref="S795:T795"/>
    <mergeCell ref="P796:Q796"/>
    <mergeCell ref="S796:T796"/>
    <mergeCell ref="P797:Q797"/>
    <mergeCell ref="S797:T797"/>
    <mergeCell ref="S798:T798"/>
    <mergeCell ref="P803:Q803"/>
    <mergeCell ref="P804:Q804"/>
    <mergeCell ref="P805:Q805"/>
    <mergeCell ref="S799:T799"/>
    <mergeCell ref="S800:T800"/>
    <mergeCell ref="P801:Q801"/>
    <mergeCell ref="S801:T801"/>
    <mergeCell ref="P802:Q802"/>
    <mergeCell ref="S802:T802"/>
    <mergeCell ref="S803:T803"/>
    <mergeCell ref="P808:Q808"/>
    <mergeCell ref="P809:Q809"/>
    <mergeCell ref="P810:Q810"/>
    <mergeCell ref="S804:T804"/>
    <mergeCell ref="S805:T805"/>
    <mergeCell ref="P806:Q806"/>
    <mergeCell ref="S806:T806"/>
    <mergeCell ref="P807:Q807"/>
    <mergeCell ref="S807:T807"/>
    <mergeCell ref="S808:T808"/>
    <mergeCell ref="P813:Q813"/>
    <mergeCell ref="P814:Q814"/>
    <mergeCell ref="P815:Q815"/>
    <mergeCell ref="S809:T809"/>
    <mergeCell ref="S810:T810"/>
    <mergeCell ref="P811:Q811"/>
    <mergeCell ref="S811:T811"/>
    <mergeCell ref="P812:Q812"/>
    <mergeCell ref="S812:T812"/>
    <mergeCell ref="S813:T813"/>
    <mergeCell ref="P818:Q818"/>
    <mergeCell ref="P819:Q819"/>
    <mergeCell ref="P820:Q820"/>
    <mergeCell ref="S814:T814"/>
    <mergeCell ref="S815:T815"/>
    <mergeCell ref="P816:Q816"/>
    <mergeCell ref="S816:T816"/>
    <mergeCell ref="P817:Q817"/>
    <mergeCell ref="S817:T817"/>
    <mergeCell ref="S818:T818"/>
    <mergeCell ref="P823:Q823"/>
    <mergeCell ref="P824:Q824"/>
    <mergeCell ref="P825:Q825"/>
    <mergeCell ref="S819:T819"/>
    <mergeCell ref="S820:T820"/>
    <mergeCell ref="P821:Q821"/>
    <mergeCell ref="S821:T821"/>
    <mergeCell ref="P822:Q822"/>
    <mergeCell ref="S822:T822"/>
    <mergeCell ref="S823:T823"/>
    <mergeCell ref="P828:Q828"/>
    <mergeCell ref="P829:Q829"/>
    <mergeCell ref="P830:Q830"/>
    <mergeCell ref="S824:T824"/>
    <mergeCell ref="S825:T825"/>
    <mergeCell ref="P826:Q826"/>
    <mergeCell ref="S826:T826"/>
    <mergeCell ref="P827:Q827"/>
    <mergeCell ref="S827:T827"/>
    <mergeCell ref="S828:T828"/>
    <mergeCell ref="P833:Q833"/>
    <mergeCell ref="P834:Q834"/>
    <mergeCell ref="P835:Q835"/>
    <mergeCell ref="S829:T829"/>
    <mergeCell ref="S830:T830"/>
    <mergeCell ref="P831:Q831"/>
    <mergeCell ref="S831:T831"/>
    <mergeCell ref="P832:Q832"/>
    <mergeCell ref="S832:T832"/>
    <mergeCell ref="S833:T833"/>
    <mergeCell ref="P838:Q838"/>
    <mergeCell ref="P839:Q839"/>
    <mergeCell ref="P840:Q840"/>
    <mergeCell ref="S834:T834"/>
    <mergeCell ref="S835:T835"/>
    <mergeCell ref="P836:Q836"/>
    <mergeCell ref="S836:T836"/>
    <mergeCell ref="P837:Q837"/>
    <mergeCell ref="S837:T837"/>
    <mergeCell ref="S838:T838"/>
    <mergeCell ref="P843:Q843"/>
    <mergeCell ref="P844:Q844"/>
    <mergeCell ref="P845:Q845"/>
    <mergeCell ref="S839:T839"/>
    <mergeCell ref="S840:T840"/>
    <mergeCell ref="P841:Q841"/>
    <mergeCell ref="S841:T841"/>
    <mergeCell ref="P842:Q842"/>
    <mergeCell ref="S842:T842"/>
    <mergeCell ref="S843:T843"/>
    <mergeCell ref="P848:Q848"/>
    <mergeCell ref="P849:Q849"/>
    <mergeCell ref="P850:Q850"/>
    <mergeCell ref="S844:T844"/>
    <mergeCell ref="S845:T845"/>
    <mergeCell ref="P846:Q846"/>
    <mergeCell ref="S846:T846"/>
    <mergeCell ref="P847:Q847"/>
    <mergeCell ref="S847:T847"/>
    <mergeCell ref="S848:T848"/>
    <mergeCell ref="P853:Q853"/>
    <mergeCell ref="P854:Q854"/>
    <mergeCell ref="P855:Q855"/>
    <mergeCell ref="S849:T849"/>
    <mergeCell ref="S850:T850"/>
    <mergeCell ref="P851:Q851"/>
    <mergeCell ref="S851:T851"/>
    <mergeCell ref="P852:Q852"/>
    <mergeCell ref="S852:T852"/>
    <mergeCell ref="S853:T853"/>
    <mergeCell ref="P858:Q858"/>
    <mergeCell ref="P859:Q859"/>
    <mergeCell ref="P860:Q860"/>
    <mergeCell ref="S854:T854"/>
    <mergeCell ref="S855:T855"/>
    <mergeCell ref="P856:Q856"/>
    <mergeCell ref="S856:T856"/>
    <mergeCell ref="P857:Q857"/>
    <mergeCell ref="S857:T857"/>
    <mergeCell ref="S858:T858"/>
    <mergeCell ref="P863:Q863"/>
    <mergeCell ref="P864:Q864"/>
    <mergeCell ref="P865:Q865"/>
    <mergeCell ref="S859:T859"/>
    <mergeCell ref="S860:T860"/>
    <mergeCell ref="P861:Q861"/>
    <mergeCell ref="S861:T861"/>
    <mergeCell ref="P862:Q862"/>
    <mergeCell ref="S862:T862"/>
    <mergeCell ref="S863:T863"/>
    <mergeCell ref="P868:Q868"/>
    <mergeCell ref="P869:Q869"/>
    <mergeCell ref="P870:Q870"/>
    <mergeCell ref="S864:T864"/>
    <mergeCell ref="S865:T865"/>
    <mergeCell ref="P866:Q866"/>
    <mergeCell ref="S866:T866"/>
    <mergeCell ref="P867:Q867"/>
    <mergeCell ref="S867:T867"/>
    <mergeCell ref="S868:T868"/>
    <mergeCell ref="P873:Q873"/>
    <mergeCell ref="P874:Q874"/>
    <mergeCell ref="P875:Q875"/>
    <mergeCell ref="S869:T869"/>
    <mergeCell ref="S870:T870"/>
    <mergeCell ref="P871:Q871"/>
    <mergeCell ref="S871:T871"/>
    <mergeCell ref="P872:Q872"/>
    <mergeCell ref="S872:T872"/>
    <mergeCell ref="S873:T873"/>
    <mergeCell ref="P878:Q878"/>
    <mergeCell ref="P879:Q879"/>
    <mergeCell ref="P880:Q880"/>
    <mergeCell ref="S874:T874"/>
    <mergeCell ref="S875:T875"/>
    <mergeCell ref="P876:Q876"/>
    <mergeCell ref="S876:T876"/>
    <mergeCell ref="P877:Q877"/>
    <mergeCell ref="S877:T877"/>
    <mergeCell ref="S878:T878"/>
    <mergeCell ref="P883:Q883"/>
    <mergeCell ref="P884:Q884"/>
    <mergeCell ref="P885:Q885"/>
    <mergeCell ref="S879:T879"/>
    <mergeCell ref="S880:T880"/>
    <mergeCell ref="P881:Q881"/>
    <mergeCell ref="S881:T881"/>
    <mergeCell ref="P882:Q882"/>
    <mergeCell ref="S882:T882"/>
    <mergeCell ref="S883:T883"/>
    <mergeCell ref="P888:Q888"/>
    <mergeCell ref="P889:Q889"/>
    <mergeCell ref="P890:Q890"/>
    <mergeCell ref="S884:T884"/>
    <mergeCell ref="S885:T885"/>
    <mergeCell ref="P886:Q886"/>
    <mergeCell ref="S886:T886"/>
    <mergeCell ref="P887:Q887"/>
    <mergeCell ref="S887:T887"/>
    <mergeCell ref="S888:T888"/>
    <mergeCell ref="P893:Q893"/>
    <mergeCell ref="P894:Q894"/>
    <mergeCell ref="P895:Q895"/>
    <mergeCell ref="S889:T889"/>
    <mergeCell ref="S890:T890"/>
    <mergeCell ref="P891:Q891"/>
    <mergeCell ref="S891:T891"/>
    <mergeCell ref="P892:Q892"/>
    <mergeCell ref="S892:T892"/>
    <mergeCell ref="S893:T893"/>
    <mergeCell ref="P898:Q898"/>
    <mergeCell ref="P899:Q899"/>
    <mergeCell ref="P900:Q900"/>
    <mergeCell ref="S894:T894"/>
    <mergeCell ref="S895:T895"/>
    <mergeCell ref="P896:Q896"/>
    <mergeCell ref="S896:T896"/>
    <mergeCell ref="P897:Q897"/>
    <mergeCell ref="S897:T897"/>
    <mergeCell ref="S898:T898"/>
    <mergeCell ref="P903:Q903"/>
    <mergeCell ref="P904:Q904"/>
    <mergeCell ref="P905:Q905"/>
    <mergeCell ref="S899:T899"/>
    <mergeCell ref="S900:T900"/>
    <mergeCell ref="P901:Q901"/>
    <mergeCell ref="S901:T901"/>
    <mergeCell ref="P902:Q902"/>
    <mergeCell ref="S902:T902"/>
    <mergeCell ref="S903:T903"/>
    <mergeCell ref="P908:Q908"/>
    <mergeCell ref="P909:Q909"/>
    <mergeCell ref="P910:Q910"/>
    <mergeCell ref="S904:T904"/>
    <mergeCell ref="S905:T905"/>
    <mergeCell ref="P906:Q906"/>
    <mergeCell ref="S906:T906"/>
    <mergeCell ref="P907:Q907"/>
    <mergeCell ref="S907:T907"/>
    <mergeCell ref="S908:T908"/>
    <mergeCell ref="P913:Q913"/>
    <mergeCell ref="P914:Q914"/>
    <mergeCell ref="P915:Q915"/>
    <mergeCell ref="S909:T909"/>
    <mergeCell ref="S910:T910"/>
    <mergeCell ref="P911:Q911"/>
    <mergeCell ref="S911:T911"/>
    <mergeCell ref="P912:Q912"/>
    <mergeCell ref="S912:T912"/>
    <mergeCell ref="S913:T913"/>
    <mergeCell ref="P918:Q918"/>
    <mergeCell ref="P919:Q919"/>
    <mergeCell ref="P920:Q920"/>
    <mergeCell ref="S914:T914"/>
    <mergeCell ref="S915:T915"/>
    <mergeCell ref="P916:Q916"/>
    <mergeCell ref="S916:T916"/>
    <mergeCell ref="P917:Q917"/>
    <mergeCell ref="S917:T917"/>
    <mergeCell ref="S918:T918"/>
    <mergeCell ref="P923:Q923"/>
    <mergeCell ref="P924:Q924"/>
    <mergeCell ref="P925:Q925"/>
    <mergeCell ref="S919:T919"/>
    <mergeCell ref="S920:T920"/>
    <mergeCell ref="P921:Q921"/>
    <mergeCell ref="S921:T921"/>
    <mergeCell ref="P922:Q922"/>
    <mergeCell ref="S922:T922"/>
    <mergeCell ref="S923:T923"/>
    <mergeCell ref="P928:Q928"/>
    <mergeCell ref="P929:Q929"/>
    <mergeCell ref="P930:Q930"/>
    <mergeCell ref="S924:T924"/>
    <mergeCell ref="S925:T925"/>
    <mergeCell ref="P926:Q926"/>
    <mergeCell ref="S926:T926"/>
    <mergeCell ref="P927:Q927"/>
    <mergeCell ref="S927:T927"/>
    <mergeCell ref="S928:T928"/>
    <mergeCell ref="P933:Q933"/>
    <mergeCell ref="P934:Q934"/>
    <mergeCell ref="P935:Q935"/>
    <mergeCell ref="S929:T929"/>
    <mergeCell ref="S930:T930"/>
    <mergeCell ref="P931:Q931"/>
    <mergeCell ref="S931:T931"/>
    <mergeCell ref="P932:Q932"/>
    <mergeCell ref="S932:T932"/>
    <mergeCell ref="S933:T933"/>
    <mergeCell ref="P938:Q938"/>
    <mergeCell ref="P939:Q939"/>
    <mergeCell ref="P940:Q940"/>
    <mergeCell ref="S934:T934"/>
    <mergeCell ref="S935:T935"/>
    <mergeCell ref="P936:Q936"/>
    <mergeCell ref="S936:T936"/>
    <mergeCell ref="P937:Q937"/>
    <mergeCell ref="S937:T937"/>
    <mergeCell ref="S938:T938"/>
  </mergeCells>
  <dataValidations>
    <dataValidation type="list" allowBlank="1" showErrorMessage="1" sqref="C2:C7 F2:F7 I2:I7 L2:L7 O2:O7 R2:R7 U2:U7 C9:C14 F9:F14 I9:I14 L9:L14 O9:O14 R9:R14 U9:U14 C16:C21 F16:F21 I16:I21 L16:L21 O16:O21 R16:R21 U16:U21 C23:C28 F23:F28 I23:I28 L23:L28 O23:O28 R23:R28 U23:U28 C30:C35 F30:F35 I30:I35 L30:L35 O30:O35 R30:R35 U30:U35 C37:C42 F37:F42 I37:I42 L37:L42 O37:O42 R37:R42 U37:U42 C44:C49 F44:F49 I44:I49 L44:L49 O44:O49 R44:R49 U44:U49">
      <formula1>"Initial,In Process,Completed"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8" width="25.75"/>
    <col customWidth="1" min="9" max="9" width="30.63"/>
    <col customWidth="1" min="10" max="10" width="25.75"/>
    <col customWidth="1" hidden="1" min="11" max="12" width="25.75"/>
  </cols>
  <sheetData>
    <row r="1">
      <c r="A1" s="80"/>
      <c r="B1" s="80"/>
      <c r="C1" s="80" t="s">
        <v>709</v>
      </c>
      <c r="E1" s="80" t="s">
        <v>710</v>
      </c>
      <c r="F1" s="80" t="s">
        <v>711</v>
      </c>
      <c r="G1" s="80" t="s">
        <v>712</v>
      </c>
      <c r="H1" s="80" t="s">
        <v>713</v>
      </c>
      <c r="I1" s="80" t="s">
        <v>714</v>
      </c>
      <c r="J1" s="80"/>
      <c r="K1" s="81"/>
      <c r="L1" s="82" t="str">
        <f>IFERROR(__xludf.DUMMYFUNCTION("if(REGEXMATCH(E1, ""Write to Impress""), CONCATENATE(E1, K1), IF(REGEXMATCH(E1, ""Sharpen Your Sentences""), concatenate(E1, K1), concatenate(""Build Your Vocabulary"", K1)))"),"Build Your Vocabulary")</f>
        <v>Build Your Vocabulary</v>
      </c>
    </row>
    <row r="2">
      <c r="A2" s="83"/>
      <c r="B2" s="83"/>
      <c r="C2" s="83" t="s">
        <v>10</v>
      </c>
      <c r="D2" s="83" t="s">
        <v>715</v>
      </c>
      <c r="E2" s="83" t="s">
        <v>11</v>
      </c>
      <c r="F2" s="83" t="s">
        <v>716</v>
      </c>
      <c r="G2" s="83" t="s">
        <v>717</v>
      </c>
      <c r="H2" s="83" t="s">
        <v>718</v>
      </c>
      <c r="I2" s="83" t="s">
        <v>719</v>
      </c>
      <c r="J2" s="83"/>
      <c r="K2" s="81"/>
      <c r="L2" s="82" t="str">
        <f>IFERROR(__xludf.DUMMYFUNCTION("if(REGEXMATCH(E2, ""Write to Impress""), CONCATENATE(E2, K2), IF(REGEXMATCH(E2, ""Sharpen Your Sentences""), concatenate(E2, K2), concatenate(""Build Your Vocabulary"", K2)))"),"Build Your Vocabulary")</f>
        <v>Build Your Vocabulary</v>
      </c>
    </row>
    <row r="3" ht="42.0" customHeight="1">
      <c r="A3" s="84" t="s">
        <v>720</v>
      </c>
      <c r="B3" s="85" t="s">
        <v>721</v>
      </c>
      <c r="C3" s="84" t="s">
        <v>17</v>
      </c>
      <c r="D3" s="84"/>
      <c r="E3" s="86" t="s">
        <v>722</v>
      </c>
      <c r="F3" s="87" t="s">
        <v>723</v>
      </c>
      <c r="G3" s="87" t="s">
        <v>724</v>
      </c>
      <c r="H3" s="88" t="s">
        <v>725</v>
      </c>
      <c r="I3" s="82" t="s">
        <v>726</v>
      </c>
      <c r="J3" s="82"/>
      <c r="K3" s="82"/>
      <c r="L3" s="82" t="str">
        <f>IFERROR(__xludf.DUMMYFUNCTION("if(REGEXMATCH(E3, ""Write to Impress""), CONCATENATE(E3, K3), IF(REGEXMATCH(E3, ""Sharpen Your Sentences""), concatenate(E3, K3), concatenate(""Build Your Vocabulary"", K3)))"),"Build Your Vocabulary")</f>
        <v>Build Your Vocabulary</v>
      </c>
    </row>
    <row r="4" ht="42.0" customHeight="1">
      <c r="B4" s="89" t="s">
        <v>727</v>
      </c>
      <c r="C4" s="84" t="s">
        <v>27</v>
      </c>
      <c r="D4" s="84"/>
      <c r="E4" s="86" t="s">
        <v>728</v>
      </c>
      <c r="I4" s="82" t="s">
        <v>726</v>
      </c>
      <c r="J4" s="82"/>
      <c r="K4" s="82"/>
      <c r="L4" s="82" t="str">
        <f>IFERROR(__xludf.DUMMYFUNCTION("if(REGEXMATCH(E4, ""Write to Impress""), CONCATENATE(E4, K4), IF(REGEXMATCH(E4, ""Sharpen Your Sentences""), concatenate(E4, K4), concatenate(""Build Your Vocabulary"", K4)))"),"Build Your Vocabulary")</f>
        <v>Build Your Vocabulary</v>
      </c>
    </row>
    <row r="5" ht="48.0" customHeight="1">
      <c r="B5" s="89" t="s">
        <v>727</v>
      </c>
      <c r="C5" s="90" t="s">
        <v>729</v>
      </c>
      <c r="D5" s="90"/>
      <c r="E5" s="86" t="s">
        <v>730</v>
      </c>
      <c r="I5" s="88" t="s">
        <v>731</v>
      </c>
      <c r="J5" s="82"/>
      <c r="K5" s="82">
        <v>611.0</v>
      </c>
      <c r="L5" s="82" t="str">
        <f>IFERROR(__xludf.DUMMYFUNCTION("if(REGEXMATCH(E5, ""Write to Impress""), CONCATENATE(E5, K5), IF(REGEXMATCH(E5, ""Sharpen Your Sentences""), concatenate(E5, K5), concatenate(""Build Your Vocabulary"", K5)))"),"Build Your Vocabulary611")</f>
        <v>Build Your Vocabulary611</v>
      </c>
    </row>
    <row r="6" ht="42.0" customHeight="1">
      <c r="B6" s="89" t="s">
        <v>732</v>
      </c>
      <c r="C6" s="91" t="s">
        <v>733</v>
      </c>
      <c r="D6" s="91"/>
      <c r="E6" s="86" t="s">
        <v>734</v>
      </c>
      <c r="I6" s="88" t="s">
        <v>735</v>
      </c>
      <c r="J6" s="82"/>
      <c r="K6" s="82">
        <v>612.0</v>
      </c>
      <c r="L6" s="82" t="str">
        <f>IFERROR(__xludf.DUMMYFUNCTION("if(REGEXMATCH(E6, ""Write to Impress""), CONCATENATE(E6, K6), IF(REGEXMATCH(E6, ""Sharpen Your Sentences""), concatenate(E6, K6), concatenate(""Build Your Vocabulary"", K6)))"),"Build Your Vocabulary612")</f>
        <v>Build Your Vocabulary612</v>
      </c>
    </row>
    <row r="7" ht="42.0" customHeight="1">
      <c r="B7" s="89" t="s">
        <v>736</v>
      </c>
      <c r="C7" s="91" t="s">
        <v>737</v>
      </c>
      <c r="D7" s="91"/>
      <c r="E7" s="86" t="s">
        <v>738</v>
      </c>
      <c r="I7" s="88" t="s">
        <v>739</v>
      </c>
      <c r="J7" s="82"/>
      <c r="K7" s="82">
        <v>613.0</v>
      </c>
      <c r="L7" s="82" t="str">
        <f>IFERROR(__xludf.DUMMYFUNCTION("if(REGEXMATCH(E7, ""Write to Impress""), CONCATENATE(E7, K7), IF(REGEXMATCH(E7, ""Sharpen Your Sentences""), concatenate(E7, K7), concatenate(""Build Your Vocabulary"", K7)))"),"Build Your Vocabulary613")</f>
        <v>Build Your Vocabulary613</v>
      </c>
    </row>
    <row r="8" ht="50.25" customHeight="1">
      <c r="B8" s="89" t="s">
        <v>740</v>
      </c>
      <c r="C8" s="91" t="s">
        <v>741</v>
      </c>
      <c r="D8" s="91"/>
      <c r="E8" s="86" t="s">
        <v>742</v>
      </c>
      <c r="I8" s="88" t="s">
        <v>726</v>
      </c>
      <c r="J8" s="82"/>
      <c r="K8" s="82">
        <v>614.0</v>
      </c>
      <c r="L8" s="82" t="str">
        <f>IFERROR(__xludf.DUMMYFUNCTION("if(REGEXMATCH(E8, ""Write to Impress""), CONCATENATE(E8, K8), IF(REGEXMATCH(E8, ""Sharpen Your Sentences""), concatenate(E8, K8), concatenate(""Build Your Vocabulary"", K8)))"),"Build Your Vocabulary614")</f>
        <v>Build Your Vocabulary614</v>
      </c>
    </row>
    <row r="9">
      <c r="A9" s="80"/>
      <c r="B9" s="80"/>
      <c r="C9" s="80"/>
      <c r="D9" s="80" t="s">
        <v>743</v>
      </c>
      <c r="J9" s="80"/>
      <c r="K9" s="80"/>
      <c r="L9" s="82" t="str">
        <f>IFERROR(__xludf.DUMMYFUNCTION("if(REGEXMATCH(E9, ""Write to Impress""), CONCATENATE(E9, K9), IF(REGEXMATCH(E9, ""Sharpen Your Sentences""), concatenate(E9, K9), concatenate(""Build Your Vocabulary"", K9)))"),"Build Your Vocabulary")</f>
        <v>Build Your Vocabulary</v>
      </c>
    </row>
    <row r="10">
      <c r="A10" s="83"/>
      <c r="B10" s="83"/>
      <c r="C10" s="83" t="s">
        <v>10</v>
      </c>
      <c r="D10" s="83" t="s">
        <v>715</v>
      </c>
      <c r="E10" s="83" t="s">
        <v>11</v>
      </c>
      <c r="F10" s="83" t="s">
        <v>716</v>
      </c>
      <c r="G10" s="83" t="s">
        <v>717</v>
      </c>
      <c r="H10" s="83" t="s">
        <v>718</v>
      </c>
      <c r="I10" s="83" t="s">
        <v>719</v>
      </c>
      <c r="J10" s="83"/>
      <c r="K10" s="83"/>
      <c r="L10" s="82" t="str">
        <f>IFERROR(__xludf.DUMMYFUNCTION("if(REGEXMATCH(E10, ""Write to Impress""), CONCATENATE(E10, K10), IF(REGEXMATCH(E10, ""Sharpen Your Sentences""), concatenate(E10, K10), concatenate(""Build Your Vocabulary"", K10)))"),"Build Your Vocabulary")</f>
        <v>Build Your Vocabulary</v>
      </c>
    </row>
    <row r="11" ht="43.5" customHeight="1">
      <c r="A11" s="84" t="s">
        <v>744</v>
      </c>
      <c r="B11" s="92" t="s">
        <v>745</v>
      </c>
      <c r="C11" s="91" t="s">
        <v>746</v>
      </c>
      <c r="D11" s="91"/>
      <c r="E11" s="93" t="s">
        <v>747</v>
      </c>
      <c r="F11" s="87" t="s">
        <v>748</v>
      </c>
      <c r="G11" s="82" t="s">
        <v>749</v>
      </c>
      <c r="H11" s="82" t="s">
        <v>750</v>
      </c>
      <c r="I11" s="82" t="s">
        <v>751</v>
      </c>
      <c r="J11" s="82"/>
      <c r="K11" s="82">
        <v>621.0</v>
      </c>
      <c r="L11" s="82" t="str">
        <f>IFERROR(__xludf.DUMMYFUNCTION("if(REGEXMATCH(E11, ""Write to Impress""), CONCATENATE(E11, K11), IF(REGEXMATCH(E11, ""Sharpen Your Sentences""), concatenate(E11, K11), concatenate(""Build Your Vocabulary"", K11)))"),"Build Your Vocabulary621")</f>
        <v>Build Your Vocabulary621</v>
      </c>
    </row>
    <row r="12" ht="41.25" customHeight="1">
      <c r="B12" s="92" t="s">
        <v>752</v>
      </c>
      <c r="C12" s="91" t="s">
        <v>753</v>
      </c>
      <c r="D12" s="91"/>
      <c r="E12" s="93" t="s">
        <v>754</v>
      </c>
      <c r="I12" s="82" t="s">
        <v>755</v>
      </c>
      <c r="J12" s="82"/>
      <c r="K12" s="82">
        <v>622.0</v>
      </c>
      <c r="L12" s="82" t="str">
        <f>IFERROR(__xludf.DUMMYFUNCTION("if(REGEXMATCH(E12, ""Write to Impress""), CONCATENATE(E12, K12), IF(REGEXMATCH(E12, ""Sharpen Your Sentences""), concatenate(E12, K12), concatenate(""Build Your Vocabulary"", K12)))"),"Build Your Vocabulary622")</f>
        <v>Build Your Vocabulary622</v>
      </c>
    </row>
    <row r="13" ht="39.75" customHeight="1">
      <c r="B13" s="92" t="s">
        <v>756</v>
      </c>
      <c r="C13" s="90" t="s">
        <v>757</v>
      </c>
      <c r="D13" s="90"/>
      <c r="E13" s="93" t="s">
        <v>758</v>
      </c>
      <c r="I13" s="82" t="s">
        <v>759</v>
      </c>
      <c r="J13" s="82"/>
      <c r="K13" s="82">
        <v>623.0</v>
      </c>
      <c r="L13" s="82" t="str">
        <f>IFERROR(__xludf.DUMMYFUNCTION("if(REGEXMATCH(E13, ""Write to Impress""), CONCATENATE(E13, K13), IF(REGEXMATCH(E13, ""Sharpen Your Sentences""), concatenate(E13, K13), concatenate(""Build Your Vocabulary"", K13)))"),"Build Your Vocabulary623")</f>
        <v>Build Your Vocabulary623</v>
      </c>
    </row>
    <row r="14" ht="75.0" customHeight="1">
      <c r="B14" s="92" t="s">
        <v>760</v>
      </c>
      <c r="C14" s="90" t="s">
        <v>761</v>
      </c>
      <c r="D14" s="90"/>
      <c r="E14" s="93" t="s">
        <v>762</v>
      </c>
      <c r="I14" s="82" t="s">
        <v>763</v>
      </c>
      <c r="J14" s="82"/>
      <c r="K14" s="82">
        <v>624.0</v>
      </c>
      <c r="L14" s="82" t="str">
        <f>IFERROR(__xludf.DUMMYFUNCTION("if(REGEXMATCH(E14, ""Write to Impress""), CONCATENATE(E14, K14), IF(REGEXMATCH(E14, ""Sharpen Your Sentences""), concatenate(E14, K14), concatenate(""Build Your Vocabulary"", K14)))"),"Build Your Vocabulary624")</f>
        <v>Build Your Vocabulary624</v>
      </c>
    </row>
    <row r="15">
      <c r="A15" s="80"/>
      <c r="B15" s="80"/>
      <c r="C15" s="80"/>
      <c r="D15" s="94" t="s">
        <v>743</v>
      </c>
      <c r="J15" s="95"/>
      <c r="K15" s="80"/>
      <c r="L15" s="82" t="str">
        <f>IFERROR(__xludf.DUMMYFUNCTION("if(REGEXMATCH(E15, ""Write to Impress""), CONCATENATE(E15, K15), IF(REGEXMATCH(E15, ""Sharpen Your Sentences""), concatenate(E15, K15), concatenate(""Build Your Vocabulary"", K15)))"),"Build Your Vocabulary")</f>
        <v>Build Your Vocabulary</v>
      </c>
    </row>
    <row r="16" ht="66.75" customHeight="1">
      <c r="A16" s="83"/>
      <c r="B16" s="83"/>
      <c r="C16" s="83" t="s">
        <v>10</v>
      </c>
      <c r="D16" s="83" t="s">
        <v>715</v>
      </c>
      <c r="E16" s="83" t="s">
        <v>11</v>
      </c>
      <c r="F16" s="83" t="s">
        <v>716</v>
      </c>
      <c r="G16" s="83" t="s">
        <v>717</v>
      </c>
      <c r="H16" s="83" t="s">
        <v>718</v>
      </c>
      <c r="I16" s="83" t="s">
        <v>719</v>
      </c>
      <c r="J16" s="83"/>
      <c r="K16" s="83"/>
      <c r="L16" s="82" t="str">
        <f>IFERROR(__xludf.DUMMYFUNCTION("if(REGEXMATCH(E16, ""Write to Impress""), CONCATENATE(E16, K16), IF(REGEXMATCH(E16, ""Sharpen Your Sentences""), concatenate(E16, K16), concatenate(""Build Your Vocabulary"", K16)))"),"Build Your Vocabulary")</f>
        <v>Build Your Vocabulary</v>
      </c>
    </row>
    <row r="17" ht="42.0" customHeight="1">
      <c r="A17" s="84" t="s">
        <v>764</v>
      </c>
      <c r="B17" s="92" t="s">
        <v>765</v>
      </c>
      <c r="C17" s="96" t="s">
        <v>766</v>
      </c>
      <c r="D17" s="90"/>
      <c r="E17" s="93" t="s">
        <v>767</v>
      </c>
      <c r="F17" s="87" t="s">
        <v>768</v>
      </c>
      <c r="G17" s="82" t="s">
        <v>769</v>
      </c>
      <c r="H17" s="82" t="s">
        <v>770</v>
      </c>
      <c r="I17" s="82" t="s">
        <v>771</v>
      </c>
      <c r="J17" s="82"/>
      <c r="K17" s="82">
        <v>631.0</v>
      </c>
      <c r="L17" s="82" t="str">
        <f>IFERROR(__xludf.DUMMYFUNCTION("if(REGEXMATCH(E17, ""Write to Impress""), CONCATENATE(E17, K17), IF(REGEXMATCH(E17, ""Sharpen Your Sentences""), concatenate(E17, K17), concatenate(""Build Your Vocabulary"", K17)))"),"Build Your Vocabulary631")</f>
        <v>Build Your Vocabulary631</v>
      </c>
    </row>
    <row r="18" ht="51.0" customHeight="1">
      <c r="B18" s="92" t="s">
        <v>772</v>
      </c>
      <c r="C18" s="90" t="s">
        <v>773</v>
      </c>
      <c r="D18" s="90"/>
      <c r="E18" s="93" t="s">
        <v>774</v>
      </c>
      <c r="I18" s="82" t="s">
        <v>755</v>
      </c>
      <c r="J18" s="82"/>
      <c r="K18" s="82">
        <v>632.0</v>
      </c>
      <c r="L18" s="82" t="str">
        <f>IFERROR(__xludf.DUMMYFUNCTION("if(REGEXMATCH(E18, ""Write to Impress""), CONCATENATE(E18, K18), IF(REGEXMATCH(E18, ""Sharpen Your Sentences""), concatenate(E18, K18), concatenate(""Build Your Vocabulary"", K18)))"),"Build Your Vocabulary632")</f>
        <v>Build Your Vocabulary632</v>
      </c>
    </row>
    <row r="19" ht="42.0" customHeight="1">
      <c r="B19" s="92" t="s">
        <v>775</v>
      </c>
      <c r="C19" s="90" t="s">
        <v>776</v>
      </c>
      <c r="D19" s="90"/>
      <c r="E19" s="93" t="s">
        <v>777</v>
      </c>
      <c r="I19" s="82" t="s">
        <v>778</v>
      </c>
      <c r="J19" s="82"/>
      <c r="K19" s="82">
        <v>633.0</v>
      </c>
      <c r="L19" s="82" t="str">
        <f>IFERROR(__xludf.DUMMYFUNCTION("if(REGEXMATCH(E19, ""Write to Impress""), CONCATENATE(E19, K19), IF(REGEXMATCH(E19, ""Sharpen Your Sentences""), concatenate(E19, K19), concatenate(""Build Your Vocabulary"", K19)))"),"Build Your Vocabulary633")</f>
        <v>Build Your Vocabulary633</v>
      </c>
    </row>
    <row r="20" ht="81.0" customHeight="1">
      <c r="B20" s="92" t="s">
        <v>779</v>
      </c>
      <c r="C20" s="90" t="s">
        <v>780</v>
      </c>
      <c r="D20" s="90"/>
      <c r="E20" s="93" t="s">
        <v>781</v>
      </c>
      <c r="I20" s="82" t="s">
        <v>782</v>
      </c>
      <c r="J20" s="82"/>
      <c r="K20" s="82">
        <v>634.0</v>
      </c>
      <c r="L20" s="82" t="str">
        <f>IFERROR(__xludf.DUMMYFUNCTION("if(REGEXMATCH(E20, ""Write to Impress""), CONCATENATE(E20, K20), IF(REGEXMATCH(E20, ""Sharpen Your Sentences""), concatenate(E20, K20), concatenate(""Build Your Vocabulary"", K20)))"),"Build Your Vocabulary: Word Analysis
Best Practices: Visual Vocabulary
Write to Impress: Understanding Figurative Language634")</f>
        <v>Build Your Vocabulary: Word Analysis
Best Practices: Visual Vocabulary
Write to Impress: Understanding Figurative Language634</v>
      </c>
    </row>
    <row r="21">
      <c r="A21" s="80"/>
      <c r="B21" s="80"/>
      <c r="C21" s="80" t="s">
        <v>743</v>
      </c>
      <c r="I21" s="80"/>
      <c r="J21" s="80"/>
      <c r="K21" s="80"/>
      <c r="L21" s="82" t="str">
        <f>IFERROR(__xludf.DUMMYFUNCTION("if(REGEXMATCH(E21, ""Write to Impress""), CONCATENATE(E21, K21), IF(REGEXMATCH(E21, ""Sharpen Your Sentences""), concatenate(E21, K21), concatenate(""Build Your Vocabulary"", K21)))"),"Build Your Vocabulary")</f>
        <v>Build Your Vocabulary</v>
      </c>
    </row>
    <row r="22" ht="66.75" customHeight="1">
      <c r="A22" s="83"/>
      <c r="B22" s="83"/>
      <c r="C22" s="83" t="s">
        <v>10</v>
      </c>
      <c r="D22" s="83" t="s">
        <v>715</v>
      </c>
      <c r="E22" s="83" t="s">
        <v>11</v>
      </c>
      <c r="F22" s="83" t="s">
        <v>716</v>
      </c>
      <c r="G22" s="83" t="s">
        <v>717</v>
      </c>
      <c r="H22" s="83" t="s">
        <v>718</v>
      </c>
      <c r="I22" s="83" t="s">
        <v>719</v>
      </c>
      <c r="J22" s="83"/>
      <c r="K22" s="83"/>
      <c r="L22" s="82" t="str">
        <f>IFERROR(__xludf.DUMMYFUNCTION("if(REGEXMATCH(E22, ""Write to Impress""), CONCATENATE(E22, K22), IF(REGEXMATCH(E22, ""Sharpen Your Sentences""), concatenate(E22, K22), concatenate(""Build Your Vocabulary"", K22)))"),"Build Your Vocabulary")</f>
        <v>Build Your Vocabulary</v>
      </c>
    </row>
    <row r="23" ht="71.25" customHeight="1">
      <c r="A23" s="84" t="s">
        <v>783</v>
      </c>
      <c r="B23" s="92" t="s">
        <v>784</v>
      </c>
      <c r="C23" s="96" t="s">
        <v>785</v>
      </c>
      <c r="D23" s="96" t="s">
        <v>786</v>
      </c>
      <c r="E23" s="93" t="s">
        <v>787</v>
      </c>
      <c r="F23" s="87" t="s">
        <v>788</v>
      </c>
      <c r="G23" s="82" t="s">
        <v>789</v>
      </c>
      <c r="H23" s="82" t="s">
        <v>790</v>
      </c>
      <c r="I23" s="82" t="s">
        <v>791</v>
      </c>
      <c r="J23" s="82"/>
      <c r="K23" s="82">
        <v>641.0</v>
      </c>
      <c r="L23" s="82" t="str">
        <f>IFERROR(__xludf.DUMMYFUNCTION("if(REGEXMATCH(E23, ""Write to Impress""), CONCATENATE(E23, K23), IF(REGEXMATCH(E23, ""Sharpen Your Sentences""), concatenate(E23, K23), concatenate(""Build Your Vocabulary"", K23)))"),"Build Your Vocabulary: Concept Map
Best Practices: Root Word Challenge
Write to Impress: Use Greek and Latin Roots and Affixes641")</f>
        <v>Build Your Vocabulary: Concept Map
Best Practices: Root Word Challenge
Write to Impress: Use Greek and Latin Roots and Affixes641</v>
      </c>
    </row>
    <row r="24" ht="81.75" customHeight="1">
      <c r="A24" s="90"/>
      <c r="B24" s="92" t="s">
        <v>792</v>
      </c>
      <c r="C24" s="90" t="s">
        <v>793</v>
      </c>
      <c r="D24" s="90" t="s">
        <v>794</v>
      </c>
      <c r="E24" s="93" t="s">
        <v>795</v>
      </c>
      <c r="I24" s="82" t="s">
        <v>755</v>
      </c>
      <c r="J24" s="82"/>
      <c r="K24" s="82">
        <v>642.0</v>
      </c>
      <c r="L24" s="82" t="str">
        <f>IFERROR(__xludf.DUMMYFUNCTION("if(REGEXMATCH(E24, ""Write to Impress""), CONCATENATE(E24, K24), IF(REGEXMATCH(E24, ""Sharpen Your Sentences""), concatenate(E24, K24), concatenate(""Build Your Vocabulary"", K24)))"),"Build Your Vocabulary: Word Study
Best Practices: Vocabulary Role Playing
Write to Impress: Consult Reference Materials642")</f>
        <v>Build Your Vocabulary: Word Study
Best Practices: Vocabulary Role Playing
Write to Impress: Consult Reference Materials642</v>
      </c>
    </row>
    <row r="25" ht="63.75" customHeight="1">
      <c r="A25" s="90"/>
      <c r="B25" s="92" t="s">
        <v>796</v>
      </c>
      <c r="C25" s="90" t="s">
        <v>797</v>
      </c>
      <c r="D25" s="90"/>
      <c r="E25" s="93" t="s">
        <v>798</v>
      </c>
      <c r="I25" s="82" t="s">
        <v>799</v>
      </c>
      <c r="J25" s="82"/>
      <c r="K25" s="82">
        <v>643.0</v>
      </c>
      <c r="L25" s="82" t="str">
        <f>IFERROR(__xludf.DUMMYFUNCTION("if(REGEXMATCH(E25, ""Write to Impress""), CONCATENATE(E25, K25), IF(REGEXMATCH(E25, ""Sharpen Your Sentences""), concatenate(E25, K25), concatenate(""Build Your Vocabulary"", K25)))"),"Build Your Vocabulary: Concept Map
Best Practices: Dig Into Root Words
Write to Impress: Verify a Definition643")</f>
        <v>Build Your Vocabulary: Concept Map
Best Practices: Dig Into Root Words
Write to Impress: Verify a Definition643</v>
      </c>
    </row>
    <row r="26" ht="42.75" customHeight="1">
      <c r="A26" s="90"/>
      <c r="B26" s="92" t="s">
        <v>800</v>
      </c>
      <c r="C26" s="90" t="s">
        <v>801</v>
      </c>
      <c r="D26" s="90"/>
      <c r="E26" s="93" t="s">
        <v>802</v>
      </c>
      <c r="I26" s="82" t="s">
        <v>799</v>
      </c>
      <c r="J26" s="82"/>
      <c r="K26" s="82">
        <v>643.0</v>
      </c>
      <c r="L26" s="82" t="str">
        <f>IFERROR(__xludf.DUMMYFUNCTION("if(REGEXMATCH(E26, ""Write to Impress""), CONCATENATE(E26, K26), IF(REGEXMATCH(E26, ""Sharpen Your Sentences""), concatenate(E26, K26), concatenate(""Build Your Vocabulary"", K26)))"),"Build Your Vocabulary643")</f>
        <v>Build Your Vocabulary643</v>
      </c>
    </row>
    <row r="27">
      <c r="A27" s="80"/>
      <c r="B27" s="80"/>
      <c r="C27" s="80"/>
      <c r="D27" s="80" t="s">
        <v>743</v>
      </c>
      <c r="J27" s="80"/>
      <c r="K27" s="80"/>
      <c r="L27" s="82" t="str">
        <f>IFERROR(__xludf.DUMMYFUNCTION("if(REGEXMATCH(E27, ""Write to Impress""), CONCATENATE(E27, K27), IF(REGEXMATCH(E27, ""Sharpen Your Sentences""), concatenate(E27, K27), concatenate(""Build Your Vocabulary"", K27)))"),"Build Your Vocabulary")</f>
        <v>Build Your Vocabulary</v>
      </c>
    </row>
    <row r="28">
      <c r="A28" s="83"/>
      <c r="B28" s="83"/>
      <c r="C28" s="83" t="s">
        <v>10</v>
      </c>
      <c r="D28" s="83" t="s">
        <v>715</v>
      </c>
      <c r="E28" s="83" t="s">
        <v>11</v>
      </c>
      <c r="F28" s="83" t="s">
        <v>716</v>
      </c>
      <c r="G28" s="83" t="s">
        <v>717</v>
      </c>
      <c r="H28" s="83" t="s">
        <v>718</v>
      </c>
      <c r="I28" s="83" t="s">
        <v>719</v>
      </c>
      <c r="J28" s="83"/>
      <c r="K28" s="83"/>
      <c r="L28" s="82" t="str">
        <f>IFERROR(__xludf.DUMMYFUNCTION("if(REGEXMATCH(E28, ""Write to Impress""), CONCATENATE(E28, K28), IF(REGEXMATCH(E28, ""Sharpen Your Sentences""), concatenate(E28, K28), concatenate(""Build Your Vocabulary"", K28)))"),"Build Your Vocabulary")</f>
        <v>Build Your Vocabulary</v>
      </c>
    </row>
    <row r="29" ht="43.5" customHeight="1">
      <c r="A29" s="84" t="s">
        <v>803</v>
      </c>
      <c r="B29" s="92" t="s">
        <v>804</v>
      </c>
      <c r="C29" s="96" t="s">
        <v>805</v>
      </c>
      <c r="D29" s="96"/>
      <c r="E29" s="93" t="s">
        <v>806</v>
      </c>
      <c r="F29" s="87" t="s">
        <v>807</v>
      </c>
      <c r="G29" s="82" t="s">
        <v>808</v>
      </c>
      <c r="H29" s="82" t="s">
        <v>809</v>
      </c>
      <c r="I29" s="82" t="s">
        <v>810</v>
      </c>
      <c r="J29" s="82"/>
      <c r="K29" s="82">
        <v>651.0</v>
      </c>
      <c r="L29" s="82" t="str">
        <f>IFERROR(__xludf.DUMMYFUNCTION("if(REGEXMATCH(E29, ""Write to Impress""), CONCATENATE(E29, K29), IF(REGEXMATCH(E29, ""Sharpen Your Sentences""), concatenate(E29, K29), concatenate(""Build Your Vocabulary"", K29)))"),"Build Your Vocabulary651")</f>
        <v>Build Your Vocabulary651</v>
      </c>
    </row>
    <row r="30" ht="93.0" customHeight="1">
      <c r="B30" s="92" t="s">
        <v>811</v>
      </c>
      <c r="C30" s="90" t="s">
        <v>812</v>
      </c>
      <c r="D30" s="90" t="s">
        <v>813</v>
      </c>
      <c r="E30" s="93" t="s">
        <v>814</v>
      </c>
      <c r="I30" s="82" t="s">
        <v>755</v>
      </c>
      <c r="J30" s="82"/>
      <c r="K30" s="82">
        <v>652.0</v>
      </c>
      <c r="L30" s="82" t="str">
        <f>IFERROR(__xludf.DUMMYFUNCTION("if(REGEXMATCH(E30, ""Write to Impress""), CONCATENATE(E30, K30), IF(REGEXMATCH(E30, ""Sharpen Your Sentences""), concatenate(E30, K30), concatenate(""Build Your Vocabulary"", K30)))"),"Build Your Vocabulary: Map a Word
Best Practices: Storytelling with Vocabulary
Write to Impress: Distinguish Between Connotation and Denotation652")</f>
        <v>Build Your Vocabulary: Map a Word
Best Practices: Storytelling with Vocabulary
Write to Impress: Distinguish Between Connotation and Denotation652</v>
      </c>
    </row>
    <row r="31" ht="81.75" customHeight="1">
      <c r="B31" s="92" t="s">
        <v>815</v>
      </c>
      <c r="C31" s="90" t="s">
        <v>816</v>
      </c>
      <c r="D31" s="90"/>
      <c r="E31" s="93" t="s">
        <v>817</v>
      </c>
      <c r="I31" s="82" t="s">
        <v>755</v>
      </c>
      <c r="J31" s="82"/>
      <c r="K31" s="82">
        <v>652.0</v>
      </c>
      <c r="L31" s="82" t="str">
        <f>IFERROR(__xludf.DUMMYFUNCTION("if(REGEXMATCH(E31, ""Write to Impress""), CONCATENATE(E31, K31), IF(REGEXMATCH(E31, ""Sharpen Your Sentences""), concatenate(E31, K31), concatenate(""Build Your Vocabulary"", K31)))"),"Build Your Vocabulary652")</f>
        <v>Build Your Vocabulary652</v>
      </c>
    </row>
    <row r="32">
      <c r="A32" s="80"/>
      <c r="B32" s="80"/>
      <c r="C32" s="80"/>
      <c r="D32" s="80" t="s">
        <v>743</v>
      </c>
      <c r="J32" s="80"/>
      <c r="K32" s="80"/>
      <c r="L32" s="82" t="str">
        <f>IFERROR(__xludf.DUMMYFUNCTION("if(REGEXMATCH(E32, ""Write to Impress""), CONCATENATE(E32, K32), IF(REGEXMATCH(E32, ""Sharpen Your Sentences""), concatenate(E32, K32), concatenate(""Build Your Vocabulary"", K32)))"),"Build Your Vocabulary")</f>
        <v>Build Your Vocabulary</v>
      </c>
    </row>
    <row r="33">
      <c r="A33" s="83"/>
      <c r="B33" s="83"/>
      <c r="C33" s="83" t="s">
        <v>10</v>
      </c>
      <c r="D33" s="83" t="s">
        <v>715</v>
      </c>
      <c r="E33" s="83" t="s">
        <v>11</v>
      </c>
      <c r="F33" s="83" t="s">
        <v>716</v>
      </c>
      <c r="G33" s="83" t="s">
        <v>717</v>
      </c>
      <c r="H33" s="83" t="s">
        <v>718</v>
      </c>
      <c r="I33" s="83" t="s">
        <v>719</v>
      </c>
      <c r="J33" s="83"/>
      <c r="K33" s="83"/>
      <c r="L33" s="82" t="str">
        <f>IFERROR(__xludf.DUMMYFUNCTION("if(REGEXMATCH(E33, ""Write to Impress""), CONCATENATE(E33, K33), IF(REGEXMATCH(E33, ""Sharpen Your Sentences""), concatenate(E33, K33), concatenate(""Build Your Vocabulary"", K33)))"),"Build Your Vocabulary")</f>
        <v>Build Your Vocabulary</v>
      </c>
    </row>
    <row r="34" ht="70.5" customHeight="1">
      <c r="A34" s="84" t="s">
        <v>818</v>
      </c>
      <c r="B34" s="92" t="s">
        <v>819</v>
      </c>
      <c r="C34" s="96" t="s">
        <v>820</v>
      </c>
      <c r="D34" s="96" t="s">
        <v>821</v>
      </c>
      <c r="E34" s="93" t="s">
        <v>822</v>
      </c>
      <c r="F34" s="88" t="s">
        <v>823</v>
      </c>
      <c r="G34" s="88" t="s">
        <v>824</v>
      </c>
      <c r="H34" s="82" t="s">
        <v>825</v>
      </c>
      <c r="I34" s="82" t="s">
        <v>826</v>
      </c>
      <c r="J34" s="82"/>
      <c r="K34" s="82">
        <v>661.0</v>
      </c>
      <c r="L34" s="82" t="str">
        <f>IFERROR(__xludf.DUMMYFUNCTION("if(REGEXMATCH(E34, ""Write to Impress""), CONCATENATE(E34, K34), IF(REGEXMATCH(E34, ""Sharpen Your Sentences""), concatenate(E34, K34), concatenate(""Build Your Vocabulary"", K34)))"),"Build Your Vocabulary: Map a Word
Best Practices: Word Sort
Write to Impress: Use Context Clues for Meaning661")</f>
        <v>Build Your Vocabulary: Map a Word
Best Practices: Word Sort
Write to Impress: Use Context Clues for Meaning661</v>
      </c>
    </row>
    <row r="35" ht="46.5" customHeight="1">
      <c r="B35" s="92" t="s">
        <v>827</v>
      </c>
      <c r="C35" s="90" t="s">
        <v>828</v>
      </c>
      <c r="D35" s="90"/>
      <c r="E35" s="93" t="s">
        <v>829</v>
      </c>
      <c r="I35" s="82" t="s">
        <v>830</v>
      </c>
      <c r="J35" s="82"/>
      <c r="K35" s="82">
        <v>662.0</v>
      </c>
      <c r="L35" s="82" t="str">
        <f>IFERROR(__xludf.DUMMYFUNCTION("if(REGEXMATCH(E35, ""Write to Impress""), CONCATENATE(E35, K35), IF(REGEXMATCH(E35, ""Sharpen Your Sentences""), concatenate(E35, K35), concatenate(""Build Your Vocabulary"", K35)))"),"Build Your Vocabulary662")</f>
        <v>Build Your Vocabulary662</v>
      </c>
    </row>
    <row r="36" ht="82.5" customHeight="1">
      <c r="B36" s="92" t="s">
        <v>831</v>
      </c>
      <c r="C36" s="90" t="s">
        <v>832</v>
      </c>
      <c r="D36" s="90" t="s">
        <v>833</v>
      </c>
      <c r="E36" s="93" t="s">
        <v>834</v>
      </c>
      <c r="I36" s="82" t="s">
        <v>835</v>
      </c>
      <c r="J36" s="82"/>
      <c r="K36" s="82">
        <v>663.0</v>
      </c>
      <c r="L36" s="82" t="str">
        <f>IFERROR(__xludf.DUMMYFUNCTION("if(REGEXMATCH(E36, ""Write to Impress""), CONCATENATE(E36, K36), IF(REGEXMATCH(E36, ""Sharpen Your Sentences""), concatenate(E36, K36), concatenate(""Build Your Vocabulary"", K36)))"),"Build Your Vocabulary: Explore a Word
Best Practices: Vocabulary Bingo
Write to Impress: Understand Relationships Between Words663")</f>
        <v>Build Your Vocabulary: Explore a Word
Best Practices: Vocabulary Bingo
Write to Impress: Understand Relationships Between Words663</v>
      </c>
    </row>
    <row r="37" ht="55.5" customHeight="1">
      <c r="B37" s="92" t="s">
        <v>836</v>
      </c>
      <c r="C37" s="90" t="s">
        <v>801</v>
      </c>
      <c r="D37" s="90"/>
      <c r="E37" s="93" t="s">
        <v>837</v>
      </c>
      <c r="I37" s="82" t="s">
        <v>830</v>
      </c>
      <c r="J37" s="82"/>
      <c r="K37" s="82">
        <v>664.0</v>
      </c>
      <c r="L37" s="82" t="str">
        <f>IFERROR(__xludf.DUMMYFUNCTION("if(REGEXMATCH(E37, ""Write to Impress""), CONCATENATE(E37, K37), IF(REGEXMATCH(E37, ""Sharpen Your Sentences""), concatenate(E37, K37), concatenate(""Build Your Vocabulary"", K37)))"),"Build Your Vocabulary664")</f>
        <v>Build Your Vocabulary664</v>
      </c>
    </row>
    <row r="38">
      <c r="A38" s="80"/>
      <c r="B38" s="80"/>
      <c r="C38" s="80"/>
      <c r="D38" s="80" t="s">
        <v>743</v>
      </c>
      <c r="J38" s="80"/>
      <c r="K38" s="80"/>
      <c r="L38" s="82" t="str">
        <f>IFERROR(__xludf.DUMMYFUNCTION("if(REGEXMATCH(E38, ""Write to Impress""), CONCATENATE(E38, K38), IF(REGEXMATCH(E38, ""Sharpen Your Sentences""), concatenate(E38, K38), concatenate(""Build Your Vocabulary"", K38)))"),"Build Your Vocabulary")</f>
        <v>Build Your Vocabulary</v>
      </c>
    </row>
    <row r="39">
      <c r="A39" s="83"/>
      <c r="B39" s="83"/>
      <c r="C39" s="83" t="s">
        <v>10</v>
      </c>
      <c r="D39" s="83" t="s">
        <v>715</v>
      </c>
      <c r="E39" s="83" t="s">
        <v>11</v>
      </c>
      <c r="F39" s="83" t="s">
        <v>716</v>
      </c>
      <c r="G39" s="83" t="s">
        <v>717</v>
      </c>
      <c r="H39" s="83" t="s">
        <v>718</v>
      </c>
      <c r="I39" s="83" t="s">
        <v>719</v>
      </c>
      <c r="J39" s="83"/>
      <c r="K39" s="83"/>
      <c r="L39" s="82" t="str">
        <f>IFERROR(__xludf.DUMMYFUNCTION("if(REGEXMATCH(E39, ""Write to Impress""), CONCATENATE(E39, K39), IF(REGEXMATCH(E39, ""Sharpen Your Sentences""), concatenate(E39, K39), concatenate(""Build Your Vocabulary"", K39)))"),"Build Your Vocabulary")</f>
        <v>Build Your Vocabulary</v>
      </c>
    </row>
    <row r="40" ht="48.75" customHeight="1">
      <c r="A40" s="84" t="s">
        <v>838</v>
      </c>
      <c r="B40" s="92" t="s">
        <v>839</v>
      </c>
      <c r="C40" s="96" t="s">
        <v>840</v>
      </c>
      <c r="D40" s="96"/>
      <c r="E40" s="93" t="s">
        <v>841</v>
      </c>
      <c r="F40" s="87" t="s">
        <v>842</v>
      </c>
      <c r="G40" s="88" t="s">
        <v>843</v>
      </c>
      <c r="H40" s="88" t="s">
        <v>844</v>
      </c>
      <c r="I40" s="82" t="s">
        <v>755</v>
      </c>
      <c r="J40" s="82"/>
      <c r="K40" s="82">
        <v>671.0</v>
      </c>
      <c r="L40" s="82" t="str">
        <f>IFERROR(__xludf.DUMMYFUNCTION("if(REGEXMATCH(E40, ""Write to Impress""), CONCATENATE(E40, K40), IF(REGEXMATCH(E40, ""Sharpen Your Sentences""), concatenate(E40, K40), concatenate(""Build Your Vocabulary"", K40)))"),"Build Your Vocabulary671")</f>
        <v>Build Your Vocabulary671</v>
      </c>
    </row>
    <row r="41" ht="51.0" customHeight="1">
      <c r="B41" s="92" t="s">
        <v>845</v>
      </c>
      <c r="C41" s="96" t="s">
        <v>846</v>
      </c>
      <c r="D41" s="96"/>
      <c r="E41" s="93" t="s">
        <v>847</v>
      </c>
      <c r="I41" s="82" t="s">
        <v>848</v>
      </c>
      <c r="J41" s="82"/>
      <c r="K41" s="82">
        <v>672.0</v>
      </c>
      <c r="L41" s="82" t="str">
        <f>IFERROR(__xludf.DUMMYFUNCTION("if(REGEXMATCH(E41, ""Write to Impress""), CONCATENATE(E41, K41), IF(REGEXMATCH(E41, ""Sharpen Your Sentences""), concatenate(E41, K41), concatenate(""Build Your Vocabulary"", K41)))"),"Build Your Vocabulary672")</f>
        <v>Build Your Vocabulary672</v>
      </c>
    </row>
    <row r="42" ht="67.5" customHeight="1">
      <c r="B42" s="92" t="s">
        <v>849</v>
      </c>
      <c r="C42" s="96" t="s">
        <v>850</v>
      </c>
      <c r="D42" s="96" t="s">
        <v>851</v>
      </c>
      <c r="E42" s="93" t="s">
        <v>852</v>
      </c>
      <c r="I42" s="82" t="s">
        <v>759</v>
      </c>
      <c r="J42" s="82"/>
      <c r="K42" s="82">
        <v>673.0</v>
      </c>
      <c r="L42" s="82" t="str">
        <f>IFERROR(__xludf.DUMMYFUNCTION("if(REGEXMATCH(E42, ""Write to Impress""), CONCATENATE(E42, K42), IF(REGEXMATCH(E42, ""Sharpen Your Sentences""), concatenate(E42, K42), concatenate(""Build Your Vocabulary"", K42)))"),"Build Your Vocabulary: Map a Word
Best Practices: Gallery Walk
Write to Impress: Build Academic Vocabulary673")</f>
        <v>Build Your Vocabulary: Map a Word
Best Practices: Gallery Walk
Write to Impress: Build Academic Vocabulary673</v>
      </c>
    </row>
    <row r="43" ht="47.25" customHeight="1">
      <c r="B43" s="92" t="s">
        <v>853</v>
      </c>
      <c r="C43" s="96" t="s">
        <v>854</v>
      </c>
      <c r="D43" s="96"/>
      <c r="E43" s="93" t="s">
        <v>855</v>
      </c>
      <c r="I43" s="82" t="s">
        <v>856</v>
      </c>
      <c r="J43" s="82"/>
      <c r="K43" s="82">
        <v>674.0</v>
      </c>
      <c r="L43" s="82" t="str">
        <f>IFERROR(__xludf.DUMMYFUNCTION("if(REGEXMATCH(E43, ""Write to Impress""), CONCATENATE(E43, K43), IF(REGEXMATCH(E43, ""Sharpen Your Sentences""), concatenate(E43, K43), concatenate(""Build Your Vocabulary"", K43)))"),"Build Your Vocabulary674")</f>
        <v>Build Your Vocabulary674</v>
      </c>
    </row>
    <row r="44">
      <c r="A44" s="80"/>
      <c r="B44" s="80"/>
      <c r="C44" s="80"/>
      <c r="D44" s="80" t="s">
        <v>743</v>
      </c>
      <c r="J44" s="80"/>
      <c r="K44" s="80"/>
      <c r="L44" s="82" t="str">
        <f>IFERROR(__xludf.DUMMYFUNCTION("if(REGEXMATCH(E44, ""Write to Impress""), CONCATENATE(E44, K44), IF(REGEXMATCH(E44, ""Sharpen Your Sentences""), concatenate(E44, K44), concatenate(""Build Your Vocabulary"", K44)))"),"Build Your Vocabulary")</f>
        <v>Build Your Vocabulary</v>
      </c>
    </row>
    <row r="45">
      <c r="A45" s="83"/>
      <c r="B45" s="83"/>
      <c r="C45" s="83" t="s">
        <v>10</v>
      </c>
      <c r="D45" s="83" t="s">
        <v>715</v>
      </c>
      <c r="E45" s="83" t="s">
        <v>11</v>
      </c>
      <c r="F45" s="83" t="s">
        <v>716</v>
      </c>
      <c r="G45" s="83" t="s">
        <v>717</v>
      </c>
      <c r="H45" s="83" t="s">
        <v>718</v>
      </c>
      <c r="I45" s="83" t="s">
        <v>719</v>
      </c>
      <c r="J45" s="83"/>
      <c r="K45" s="83"/>
      <c r="L45" s="82" t="str">
        <f>IFERROR(__xludf.DUMMYFUNCTION("if(REGEXMATCH(E45, ""Write to Impress""), CONCATENATE(E45, K45), IF(REGEXMATCH(E45, ""Sharpen Your Sentences""), concatenate(E45, K45), concatenate(""Build Your Vocabulary"", K45)))"),"Build Your Vocabulary")</f>
        <v>Build Your Vocabulary</v>
      </c>
    </row>
    <row r="46" ht="66.0" customHeight="1">
      <c r="A46" s="84" t="s">
        <v>857</v>
      </c>
      <c r="B46" s="92" t="s">
        <v>858</v>
      </c>
      <c r="C46" s="96" t="s">
        <v>859</v>
      </c>
      <c r="D46" s="96"/>
      <c r="E46" s="86" t="s">
        <v>730</v>
      </c>
      <c r="F46" s="87" t="s">
        <v>860</v>
      </c>
      <c r="G46" s="82" t="s">
        <v>861</v>
      </c>
      <c r="H46" s="82" t="s">
        <v>862</v>
      </c>
      <c r="I46" s="88" t="s">
        <v>863</v>
      </c>
      <c r="J46" s="82"/>
      <c r="K46" s="82">
        <v>711.0</v>
      </c>
      <c r="L46" s="82" t="str">
        <f>IFERROR(__xludf.DUMMYFUNCTION("if(REGEXMATCH(E46, ""Write to Impress""), CONCATENATE(E46, K46), IF(REGEXMATCH(E46, ""Sharpen Your Sentences""), concatenate(E46, K46), concatenate(""Build Your Vocabulary"", K46)))"),"Build Your Vocabulary711")</f>
        <v>Build Your Vocabulary711</v>
      </c>
    </row>
    <row r="47" ht="66.0" customHeight="1">
      <c r="B47" s="92" t="s">
        <v>864</v>
      </c>
      <c r="C47" s="90" t="s">
        <v>733</v>
      </c>
      <c r="D47" s="90"/>
      <c r="E47" s="86" t="s">
        <v>734</v>
      </c>
      <c r="I47" s="88" t="s">
        <v>865</v>
      </c>
      <c r="J47" s="82"/>
      <c r="K47" s="82">
        <v>712.0</v>
      </c>
      <c r="L47" s="82" t="str">
        <f>IFERROR(__xludf.DUMMYFUNCTION("if(REGEXMATCH(E47, ""Write to Impress""), CONCATENATE(E47, K47), IF(REGEXMATCH(E47, ""Sharpen Your Sentences""), concatenate(E47, K47), concatenate(""Build Your Vocabulary"", K47)))"),"Build Your Vocabulary712")</f>
        <v>Build Your Vocabulary712</v>
      </c>
    </row>
    <row r="48" ht="66.0" customHeight="1">
      <c r="B48" s="92" t="s">
        <v>866</v>
      </c>
      <c r="C48" s="90" t="s">
        <v>867</v>
      </c>
      <c r="D48" s="90" t="s">
        <v>868</v>
      </c>
      <c r="E48" s="86" t="s">
        <v>738</v>
      </c>
      <c r="I48" s="88" t="s">
        <v>869</v>
      </c>
      <c r="J48" s="82"/>
      <c r="K48" s="82">
        <v>713.0</v>
      </c>
      <c r="L48" s="82" t="str">
        <f>IFERROR(__xludf.DUMMYFUNCTION("if(REGEXMATCH(E48, ""Write to Impress""), CONCATENATE(E48, K48), IF(REGEXMATCH(E48, ""Sharpen Your Sentences""), concatenate(E48, K48), concatenate(""Build Your Vocabulary"", K48)))"),"Build Your Vocabulary713")</f>
        <v>Build Your Vocabulary713</v>
      </c>
    </row>
    <row r="49" ht="51.0" customHeight="1">
      <c r="B49" s="92" t="s">
        <v>870</v>
      </c>
      <c r="C49" s="90" t="s">
        <v>801</v>
      </c>
      <c r="D49" s="90"/>
      <c r="E49" s="86" t="s">
        <v>742</v>
      </c>
      <c r="I49" s="88" t="s">
        <v>871</v>
      </c>
      <c r="J49" s="82"/>
      <c r="K49" s="82">
        <v>714.0</v>
      </c>
      <c r="L49" s="82" t="str">
        <f>IFERROR(__xludf.DUMMYFUNCTION("if(REGEXMATCH(E49, ""Write to Impress""), CONCATENATE(E49, K49), IF(REGEXMATCH(E49, ""Sharpen Your Sentences""), concatenate(E49, K49), concatenate(""Build Your Vocabulary"", K49)))"),"Build Your Vocabulary714")</f>
        <v>Build Your Vocabulary714</v>
      </c>
    </row>
    <row r="50">
      <c r="A50" s="80"/>
      <c r="B50" s="80"/>
      <c r="C50" s="80"/>
      <c r="D50" s="80" t="s">
        <v>743</v>
      </c>
      <c r="J50" s="80"/>
      <c r="K50" s="80"/>
      <c r="L50" s="82" t="str">
        <f>IFERROR(__xludf.DUMMYFUNCTION("if(REGEXMATCH(E50, ""Write to Impress""), CONCATENATE(E50, K50), IF(REGEXMATCH(E50, ""Sharpen Your Sentences""), concatenate(E50, K50), concatenate(""Build Your Vocabulary"", K50)))"),"Build Your Vocabulary")</f>
        <v>Build Your Vocabulary</v>
      </c>
    </row>
    <row r="51">
      <c r="A51" s="83"/>
      <c r="B51" s="83"/>
      <c r="C51" s="83" t="s">
        <v>10</v>
      </c>
      <c r="D51" s="83" t="s">
        <v>715</v>
      </c>
      <c r="E51" s="83" t="s">
        <v>11</v>
      </c>
      <c r="F51" s="83" t="s">
        <v>716</v>
      </c>
      <c r="G51" s="83" t="s">
        <v>717</v>
      </c>
      <c r="H51" s="83" t="s">
        <v>718</v>
      </c>
      <c r="I51" s="83" t="s">
        <v>719</v>
      </c>
      <c r="J51" s="83"/>
      <c r="K51" s="83"/>
      <c r="L51" s="82" t="str">
        <f>IFERROR(__xludf.DUMMYFUNCTION("if(REGEXMATCH(E51, ""Write to Impress""), CONCATENATE(E51, K51), IF(REGEXMATCH(E51, ""Sharpen Your Sentences""), concatenate(E51, K51), concatenate(""Build Your Vocabulary"", K51)))"),"Build Your Vocabulary")</f>
        <v>Build Your Vocabulary</v>
      </c>
    </row>
    <row r="52" ht="44.25" customHeight="1">
      <c r="A52" s="84" t="s">
        <v>872</v>
      </c>
      <c r="B52" s="92" t="s">
        <v>873</v>
      </c>
      <c r="C52" s="91" t="s">
        <v>746</v>
      </c>
      <c r="D52" s="91"/>
      <c r="E52" s="93" t="s">
        <v>747</v>
      </c>
      <c r="F52" s="87" t="s">
        <v>874</v>
      </c>
      <c r="G52" s="82" t="s">
        <v>875</v>
      </c>
      <c r="H52" s="82" t="s">
        <v>876</v>
      </c>
      <c r="I52" s="82" t="s">
        <v>863</v>
      </c>
      <c r="J52" s="82"/>
      <c r="K52" s="82">
        <v>721.0</v>
      </c>
      <c r="L52" s="82" t="str">
        <f>IFERROR(__xludf.DUMMYFUNCTION("if(REGEXMATCH(E52, ""Write to Impress""), CONCATENATE(E52, K52), IF(REGEXMATCH(E52, ""Sharpen Your Sentences""), concatenate(E52, K52), concatenate(""Build Your Vocabulary"", K52)))"),"Build Your Vocabulary721")</f>
        <v>Build Your Vocabulary721</v>
      </c>
    </row>
    <row r="53" ht="44.25" customHeight="1">
      <c r="B53" s="92" t="s">
        <v>877</v>
      </c>
      <c r="C53" s="90" t="s">
        <v>878</v>
      </c>
      <c r="D53" s="91"/>
      <c r="E53" s="93" t="s">
        <v>754</v>
      </c>
      <c r="I53" s="82" t="s">
        <v>879</v>
      </c>
      <c r="J53" s="82"/>
      <c r="K53" s="82">
        <v>722.0</v>
      </c>
      <c r="L53" s="82" t="str">
        <f>IFERROR(__xludf.DUMMYFUNCTION("if(REGEXMATCH(E53, ""Write to Impress""), CONCATENATE(E53, K53), IF(REGEXMATCH(E53, ""Sharpen Your Sentences""), concatenate(E53, K53), concatenate(""Build Your Vocabulary"", K53)))"),"Build Your Vocabulary722")</f>
        <v>Build Your Vocabulary722</v>
      </c>
    </row>
    <row r="54" ht="44.25" customHeight="1">
      <c r="B54" s="92" t="s">
        <v>880</v>
      </c>
      <c r="C54" s="90" t="s">
        <v>757</v>
      </c>
      <c r="D54" s="90"/>
      <c r="E54" s="93" t="s">
        <v>758</v>
      </c>
      <c r="I54" s="82" t="s">
        <v>869</v>
      </c>
      <c r="J54" s="82"/>
      <c r="K54" s="82">
        <v>723.0</v>
      </c>
      <c r="L54" s="82" t="str">
        <f>IFERROR(__xludf.DUMMYFUNCTION("if(REGEXMATCH(E54, ""Write to Impress""), CONCATENATE(E54, K54), IF(REGEXMATCH(E54, ""Sharpen Your Sentences""), concatenate(E54, K54), concatenate(""Build Your Vocabulary"", K54)))"),"Build Your Vocabulary723")</f>
        <v>Build Your Vocabulary723</v>
      </c>
    </row>
    <row r="55" ht="67.5" customHeight="1">
      <c r="B55" s="92" t="s">
        <v>881</v>
      </c>
      <c r="C55" s="90" t="s">
        <v>882</v>
      </c>
      <c r="D55" s="90"/>
      <c r="E55" s="93" t="s">
        <v>762</v>
      </c>
      <c r="I55" s="82" t="s">
        <v>883</v>
      </c>
      <c r="J55" s="82"/>
      <c r="K55" s="82">
        <v>724.0</v>
      </c>
      <c r="L55" s="82" t="str">
        <f>IFERROR(__xludf.DUMMYFUNCTION("if(REGEXMATCH(E55, ""Write to Impress""), CONCATENATE(E55, K55), IF(REGEXMATCH(E55, ""Sharpen Your Sentences""), concatenate(E55, K55), concatenate(""Build Your Vocabulary"", K55)))"),"Build Your Vocabulary724")</f>
        <v>Build Your Vocabulary724</v>
      </c>
    </row>
    <row r="56">
      <c r="A56" s="80"/>
      <c r="B56" s="80"/>
      <c r="C56" s="80" t="s">
        <v>743</v>
      </c>
      <c r="I56" s="80"/>
      <c r="J56" s="80"/>
      <c r="K56" s="80"/>
      <c r="L56" s="82" t="str">
        <f>IFERROR(__xludf.DUMMYFUNCTION("if(REGEXMATCH(E56, ""Write to Impress""), CONCATENATE(E56, K56), IF(REGEXMATCH(E56, ""Sharpen Your Sentences""), concatenate(E56, K56), concatenate(""Build Your Vocabulary"", K56)))"),"Build Your Vocabulary")</f>
        <v>Build Your Vocabulary</v>
      </c>
    </row>
    <row r="57">
      <c r="A57" s="83"/>
      <c r="B57" s="83"/>
      <c r="C57" s="83" t="s">
        <v>10</v>
      </c>
      <c r="D57" s="83" t="s">
        <v>715</v>
      </c>
      <c r="E57" s="83" t="s">
        <v>11</v>
      </c>
      <c r="F57" s="83" t="s">
        <v>716</v>
      </c>
      <c r="G57" s="83" t="s">
        <v>717</v>
      </c>
      <c r="H57" s="83" t="s">
        <v>718</v>
      </c>
      <c r="I57" s="83" t="s">
        <v>719</v>
      </c>
      <c r="J57" s="83"/>
      <c r="K57" s="83"/>
      <c r="L57" s="82" t="str">
        <f>IFERROR(__xludf.DUMMYFUNCTION("if(REGEXMATCH(E57, ""Write to Impress""), CONCATENATE(E57, K57), IF(REGEXMATCH(E57, ""Sharpen Your Sentences""), concatenate(E57, K57), concatenate(""Build Your Vocabulary"", K57)))"),"Build Your Vocabulary")</f>
        <v>Build Your Vocabulary</v>
      </c>
    </row>
    <row r="58" ht="54.0" customHeight="1">
      <c r="A58" s="84" t="s">
        <v>884</v>
      </c>
      <c r="B58" s="92" t="s">
        <v>885</v>
      </c>
      <c r="C58" s="96" t="s">
        <v>886</v>
      </c>
      <c r="D58" s="96"/>
      <c r="E58" s="93" t="s">
        <v>767</v>
      </c>
      <c r="F58" s="87" t="s">
        <v>887</v>
      </c>
      <c r="G58" s="88" t="s">
        <v>888</v>
      </c>
      <c r="H58" s="88" t="s">
        <v>889</v>
      </c>
      <c r="I58" s="82" t="s">
        <v>865</v>
      </c>
      <c r="J58" s="82"/>
      <c r="K58" s="82">
        <v>731.0</v>
      </c>
      <c r="L58" s="82" t="str">
        <f>IFERROR(__xludf.DUMMYFUNCTION("if(REGEXMATCH(E58, ""Write to Impress""), CONCATENATE(E58, K58), IF(REGEXMATCH(E58, ""Sharpen Your Sentences""), concatenate(E58, K58), concatenate(""Build Your Vocabulary"", K58)))"),"Build Your Vocabulary731")</f>
        <v>Build Your Vocabulary731</v>
      </c>
    </row>
    <row r="59" ht="54.0" customHeight="1">
      <c r="B59" s="92" t="s">
        <v>890</v>
      </c>
      <c r="C59" s="90" t="s">
        <v>891</v>
      </c>
      <c r="D59" s="90"/>
      <c r="E59" s="93" t="s">
        <v>774</v>
      </c>
      <c r="I59" s="82" t="s">
        <v>892</v>
      </c>
      <c r="J59" s="82"/>
      <c r="K59" s="82">
        <v>732.0</v>
      </c>
      <c r="L59" s="82" t="str">
        <f>IFERROR(__xludf.DUMMYFUNCTION("if(REGEXMATCH(E59, ""Write to Impress""), CONCATENATE(E59, K59), IF(REGEXMATCH(E59, ""Sharpen Your Sentences""), concatenate(E59, K59), concatenate(""Build Your Vocabulary"", K59)))"),"Build Your Vocabulary732")</f>
        <v>Build Your Vocabulary732</v>
      </c>
    </row>
    <row r="60" ht="71.25" customHeight="1">
      <c r="B60" s="92" t="s">
        <v>893</v>
      </c>
      <c r="C60" s="90" t="s">
        <v>894</v>
      </c>
      <c r="D60" s="90"/>
      <c r="E60" s="93" t="s">
        <v>895</v>
      </c>
      <c r="I60" s="82" t="s">
        <v>896</v>
      </c>
      <c r="J60" s="82"/>
      <c r="K60" s="82">
        <v>733.0</v>
      </c>
      <c r="L60" s="82" t="str">
        <f>IFERROR(__xludf.DUMMYFUNCTION("if(REGEXMATCH(E60, ""Write to Impress""), CONCATENATE(E60, K60), IF(REGEXMATCH(E60, ""Sharpen Your Sentences""), concatenate(E60, K60), concatenate(""Build Your Vocabulary"", K60)))"),"Build Your Vocabulary: Map a Word
Best Practices: Word Sort
Write to Impress: Understanding Figurative Language733")</f>
        <v>Build Your Vocabulary: Map a Word
Best Practices: Word Sort
Write to Impress: Understanding Figurative Language733</v>
      </c>
    </row>
    <row r="61" ht="192.0" customHeight="1">
      <c r="B61" s="92" t="s">
        <v>897</v>
      </c>
      <c r="C61" s="90" t="s">
        <v>780</v>
      </c>
      <c r="D61" s="90"/>
      <c r="E61" s="93" t="s">
        <v>898</v>
      </c>
      <c r="I61" s="82" t="s">
        <v>899</v>
      </c>
      <c r="J61" s="82"/>
      <c r="K61" s="82">
        <v>734.0</v>
      </c>
      <c r="L61" s="82" t="str">
        <f>IFERROR(__xludf.DUMMYFUNCTION("if(REGEXMATCH(E61, ""Write to Impress""), CONCATENATE(E61, K61), IF(REGEXMATCH(E61, ""Sharpen Your Sentences""), concatenate(E61, K61), concatenate(""Build Your Vocabulary"", K61)))"),"Build Your Vocabulary734")</f>
        <v>Build Your Vocabulary734</v>
      </c>
    </row>
    <row r="62">
      <c r="A62" s="80"/>
      <c r="B62" s="80"/>
      <c r="C62" s="80" t="s">
        <v>743</v>
      </c>
      <c r="I62" s="80"/>
      <c r="J62" s="80"/>
      <c r="K62" s="80"/>
      <c r="L62" s="82" t="str">
        <f>IFERROR(__xludf.DUMMYFUNCTION("if(REGEXMATCH(E62, ""Write to Impress""), CONCATENATE(E62, K62), IF(REGEXMATCH(E62, ""Sharpen Your Sentences""), concatenate(E62, K62), concatenate(""Build Your Vocabulary"", K62)))"),"Build Your Vocabulary")</f>
        <v>Build Your Vocabulary</v>
      </c>
    </row>
    <row r="63">
      <c r="A63" s="83"/>
      <c r="B63" s="83"/>
      <c r="C63" s="83" t="s">
        <v>10</v>
      </c>
      <c r="D63" s="83" t="s">
        <v>715</v>
      </c>
      <c r="E63" s="83" t="s">
        <v>11</v>
      </c>
      <c r="F63" s="83" t="s">
        <v>716</v>
      </c>
      <c r="G63" s="83" t="s">
        <v>717</v>
      </c>
      <c r="H63" s="83" t="s">
        <v>718</v>
      </c>
      <c r="I63" s="83" t="s">
        <v>719</v>
      </c>
      <c r="J63" s="83"/>
      <c r="K63" s="83"/>
      <c r="L63" s="82" t="str">
        <f>IFERROR(__xludf.DUMMYFUNCTION("if(REGEXMATCH(E63, ""Write to Impress""), CONCATENATE(E63, K63), IF(REGEXMATCH(E63, ""Sharpen Your Sentences""), concatenate(E63, K63), concatenate(""Build Your Vocabulary"", K63)))"),"Build Your Vocabulary")</f>
        <v>Build Your Vocabulary</v>
      </c>
    </row>
    <row r="64" ht="68.25" customHeight="1">
      <c r="A64" s="84" t="s">
        <v>900</v>
      </c>
      <c r="B64" s="92" t="s">
        <v>901</v>
      </c>
      <c r="C64" s="96" t="s">
        <v>785</v>
      </c>
      <c r="D64" s="96" t="s">
        <v>902</v>
      </c>
      <c r="E64" s="93" t="s">
        <v>787</v>
      </c>
      <c r="F64" s="87" t="s">
        <v>903</v>
      </c>
      <c r="G64" s="82" t="s">
        <v>904</v>
      </c>
      <c r="H64" s="82" t="s">
        <v>905</v>
      </c>
      <c r="I64" s="82" t="s">
        <v>906</v>
      </c>
      <c r="J64" s="82"/>
      <c r="K64" s="82">
        <v>741.0</v>
      </c>
      <c r="L64" s="82" t="str">
        <f>IFERROR(__xludf.DUMMYFUNCTION("if(REGEXMATCH(E64, ""Write to Impress""), CONCATENATE(E64, K64), IF(REGEXMATCH(E64, ""Sharpen Your Sentences""), concatenate(E64, K64), concatenate(""Build Your Vocabulary"", K64)))"),"Build Your Vocabulary: Concept Map
Best Practices: Root Word Challenge
Write to Impress: Use Greek and Latin Roots and Affixes741")</f>
        <v>Build Your Vocabulary: Concept Map
Best Practices: Root Word Challenge
Write to Impress: Use Greek and Latin Roots and Affixes741</v>
      </c>
    </row>
    <row r="65" ht="81.0" customHeight="1">
      <c r="B65" s="92" t="s">
        <v>907</v>
      </c>
      <c r="C65" s="90" t="s">
        <v>793</v>
      </c>
      <c r="D65" s="90" t="s">
        <v>794</v>
      </c>
      <c r="E65" s="93" t="s">
        <v>795</v>
      </c>
      <c r="I65" s="82" t="s">
        <v>879</v>
      </c>
      <c r="J65" s="82"/>
      <c r="K65" s="82">
        <v>742.0</v>
      </c>
      <c r="L65" s="82" t="str">
        <f>IFERROR(__xludf.DUMMYFUNCTION("if(REGEXMATCH(E65, ""Write to Impress""), CONCATENATE(E65, K65), IF(REGEXMATCH(E65, ""Sharpen Your Sentences""), concatenate(E65, K65), concatenate(""Build Your Vocabulary"", K65)))"),"Build Your Vocabulary: Word Study
Best Practices: Vocabulary Role Playing
Write to Impress: Consult Reference Materials742")</f>
        <v>Build Your Vocabulary: Word Study
Best Practices: Vocabulary Role Playing
Write to Impress: Consult Reference Materials742</v>
      </c>
    </row>
    <row r="66" ht="61.5" customHeight="1">
      <c r="B66" s="92" t="s">
        <v>908</v>
      </c>
      <c r="C66" s="90" t="s">
        <v>797</v>
      </c>
      <c r="D66" s="90"/>
      <c r="E66" s="93" t="s">
        <v>798</v>
      </c>
      <c r="I66" s="82" t="s">
        <v>869</v>
      </c>
      <c r="J66" s="82"/>
      <c r="K66" s="82">
        <v>743.0</v>
      </c>
      <c r="L66" s="82" t="str">
        <f>IFERROR(__xludf.DUMMYFUNCTION("if(REGEXMATCH(E66, ""Write to Impress""), CONCATENATE(E66, K66), IF(REGEXMATCH(E66, ""Sharpen Your Sentences""), concatenate(E66, K66), concatenate(""Build Your Vocabulary"", K66)))"),"Build Your Vocabulary: Concept Map
Best Practices: Dig Into Root Words
Write to Impress: Verify a Definition743")</f>
        <v>Build Your Vocabulary: Concept Map
Best Practices: Dig Into Root Words
Write to Impress: Verify a Definition743</v>
      </c>
    </row>
    <row r="67" ht="46.5" customHeight="1">
      <c r="B67" s="92" t="s">
        <v>909</v>
      </c>
      <c r="C67" s="90" t="s">
        <v>801</v>
      </c>
      <c r="D67" s="90"/>
      <c r="E67" s="93" t="s">
        <v>802</v>
      </c>
      <c r="I67" s="82" t="s">
        <v>910</v>
      </c>
      <c r="J67" s="82"/>
      <c r="K67" s="82">
        <v>744.0</v>
      </c>
      <c r="L67" s="82" t="str">
        <f>IFERROR(__xludf.DUMMYFUNCTION("if(REGEXMATCH(E67, ""Write to Impress""), CONCATENATE(E67, K67), IF(REGEXMATCH(E67, ""Sharpen Your Sentences""), concatenate(E67, K67), concatenate(""Build Your Vocabulary"", K67)))"),"Build Your Vocabulary744")</f>
        <v>Build Your Vocabulary744</v>
      </c>
    </row>
    <row r="68">
      <c r="A68" s="80"/>
      <c r="B68" s="80"/>
      <c r="C68" s="80" t="s">
        <v>743</v>
      </c>
      <c r="I68" s="80"/>
      <c r="J68" s="80"/>
      <c r="K68" s="80"/>
      <c r="L68" s="82" t="str">
        <f>IFERROR(__xludf.DUMMYFUNCTION("if(REGEXMATCH(E68, ""Write to Impress""), CONCATENATE(E68, K68), IF(REGEXMATCH(E68, ""Sharpen Your Sentences""), concatenate(E68, K68), concatenate(""Build Your Vocabulary"", K68)))"),"Build Your Vocabulary")</f>
        <v>Build Your Vocabulary</v>
      </c>
    </row>
    <row r="69">
      <c r="A69" s="83"/>
      <c r="B69" s="83"/>
      <c r="C69" s="83" t="s">
        <v>10</v>
      </c>
      <c r="D69" s="83" t="s">
        <v>715</v>
      </c>
      <c r="E69" s="83" t="s">
        <v>11</v>
      </c>
      <c r="F69" s="83" t="s">
        <v>716</v>
      </c>
      <c r="G69" s="83" t="s">
        <v>717</v>
      </c>
      <c r="H69" s="83" t="s">
        <v>718</v>
      </c>
      <c r="I69" s="83" t="s">
        <v>719</v>
      </c>
      <c r="J69" s="83"/>
      <c r="K69" s="83"/>
      <c r="L69" s="82" t="str">
        <f>IFERROR(__xludf.DUMMYFUNCTION("if(REGEXMATCH(E69, ""Write to Impress""), CONCATENATE(E69, K69), IF(REGEXMATCH(E69, ""Sharpen Your Sentences""), concatenate(E69, K69), concatenate(""Build Your Vocabulary"", K69)))"),"Build Your Vocabulary")</f>
        <v>Build Your Vocabulary</v>
      </c>
    </row>
    <row r="70" ht="75.75" customHeight="1">
      <c r="A70" s="84" t="s">
        <v>911</v>
      </c>
      <c r="B70" s="92" t="s">
        <v>912</v>
      </c>
      <c r="C70" s="96" t="s">
        <v>805</v>
      </c>
      <c r="D70" s="96" t="s">
        <v>821</v>
      </c>
      <c r="E70" s="93" t="s">
        <v>913</v>
      </c>
      <c r="F70" s="87" t="s">
        <v>914</v>
      </c>
      <c r="G70" s="82" t="s">
        <v>915</v>
      </c>
      <c r="H70" s="82" t="s">
        <v>916</v>
      </c>
      <c r="I70" s="82" t="s">
        <v>917</v>
      </c>
      <c r="J70" s="82"/>
      <c r="K70" s="82">
        <v>751.0</v>
      </c>
      <c r="L70" s="82" t="str">
        <f>IFERROR(__xludf.DUMMYFUNCTION("if(REGEXMATCH(E70, ""Write to Impress""), CONCATENATE(E70, K70), IF(REGEXMATCH(E70, ""Sharpen Your Sentences""), concatenate(E70, K70), concatenate(""Build Your Vocabulary"", K70)))"),"Build Your Vocabulary: Map a Word
Best Practices: Contextual Reading
Write to Impress: Use Context Clues for Meaning751")</f>
        <v>Build Your Vocabulary: Map a Word
Best Practices: Contextual Reading
Write to Impress: Use Context Clues for Meaning751</v>
      </c>
    </row>
    <row r="71" ht="84.0" customHeight="1">
      <c r="B71" s="92" t="s">
        <v>918</v>
      </c>
      <c r="C71" s="90" t="s">
        <v>812</v>
      </c>
      <c r="D71" s="90" t="s">
        <v>833</v>
      </c>
      <c r="E71" s="93" t="s">
        <v>919</v>
      </c>
      <c r="I71" s="82" t="s">
        <v>869</v>
      </c>
      <c r="J71" s="82"/>
      <c r="K71" s="82">
        <v>752.0</v>
      </c>
      <c r="L71" s="82" t="str">
        <f>IFERROR(__xludf.DUMMYFUNCTION("if(REGEXMATCH(E71, ""Write to Impress""), CONCATENATE(E71, K71), IF(REGEXMATCH(E71, ""Sharpen Your Sentences""), concatenate(E71, K71), concatenate(""Build Your Vocabulary"", K71)))"),"Build Your Vocabulary: Map a Word
Best Practices: Storytelling with Vocabulary
Write to Impress: Understand Relationships  Between Words752")</f>
        <v>Build Your Vocabulary: Map a Word
Best Practices: Storytelling with Vocabulary
Write to Impress: Understand Relationships  Between Words752</v>
      </c>
    </row>
    <row r="72" ht="46.5" customHeight="1">
      <c r="B72" s="92" t="s">
        <v>920</v>
      </c>
      <c r="C72" s="90" t="s">
        <v>816</v>
      </c>
      <c r="D72" s="90" t="s">
        <v>921</v>
      </c>
      <c r="E72" s="93" t="s">
        <v>817</v>
      </c>
      <c r="I72" s="82" t="s">
        <v>863</v>
      </c>
      <c r="J72" s="82"/>
      <c r="K72" s="82">
        <v>753.0</v>
      </c>
      <c r="L72" s="82" t="str">
        <f>IFERROR(__xludf.DUMMYFUNCTION("if(REGEXMATCH(E72, ""Write to Impress""), CONCATENATE(E72, K72), IF(REGEXMATCH(E72, ""Sharpen Your Sentences""), concatenate(E72, K72), concatenate(""Build Your Vocabulary"", K72)))"),"Build Your Vocabulary753")</f>
        <v>Build Your Vocabulary753</v>
      </c>
    </row>
    <row r="73" ht="46.5" customHeight="1">
      <c r="B73" s="92" t="s">
        <v>922</v>
      </c>
      <c r="C73" s="90" t="s">
        <v>923</v>
      </c>
      <c r="D73" s="90"/>
      <c r="E73" s="86" t="s">
        <v>924</v>
      </c>
      <c r="I73" s="82" t="s">
        <v>925</v>
      </c>
      <c r="J73" s="82"/>
      <c r="K73" s="82">
        <v>754.0</v>
      </c>
      <c r="L73" s="82" t="str">
        <f>IFERROR(__xludf.DUMMYFUNCTION("if(REGEXMATCH(E73, ""Write to Impress""), CONCATENATE(E73, K73), IF(REGEXMATCH(E73, ""Sharpen Your Sentences""), concatenate(E73, K73), concatenate(""Build Your Vocabulary"", K73)))"),"Build Your Vocabulary754")</f>
        <v>Build Your Vocabulary754</v>
      </c>
    </row>
    <row r="74" ht="46.5" customHeight="1">
      <c r="A74" s="84"/>
      <c r="B74" s="92" t="s">
        <v>926</v>
      </c>
      <c r="C74" s="90" t="s">
        <v>927</v>
      </c>
      <c r="D74" s="90"/>
      <c r="E74" s="86" t="s">
        <v>928</v>
      </c>
      <c r="I74" s="82" t="s">
        <v>929</v>
      </c>
      <c r="J74" s="82"/>
      <c r="K74" s="82"/>
      <c r="L74" s="82"/>
    </row>
    <row r="75">
      <c r="A75" s="80"/>
      <c r="B75" s="80"/>
      <c r="C75" s="80" t="s">
        <v>743</v>
      </c>
      <c r="I75" s="80"/>
      <c r="J75" s="80"/>
      <c r="K75" s="80"/>
      <c r="L75" s="82" t="str">
        <f>IFERROR(__xludf.DUMMYFUNCTION("if(REGEXMATCH(E75, ""Write to Impress""), CONCATENATE(E75, K75), IF(REGEXMATCH(E75, ""Sharpen Your Sentences""), concatenate(E75, K75), concatenate(""Build Your Vocabulary"", K75)))"),"Build Your Vocabulary")</f>
        <v>Build Your Vocabulary</v>
      </c>
    </row>
    <row r="76">
      <c r="A76" s="83"/>
      <c r="B76" s="83"/>
      <c r="C76" s="83" t="s">
        <v>10</v>
      </c>
      <c r="D76" s="83" t="s">
        <v>715</v>
      </c>
      <c r="E76" s="83" t="s">
        <v>11</v>
      </c>
      <c r="F76" s="83" t="s">
        <v>716</v>
      </c>
      <c r="G76" s="83" t="s">
        <v>717</v>
      </c>
      <c r="H76" s="83" t="s">
        <v>718</v>
      </c>
      <c r="I76" s="83" t="s">
        <v>719</v>
      </c>
      <c r="J76" s="83"/>
      <c r="K76" s="83"/>
      <c r="L76" s="82" t="str">
        <f>IFERROR(__xludf.DUMMYFUNCTION("if(REGEXMATCH(E76, ""Write to Impress""), CONCATENATE(E76, K76), IF(REGEXMATCH(E76, ""Sharpen Your Sentences""), concatenate(E76, K76), concatenate(""Build Your Vocabulary"", K76)))"),"Build Your Vocabulary")</f>
        <v>Build Your Vocabulary</v>
      </c>
    </row>
    <row r="77" ht="48.75" customHeight="1">
      <c r="A77" s="84" t="s">
        <v>930</v>
      </c>
      <c r="B77" s="92" t="s">
        <v>931</v>
      </c>
      <c r="C77" s="96" t="s">
        <v>820</v>
      </c>
      <c r="D77" s="96"/>
      <c r="E77" s="93" t="s">
        <v>777</v>
      </c>
      <c r="F77" s="87" t="s">
        <v>932</v>
      </c>
      <c r="G77" s="88" t="s">
        <v>933</v>
      </c>
      <c r="H77" s="87" t="s">
        <v>934</v>
      </c>
      <c r="I77" s="82" t="s">
        <v>935</v>
      </c>
      <c r="J77" s="82"/>
      <c r="K77" s="82">
        <v>761.0</v>
      </c>
      <c r="L77" s="82" t="str">
        <f>IFERROR(__xludf.DUMMYFUNCTION("if(REGEXMATCH(E77, ""Write to Impress""), CONCATENATE(E77, K77), IF(REGEXMATCH(E77, ""Sharpen Your Sentences""), concatenate(E77, K77), concatenate(""Build Your Vocabulary"", K77)))"),"Build Your Vocabulary761")</f>
        <v>Build Your Vocabulary761</v>
      </c>
    </row>
    <row r="78" ht="90.75" customHeight="1">
      <c r="B78" s="92" t="s">
        <v>936</v>
      </c>
      <c r="C78" s="90" t="s">
        <v>937</v>
      </c>
      <c r="D78" s="90" t="s">
        <v>813</v>
      </c>
      <c r="E78" s="93" t="s">
        <v>938</v>
      </c>
      <c r="I78" s="82" t="s">
        <v>939</v>
      </c>
      <c r="J78" s="82"/>
      <c r="K78" s="82">
        <v>762.0</v>
      </c>
      <c r="L78" s="82" t="str">
        <f>IFERROR(__xludf.DUMMYFUNCTION("if(REGEXMATCH(E78, ""Write to Impress""), CONCATENATE(E78, K78), IF(REGEXMATCH(E78, ""Sharpen Your Sentences""), concatenate(E78, K78), concatenate(""Build Your Vocabulary"", K78)))"),"Build Your Vocabulary: Map a Word
Best Practices: Shades of Meaning
Write to Impress: Distinguish Between Connotation and Denotation762")</f>
        <v>Build Your Vocabulary: Map a Word
Best Practices: Shades of Meaning
Write to Impress: Distinguish Between Connotation and Denotation762</v>
      </c>
    </row>
    <row r="79" ht="89.25" customHeight="1">
      <c r="B79" s="92" t="s">
        <v>940</v>
      </c>
      <c r="C79" s="90" t="s">
        <v>832</v>
      </c>
      <c r="D79" s="97"/>
      <c r="E79" s="93" t="s">
        <v>941</v>
      </c>
      <c r="I79" s="82" t="s">
        <v>942</v>
      </c>
      <c r="J79" s="82"/>
      <c r="K79" s="82">
        <v>763.0</v>
      </c>
      <c r="L79" s="82" t="str">
        <f>IFERROR(__xludf.DUMMYFUNCTION("if(REGEXMATCH(E79, ""Write to Impress""), CONCATENATE(E79, K79), IF(REGEXMATCH(E79, ""Sharpen Your Sentences""), concatenate(E79, K79), concatenate(""Build Your Vocabulary"", K79)))"),"Build Your Vocabulary763")</f>
        <v>Build Your Vocabulary763</v>
      </c>
    </row>
    <row r="80" ht="51.0" customHeight="1">
      <c r="B80" s="92" t="s">
        <v>943</v>
      </c>
      <c r="C80" s="90" t="s">
        <v>801</v>
      </c>
      <c r="D80" s="90"/>
      <c r="E80" s="93" t="s">
        <v>837</v>
      </c>
      <c r="I80" s="82" t="s">
        <v>944</v>
      </c>
      <c r="J80" s="82"/>
      <c r="K80" s="82">
        <v>764.0</v>
      </c>
      <c r="L80" s="82" t="str">
        <f>IFERROR(__xludf.DUMMYFUNCTION("if(REGEXMATCH(E80, ""Write to Impress""), CONCATENATE(E80, K80), IF(REGEXMATCH(E80, ""Sharpen Your Sentences""), concatenate(E80, K80), concatenate(""Build Your Vocabulary"", K80)))"),"Build Your Vocabulary764")</f>
        <v>Build Your Vocabulary764</v>
      </c>
    </row>
    <row r="81">
      <c r="A81" s="80"/>
      <c r="B81" s="80"/>
      <c r="C81" s="80" t="s">
        <v>743</v>
      </c>
      <c r="I81" s="80"/>
      <c r="J81" s="80"/>
      <c r="K81" s="80"/>
      <c r="L81" s="82" t="str">
        <f>IFERROR(__xludf.DUMMYFUNCTION("if(REGEXMATCH(E81, ""Write to Impress""), CONCATENATE(E81, K81), IF(REGEXMATCH(E81, ""Sharpen Your Sentences""), concatenate(E81, K81), concatenate(""Build Your Vocabulary"", K81)))"),"Build Your Vocabulary")</f>
        <v>Build Your Vocabulary</v>
      </c>
    </row>
    <row r="82">
      <c r="A82" s="83"/>
      <c r="B82" s="83"/>
      <c r="C82" s="83" t="s">
        <v>10</v>
      </c>
      <c r="D82" s="83" t="s">
        <v>715</v>
      </c>
      <c r="E82" s="83" t="s">
        <v>11</v>
      </c>
      <c r="F82" s="83" t="s">
        <v>716</v>
      </c>
      <c r="G82" s="83" t="s">
        <v>717</v>
      </c>
      <c r="H82" s="83" t="s">
        <v>718</v>
      </c>
      <c r="I82" s="83" t="s">
        <v>719</v>
      </c>
      <c r="J82" s="83"/>
      <c r="K82" s="83"/>
      <c r="L82" s="82" t="str">
        <f>IFERROR(__xludf.DUMMYFUNCTION("if(REGEXMATCH(E82, ""Write to Impress""), CONCATENATE(E82, K82), IF(REGEXMATCH(E82, ""Sharpen Your Sentences""), concatenate(E82, K82), concatenate(""Build Your Vocabulary"", K82)))"),"Build Your Vocabulary")</f>
        <v>Build Your Vocabulary</v>
      </c>
    </row>
    <row r="83" ht="77.25" customHeight="1">
      <c r="A83" s="84" t="s">
        <v>945</v>
      </c>
      <c r="B83" s="92" t="s">
        <v>946</v>
      </c>
      <c r="C83" s="96" t="s">
        <v>840</v>
      </c>
      <c r="D83" s="96" t="s">
        <v>851</v>
      </c>
      <c r="E83" s="93" t="s">
        <v>947</v>
      </c>
      <c r="F83" s="87" t="s">
        <v>948</v>
      </c>
      <c r="G83" s="88" t="s">
        <v>949</v>
      </c>
      <c r="H83" s="88" t="s">
        <v>950</v>
      </c>
      <c r="I83" s="82" t="s">
        <v>869</v>
      </c>
      <c r="J83" s="82"/>
      <c r="K83" s="82">
        <v>771.0</v>
      </c>
      <c r="L83" s="82" t="str">
        <f>IFERROR(__xludf.DUMMYFUNCTION("if(REGEXMATCH(E83, ""Write to Impress""), CONCATENATE(E83, K83), IF(REGEXMATCH(E83, ""Sharpen Your Sentences""), concatenate(E83, K83), concatenate(""Build Your Vocabulary"", K83)))"),"Build Your Vocabulary: Map a Word
Best Practices: Using Conjunctions to Compare and Contrast
Write to Impress: Build Academic Vocabulary771")</f>
        <v>Build Your Vocabulary: Map a Word
Best Practices: Using Conjunctions to Compare and Contrast
Write to Impress: Build Academic Vocabulary771</v>
      </c>
    </row>
    <row r="84" ht="48.0" customHeight="1">
      <c r="B84" s="92" t="s">
        <v>951</v>
      </c>
      <c r="C84" s="96" t="s">
        <v>846</v>
      </c>
      <c r="D84" s="90"/>
      <c r="E84" s="93" t="s">
        <v>847</v>
      </c>
      <c r="I84" s="82" t="s">
        <v>952</v>
      </c>
      <c r="J84" s="82"/>
      <c r="K84" s="82">
        <v>772.0</v>
      </c>
      <c r="L84" s="82" t="str">
        <f>IFERROR(__xludf.DUMMYFUNCTION("if(REGEXMATCH(E84, ""Write to Impress""), CONCATENATE(E84, K84), IF(REGEXMATCH(E84, ""Sharpen Your Sentences""), concatenate(E84, K84), concatenate(""Build Your Vocabulary"", K84)))"),"Build Your Vocabulary772")</f>
        <v>Build Your Vocabulary772</v>
      </c>
    </row>
    <row r="85" ht="85.5" customHeight="1">
      <c r="B85" s="92" t="s">
        <v>953</v>
      </c>
      <c r="C85" s="96" t="s">
        <v>850</v>
      </c>
      <c r="D85" s="90"/>
      <c r="E85" s="93" t="s">
        <v>855</v>
      </c>
      <c r="I85" s="82" t="s">
        <v>925</v>
      </c>
      <c r="J85" s="82"/>
      <c r="K85" s="82">
        <v>773.0</v>
      </c>
      <c r="L85" s="82" t="str">
        <f>IFERROR(__xludf.DUMMYFUNCTION("if(REGEXMATCH(E85, ""Write to Impress""), CONCATENATE(E85, K85), IF(REGEXMATCH(E85, ""Sharpen Your Sentences""), concatenate(E85, K85), concatenate(""Build Your Vocabulary"", K85)))"),"Build Your Vocabulary773")</f>
        <v>Build Your Vocabulary773</v>
      </c>
    </row>
    <row r="86">
      <c r="A86" s="80"/>
      <c r="B86" s="80"/>
      <c r="C86" s="80" t="s">
        <v>743</v>
      </c>
      <c r="I86" s="80"/>
      <c r="J86" s="80"/>
      <c r="K86" s="80"/>
      <c r="L86" s="82" t="str">
        <f>IFERROR(__xludf.DUMMYFUNCTION("if(REGEXMATCH(E86, ""Write to Impress""), CONCATENATE(E86, K86), IF(REGEXMATCH(E86, ""Sharpen Your Sentences""), concatenate(E86, K86), concatenate(""Build Your Vocabulary"", K86)))"),"Build Your Vocabulary")</f>
        <v>Build Your Vocabulary</v>
      </c>
    </row>
    <row r="87">
      <c r="A87" s="83"/>
      <c r="B87" s="83"/>
      <c r="C87" s="83" t="s">
        <v>10</v>
      </c>
      <c r="D87" s="83" t="s">
        <v>715</v>
      </c>
      <c r="E87" s="83" t="s">
        <v>11</v>
      </c>
      <c r="F87" s="83" t="s">
        <v>716</v>
      </c>
      <c r="G87" s="83" t="s">
        <v>717</v>
      </c>
      <c r="H87" s="83" t="s">
        <v>718</v>
      </c>
      <c r="I87" s="83" t="s">
        <v>719</v>
      </c>
      <c r="J87" s="83"/>
      <c r="K87" s="83"/>
      <c r="L87" s="82" t="str">
        <f>IFERROR(__xludf.DUMMYFUNCTION("if(REGEXMATCH(E87, ""Write to Impress""), CONCATENATE(E87, K87), IF(REGEXMATCH(E87, ""Sharpen Your Sentences""), concatenate(E87, K87), concatenate(""Build Your Vocabulary"", K87)))"),"Build Your Vocabulary")</f>
        <v>Build Your Vocabulary</v>
      </c>
    </row>
    <row r="88" ht="102.0" customHeight="1">
      <c r="A88" s="84" t="s">
        <v>954</v>
      </c>
      <c r="B88" s="92" t="s">
        <v>955</v>
      </c>
      <c r="C88" s="96" t="s">
        <v>886</v>
      </c>
      <c r="D88" s="96"/>
      <c r="E88" s="86" t="s">
        <v>730</v>
      </c>
      <c r="F88" s="87" t="s">
        <v>956</v>
      </c>
      <c r="G88" s="82" t="s">
        <v>957</v>
      </c>
      <c r="H88" s="82" t="s">
        <v>958</v>
      </c>
      <c r="I88" s="88" t="s">
        <v>959</v>
      </c>
      <c r="J88" s="82"/>
      <c r="K88" s="82">
        <v>811.0</v>
      </c>
      <c r="L88" s="82" t="str">
        <f>IFERROR(__xludf.DUMMYFUNCTION("if(REGEXMATCH(E88, ""Write to Impress""), CONCATENATE(E88, K88), IF(REGEXMATCH(E88, ""Sharpen Your Sentences""), concatenate(E88, K88), concatenate(""Build Your Vocabulary"", K88)))"),"Build Your Vocabulary811")</f>
        <v>Build Your Vocabulary811</v>
      </c>
    </row>
    <row r="89" ht="102.0" customHeight="1">
      <c r="B89" s="92" t="s">
        <v>960</v>
      </c>
      <c r="C89" s="90" t="s">
        <v>961</v>
      </c>
      <c r="D89" s="90"/>
      <c r="E89" s="86" t="s">
        <v>734</v>
      </c>
      <c r="I89" s="88" t="s">
        <v>962</v>
      </c>
      <c r="J89" s="82"/>
      <c r="K89" s="82">
        <v>812.0</v>
      </c>
      <c r="L89" s="82" t="str">
        <f>IFERROR(__xludf.DUMMYFUNCTION("if(REGEXMATCH(E89, ""Write to Impress""), CONCATENATE(E89, K89), IF(REGEXMATCH(E89, ""Sharpen Your Sentences""), concatenate(E89, K89), concatenate(""Build Your Vocabulary"", K89)))"),"Build Your Vocabulary812")</f>
        <v>Build Your Vocabulary812</v>
      </c>
    </row>
    <row r="90" ht="102.0" customHeight="1">
      <c r="B90" s="92" t="s">
        <v>963</v>
      </c>
      <c r="C90" s="90" t="s">
        <v>867</v>
      </c>
      <c r="D90" s="90"/>
      <c r="E90" s="86" t="s">
        <v>738</v>
      </c>
      <c r="I90" s="88" t="s">
        <v>964</v>
      </c>
      <c r="J90" s="82"/>
      <c r="K90" s="82">
        <v>813.0</v>
      </c>
      <c r="L90" s="82" t="str">
        <f>IFERROR(__xludf.DUMMYFUNCTION("if(REGEXMATCH(E90, ""Write to Impress""), CONCATENATE(E90, K90), IF(REGEXMATCH(E90, ""Sharpen Your Sentences""), concatenate(E90, K90), concatenate(""Build Your Vocabulary"", K90)))"),"Build Your Vocabulary813")</f>
        <v>Build Your Vocabulary813</v>
      </c>
    </row>
    <row r="91" ht="46.5" customHeight="1">
      <c r="B91" s="92" t="s">
        <v>965</v>
      </c>
      <c r="C91" s="90" t="s">
        <v>801</v>
      </c>
      <c r="D91" s="90"/>
      <c r="E91" s="86" t="s">
        <v>742</v>
      </c>
      <c r="I91" s="88" t="s">
        <v>966</v>
      </c>
      <c r="J91" s="82"/>
      <c r="K91" s="82">
        <v>814.0</v>
      </c>
      <c r="L91" s="82" t="str">
        <f>IFERROR(__xludf.DUMMYFUNCTION("if(REGEXMATCH(E91, ""Write to Impress""), CONCATENATE(E91, K91), IF(REGEXMATCH(E91, ""Sharpen Your Sentences""), concatenate(E91, K91), concatenate(""Build Your Vocabulary"", K91)))"),"Build Your Vocabulary814")</f>
        <v>Build Your Vocabulary814</v>
      </c>
    </row>
    <row r="92">
      <c r="A92" s="80"/>
      <c r="B92" s="80"/>
      <c r="C92" s="80" t="s">
        <v>743</v>
      </c>
      <c r="I92" s="80"/>
      <c r="J92" s="80"/>
      <c r="K92" s="80"/>
      <c r="L92" s="82" t="str">
        <f>IFERROR(__xludf.DUMMYFUNCTION("if(REGEXMATCH(E92, ""Write to Impress""), CONCATENATE(E92, K92), IF(REGEXMATCH(E92, ""Sharpen Your Sentences""), concatenate(E92, K92), concatenate(""Build Your Vocabulary"", K92)))"),"Build Your Vocabulary")</f>
        <v>Build Your Vocabulary</v>
      </c>
    </row>
    <row r="93">
      <c r="A93" s="83"/>
      <c r="B93" s="83"/>
      <c r="C93" s="83" t="s">
        <v>10</v>
      </c>
      <c r="D93" s="83" t="s">
        <v>715</v>
      </c>
      <c r="E93" s="83" t="s">
        <v>11</v>
      </c>
      <c r="F93" s="83" t="s">
        <v>716</v>
      </c>
      <c r="G93" s="83" t="s">
        <v>717</v>
      </c>
      <c r="H93" s="83" t="s">
        <v>718</v>
      </c>
      <c r="I93" s="83" t="s">
        <v>719</v>
      </c>
      <c r="J93" s="83"/>
      <c r="K93" s="83"/>
      <c r="L93" s="82" t="str">
        <f>IFERROR(__xludf.DUMMYFUNCTION("if(REGEXMATCH(E93, ""Write to Impress""), CONCATENATE(E93, K93), IF(REGEXMATCH(E93, ""Sharpen Your Sentences""), concatenate(E93, K93), concatenate(""Build Your Vocabulary"", K93)))"),"Build Your Vocabulary")</f>
        <v>Build Your Vocabulary</v>
      </c>
    </row>
    <row r="94" ht="58.5" customHeight="1">
      <c r="A94" s="84" t="s">
        <v>967</v>
      </c>
      <c r="B94" s="92" t="s">
        <v>968</v>
      </c>
      <c r="C94" s="91" t="s">
        <v>746</v>
      </c>
      <c r="D94" s="91"/>
      <c r="E94" s="93" t="s">
        <v>747</v>
      </c>
      <c r="F94" s="87" t="s">
        <v>969</v>
      </c>
      <c r="G94" s="82" t="s">
        <v>970</v>
      </c>
      <c r="H94" s="82" t="s">
        <v>971</v>
      </c>
      <c r="I94" s="82" t="s">
        <v>959</v>
      </c>
      <c r="J94" s="82"/>
      <c r="K94" s="82">
        <v>821.0</v>
      </c>
      <c r="L94" s="82" t="str">
        <f>IFERROR(__xludf.DUMMYFUNCTION("if(REGEXMATCH(E94, ""Write to Impress""), CONCATENATE(E94, K94), IF(REGEXMATCH(E94, ""Sharpen Your Sentences""), concatenate(E94, K94), concatenate(""Build Your Vocabulary"", K94)))"),"Build Your Vocabulary821")</f>
        <v>Build Your Vocabulary821</v>
      </c>
    </row>
    <row r="95" ht="60.75" customHeight="1">
      <c r="B95" s="92" t="s">
        <v>972</v>
      </c>
      <c r="C95" s="90" t="s">
        <v>878</v>
      </c>
      <c r="D95" s="90"/>
      <c r="E95" s="93" t="s">
        <v>754</v>
      </c>
      <c r="I95" s="82" t="s">
        <v>973</v>
      </c>
      <c r="J95" s="82"/>
      <c r="K95" s="82">
        <v>822.0</v>
      </c>
      <c r="L95" s="82" t="str">
        <f>IFERROR(__xludf.DUMMYFUNCTION("if(REGEXMATCH(E95, ""Write to Impress""), CONCATENATE(E95, K95), IF(REGEXMATCH(E95, ""Sharpen Your Sentences""), concatenate(E95, K95), concatenate(""Build Your Vocabulary"", K95)))"),"Build Your Vocabulary822")</f>
        <v>Build Your Vocabulary822</v>
      </c>
    </row>
    <row r="96" ht="57.75" customHeight="1">
      <c r="B96" s="92" t="s">
        <v>974</v>
      </c>
      <c r="C96" s="90" t="s">
        <v>757</v>
      </c>
      <c r="D96" s="90"/>
      <c r="E96" s="93" t="s">
        <v>758</v>
      </c>
      <c r="I96" s="82" t="s">
        <v>975</v>
      </c>
      <c r="J96" s="82"/>
      <c r="K96" s="82">
        <v>823.0</v>
      </c>
      <c r="L96" s="82" t="str">
        <f>IFERROR(__xludf.DUMMYFUNCTION("if(REGEXMATCH(E96, ""Write to Impress""), CONCATENATE(E96, K96), IF(REGEXMATCH(E96, ""Sharpen Your Sentences""), concatenate(E96, K96), concatenate(""Build Your Vocabulary"", K96)))"),"Build Your Vocabulary823")</f>
        <v>Build Your Vocabulary823</v>
      </c>
    </row>
    <row r="97" ht="66.75" customHeight="1">
      <c r="B97" s="92" t="s">
        <v>976</v>
      </c>
      <c r="C97" s="90" t="s">
        <v>882</v>
      </c>
      <c r="D97" s="90"/>
      <c r="E97" s="93" t="s">
        <v>762</v>
      </c>
      <c r="I97" s="82" t="s">
        <v>977</v>
      </c>
      <c r="J97" s="82"/>
      <c r="K97" s="82">
        <v>824.0</v>
      </c>
      <c r="L97" s="82" t="str">
        <f>IFERROR(__xludf.DUMMYFUNCTION("if(REGEXMATCH(E97, ""Write to Impress""), CONCATENATE(E97, K97), IF(REGEXMATCH(E97, ""Sharpen Your Sentences""), concatenate(E97, K97), concatenate(""Build Your Vocabulary"", K97)))"),"Build Your Vocabulary824")</f>
        <v>Build Your Vocabulary824</v>
      </c>
    </row>
    <row r="98">
      <c r="A98" s="80"/>
      <c r="B98" s="80"/>
      <c r="C98" s="80" t="s">
        <v>743</v>
      </c>
      <c r="I98" s="80"/>
      <c r="J98" s="80"/>
      <c r="K98" s="80"/>
      <c r="L98" s="82" t="str">
        <f>IFERROR(__xludf.DUMMYFUNCTION("if(REGEXMATCH(E98, ""Write to Impress""), CONCATENATE(E98, K98), IF(REGEXMATCH(E98, ""Sharpen Your Sentences""), concatenate(E98, K98), concatenate(""Build Your Vocabulary"", K98)))"),"Build Your Vocabulary")</f>
        <v>Build Your Vocabulary</v>
      </c>
    </row>
    <row r="99">
      <c r="A99" s="83"/>
      <c r="B99" s="83"/>
      <c r="C99" s="83" t="s">
        <v>10</v>
      </c>
      <c r="D99" s="83" t="s">
        <v>715</v>
      </c>
      <c r="E99" s="83" t="s">
        <v>11</v>
      </c>
      <c r="F99" s="83" t="s">
        <v>716</v>
      </c>
      <c r="G99" s="83" t="s">
        <v>717</v>
      </c>
      <c r="H99" s="83" t="s">
        <v>718</v>
      </c>
      <c r="I99" s="83" t="s">
        <v>719</v>
      </c>
      <c r="J99" s="83"/>
      <c r="K99" s="83"/>
      <c r="L99" s="82" t="str">
        <f>IFERROR(__xludf.DUMMYFUNCTION("if(REGEXMATCH(E99, ""Write to Impress""), CONCATENATE(E99, K99), IF(REGEXMATCH(E99, ""Sharpen Your Sentences""), concatenate(E99, K99), concatenate(""Build Your Vocabulary"", K99)))"),"Build Your Vocabulary")</f>
        <v>Build Your Vocabulary</v>
      </c>
    </row>
    <row r="100" ht="76.5" customHeight="1">
      <c r="A100" s="84" t="s">
        <v>978</v>
      </c>
      <c r="B100" s="92" t="s">
        <v>979</v>
      </c>
      <c r="C100" s="96" t="s">
        <v>886</v>
      </c>
      <c r="D100" s="96"/>
      <c r="E100" s="93" t="s">
        <v>980</v>
      </c>
      <c r="F100" s="87" t="s">
        <v>981</v>
      </c>
      <c r="G100" s="82" t="s">
        <v>982</v>
      </c>
      <c r="H100" s="82" t="s">
        <v>983</v>
      </c>
      <c r="I100" s="82" t="s">
        <v>975</v>
      </c>
      <c r="J100" s="82"/>
      <c r="K100" s="82">
        <v>831.0</v>
      </c>
      <c r="L100" s="82" t="str">
        <f>IFERROR(__xludf.DUMMYFUNCTION("if(REGEXMATCH(E100, ""Write to Impress""), CONCATENATE(E100, K100), IF(REGEXMATCH(E100, ""Sharpen Your Sentences""), concatenate(E100, K100), concatenate(""Build Your Vocabulary"", K100)))"),"Build Your Vocabulary: Map a Word
Best Practices: Quiz-Quiz-Trade
Write to Impress: Interpret Figurative Language831")</f>
        <v>Build Your Vocabulary: Map a Word
Best Practices: Quiz-Quiz-Trade
Write to Impress: Interpret Figurative Language831</v>
      </c>
    </row>
    <row r="101" ht="50.25" customHeight="1">
      <c r="B101" s="92" t="s">
        <v>984</v>
      </c>
      <c r="C101" s="90" t="s">
        <v>985</v>
      </c>
      <c r="D101" s="90"/>
      <c r="E101" s="93" t="s">
        <v>774</v>
      </c>
      <c r="I101" s="82" t="s">
        <v>975</v>
      </c>
      <c r="J101" s="82"/>
      <c r="K101" s="82">
        <v>832.0</v>
      </c>
      <c r="L101" s="82" t="str">
        <f>IFERROR(__xludf.DUMMYFUNCTION("if(REGEXMATCH(E101, ""Write to Impress""), CONCATENATE(E101, K101), IF(REGEXMATCH(E101, ""Sharpen Your Sentences""), concatenate(E101, K101), concatenate(""Build Your Vocabulary"", K101)))"),"Build Your Vocabulary832")</f>
        <v>Build Your Vocabulary832</v>
      </c>
    </row>
    <row r="102" ht="71.25" customHeight="1">
      <c r="B102" s="92" t="s">
        <v>986</v>
      </c>
      <c r="C102" s="90" t="s">
        <v>987</v>
      </c>
      <c r="D102" s="90"/>
      <c r="E102" s="93" t="s">
        <v>777</v>
      </c>
      <c r="I102" s="82" t="s">
        <v>988</v>
      </c>
      <c r="J102" s="82"/>
      <c r="K102" s="82">
        <v>833.0</v>
      </c>
      <c r="L102" s="82" t="str">
        <f>IFERROR(__xludf.DUMMYFUNCTION("if(REGEXMATCH(E102, ""Write to Impress""), CONCATENATE(E102, K102), IF(REGEXMATCH(E102, ""Sharpen Your Sentences""), concatenate(E102, K102), concatenate(""Build Your Vocabulary"", K102)))"),"Build Your Vocabulary833")</f>
        <v>Build Your Vocabulary833</v>
      </c>
    </row>
    <row r="103" ht="66.0" customHeight="1">
      <c r="B103" s="92" t="s">
        <v>989</v>
      </c>
      <c r="C103" s="90" t="s">
        <v>780</v>
      </c>
      <c r="D103" s="90"/>
      <c r="E103" s="93" t="s">
        <v>990</v>
      </c>
      <c r="I103" s="82" t="s">
        <v>966</v>
      </c>
      <c r="J103" s="82"/>
      <c r="K103" s="82">
        <v>834.0</v>
      </c>
      <c r="L103" s="82" t="str">
        <f>IFERROR(__xludf.DUMMYFUNCTION("if(REGEXMATCH(E103, ""Write to Impress""), CONCATENATE(E103, K103), IF(REGEXMATCH(E103, ""Sharpen Your Sentences""), concatenate(E103, K103), concatenate(""Build Your Vocabulary"", K103)))"),"Build Your Vocabulary834")</f>
        <v>Build Your Vocabulary834</v>
      </c>
    </row>
    <row r="104">
      <c r="A104" s="80"/>
      <c r="B104" s="80"/>
      <c r="C104" s="80" t="s">
        <v>743</v>
      </c>
      <c r="I104" s="80"/>
      <c r="J104" s="80"/>
      <c r="K104" s="80"/>
      <c r="L104" s="82" t="str">
        <f>IFERROR(__xludf.DUMMYFUNCTION("if(REGEXMATCH(E104, ""Write to Impress""), CONCATENATE(E104, K104), IF(REGEXMATCH(E104, ""Sharpen Your Sentences""), concatenate(E104, K104), concatenate(""Build Your Vocabulary"", K104)))"),"Build Your Vocabulary")</f>
        <v>Build Your Vocabulary</v>
      </c>
    </row>
    <row r="105">
      <c r="A105" s="83"/>
      <c r="B105" s="83"/>
      <c r="C105" s="83" t="s">
        <v>10</v>
      </c>
      <c r="D105" s="83" t="s">
        <v>715</v>
      </c>
      <c r="E105" s="83" t="s">
        <v>11</v>
      </c>
      <c r="F105" s="83" t="s">
        <v>716</v>
      </c>
      <c r="G105" s="83" t="s">
        <v>717</v>
      </c>
      <c r="H105" s="83" t="s">
        <v>718</v>
      </c>
      <c r="I105" s="83" t="s">
        <v>719</v>
      </c>
      <c r="J105" s="83"/>
      <c r="K105" s="83"/>
      <c r="L105" s="82" t="str">
        <f>IFERROR(__xludf.DUMMYFUNCTION("if(REGEXMATCH(E105, ""Write to Impress""), CONCATENATE(E105, K105), IF(REGEXMATCH(E105, ""Sharpen Your Sentences""), concatenate(E105, K105), concatenate(""Build Your Vocabulary"", K105)))"),"Build Your Vocabulary")</f>
        <v>Build Your Vocabulary</v>
      </c>
    </row>
    <row r="106" ht="72.0" customHeight="1">
      <c r="A106" s="84" t="s">
        <v>991</v>
      </c>
      <c r="B106" s="92" t="s">
        <v>992</v>
      </c>
      <c r="C106" s="96" t="s">
        <v>785</v>
      </c>
      <c r="D106" s="96" t="s">
        <v>902</v>
      </c>
      <c r="E106" s="93" t="s">
        <v>787</v>
      </c>
      <c r="F106" s="87" t="s">
        <v>993</v>
      </c>
      <c r="G106" s="82" t="s">
        <v>994</v>
      </c>
      <c r="H106" s="82" t="s">
        <v>995</v>
      </c>
      <c r="I106" s="82" t="s">
        <v>975</v>
      </c>
      <c r="J106" s="82"/>
      <c r="K106" s="82">
        <v>841.0</v>
      </c>
      <c r="L106" s="82" t="str">
        <f>IFERROR(__xludf.DUMMYFUNCTION("if(REGEXMATCH(E106, ""Write to Impress""), CONCATENATE(E106, K106), IF(REGEXMATCH(E106, ""Sharpen Your Sentences""), concatenate(E106, K106), concatenate(""Build Your Vocabulary"", K106)))"),"Build Your Vocabulary: Concept Map
Best Practices: Root Word Challenge
Write to Impress: Use Greek and Latin Roots and Affixes841")</f>
        <v>Build Your Vocabulary: Concept Map
Best Practices: Root Word Challenge
Write to Impress: Use Greek and Latin Roots and Affixes841</v>
      </c>
    </row>
    <row r="107" ht="52.5" customHeight="1">
      <c r="B107" s="92" t="s">
        <v>996</v>
      </c>
      <c r="C107" s="90" t="s">
        <v>793</v>
      </c>
      <c r="D107" s="90"/>
      <c r="E107" s="93" t="s">
        <v>997</v>
      </c>
      <c r="I107" s="82" t="s">
        <v>988</v>
      </c>
      <c r="J107" s="82"/>
      <c r="K107" s="82">
        <v>842.0</v>
      </c>
      <c r="L107" s="82" t="str">
        <f>IFERROR(__xludf.DUMMYFUNCTION("if(REGEXMATCH(E107, ""Write to Impress""), CONCATENATE(E107, K107), IF(REGEXMATCH(E107, ""Sharpen Your Sentences""), concatenate(E107, K107), concatenate(""Build Your Vocabulary"", K107)))"),"Build Your Vocabulary842")</f>
        <v>Build Your Vocabulary842</v>
      </c>
    </row>
    <row r="108" ht="73.5" customHeight="1">
      <c r="B108" s="92" t="s">
        <v>998</v>
      </c>
      <c r="C108" s="90" t="s">
        <v>797</v>
      </c>
      <c r="D108" s="96" t="s">
        <v>794</v>
      </c>
      <c r="E108" s="93" t="s">
        <v>999</v>
      </c>
      <c r="I108" s="82" t="s">
        <v>959</v>
      </c>
      <c r="J108" s="82"/>
      <c r="K108" s="82">
        <v>843.0</v>
      </c>
      <c r="L108" s="82" t="str">
        <f>IFERROR(__xludf.DUMMYFUNCTION("if(REGEXMATCH(E108, ""Write to Impress""), CONCATENATE(E108, K108), IF(REGEXMATCH(E108, ""Sharpen Your Sentences""), concatenate(E108, K108), concatenate(""Build Your Vocabulary"", K108)))"),"Build Your Vocabulary: Concept Map
Best Practices: Dig Into Root Words
Write to Impress: Consult Reference Materials843")</f>
        <v>Build Your Vocabulary: Concept Map
Best Practices: Dig Into Root Words
Write to Impress: Consult Reference Materials843</v>
      </c>
    </row>
    <row r="109" ht="67.5" customHeight="1">
      <c r="B109" s="92" t="s">
        <v>1000</v>
      </c>
      <c r="C109" s="90" t="s">
        <v>801</v>
      </c>
      <c r="D109" s="96"/>
      <c r="E109" s="93" t="s">
        <v>1001</v>
      </c>
      <c r="I109" s="82" t="s">
        <v>1002</v>
      </c>
      <c r="J109" s="82"/>
      <c r="K109" s="82">
        <v>844.0</v>
      </c>
      <c r="L109" s="82" t="str">
        <f>IFERROR(__xludf.DUMMYFUNCTION("if(REGEXMATCH(E109, ""Write to Impress""), CONCATENATE(E109, K109), IF(REGEXMATCH(E109, ""Sharpen Your Sentences""), concatenate(E109, K109), concatenate(""Build Your Vocabulary"", K109)))"),"Build Your Vocabulary: Word Study 
Best Practices: Silly Sentences
Write to Impress: Verify a Definition844")</f>
        <v>Build Your Vocabulary: Word Study 
Best Practices: Silly Sentences
Write to Impress: Verify a Definition844</v>
      </c>
    </row>
    <row r="110">
      <c r="A110" s="80"/>
      <c r="B110" s="80"/>
      <c r="C110" s="80" t="s">
        <v>743</v>
      </c>
      <c r="I110" s="80"/>
      <c r="J110" s="80"/>
      <c r="K110" s="80"/>
      <c r="L110" s="82" t="str">
        <f>IFERROR(__xludf.DUMMYFUNCTION("if(REGEXMATCH(E110, ""Write to Impress""), CONCATENATE(E110, K110), IF(REGEXMATCH(E110, ""Sharpen Your Sentences""), concatenate(E110, K110), concatenate(""Build Your Vocabulary"", K110)))"),"Build Your Vocabulary")</f>
        <v>Build Your Vocabulary</v>
      </c>
    </row>
    <row r="111">
      <c r="A111" s="83"/>
      <c r="B111" s="83"/>
      <c r="C111" s="83" t="s">
        <v>10</v>
      </c>
      <c r="D111" s="83" t="s">
        <v>715</v>
      </c>
      <c r="E111" s="83" t="s">
        <v>11</v>
      </c>
      <c r="F111" s="83" t="s">
        <v>716</v>
      </c>
      <c r="G111" s="83" t="s">
        <v>717</v>
      </c>
      <c r="H111" s="83" t="s">
        <v>718</v>
      </c>
      <c r="I111" s="83" t="s">
        <v>719</v>
      </c>
      <c r="J111" s="83"/>
      <c r="K111" s="83"/>
      <c r="L111" s="82" t="str">
        <f>IFERROR(__xludf.DUMMYFUNCTION("if(REGEXMATCH(E111, ""Write to Impress""), CONCATENATE(E111, K111), IF(REGEXMATCH(E111, ""Sharpen Your Sentences""), concatenate(E111, K111), concatenate(""Build Your Vocabulary"", K111)))"),"Build Your Vocabulary")</f>
        <v>Build Your Vocabulary</v>
      </c>
    </row>
    <row r="112" ht="71.25" customHeight="1">
      <c r="A112" s="84" t="s">
        <v>1003</v>
      </c>
      <c r="B112" s="92" t="s">
        <v>1004</v>
      </c>
      <c r="C112" s="96" t="s">
        <v>1005</v>
      </c>
      <c r="D112" s="96" t="s">
        <v>821</v>
      </c>
      <c r="E112" s="93" t="s">
        <v>913</v>
      </c>
      <c r="F112" s="87" t="s">
        <v>1006</v>
      </c>
      <c r="G112" s="82" t="s">
        <v>1007</v>
      </c>
      <c r="H112" s="82" t="s">
        <v>1008</v>
      </c>
      <c r="I112" s="82" t="s">
        <v>975</v>
      </c>
      <c r="J112" s="82"/>
      <c r="K112" s="82">
        <v>851.0</v>
      </c>
      <c r="L112" s="82" t="str">
        <f>IFERROR(__xludf.DUMMYFUNCTION("if(REGEXMATCH(E112, ""Write to Impress""), CONCATENATE(E112, K112), IF(REGEXMATCH(E112, ""Sharpen Your Sentences""), concatenate(E112, K112), concatenate(""Build Your Vocabulary"", K112)))"),"Build Your Vocabulary: Map a Word
Best Practices: Contextual Reading
Write to Impress: Use Context Clues for Meaning851")</f>
        <v>Build Your Vocabulary: Map a Word
Best Practices: Contextual Reading
Write to Impress: Use Context Clues for Meaning851</v>
      </c>
    </row>
    <row r="113" ht="84.75" customHeight="1">
      <c r="B113" s="92" t="s">
        <v>1009</v>
      </c>
      <c r="C113" s="90" t="s">
        <v>1010</v>
      </c>
      <c r="D113" s="96" t="s">
        <v>833</v>
      </c>
      <c r="E113" s="93" t="s">
        <v>1011</v>
      </c>
      <c r="I113" s="82" t="s">
        <v>1012</v>
      </c>
      <c r="J113" s="82"/>
      <c r="K113" s="82">
        <v>852.0</v>
      </c>
      <c r="L113" s="82" t="str">
        <f>IFERROR(__xludf.DUMMYFUNCTION("if(REGEXMATCH(E113, ""Write to Impress""), CONCATENATE(E113, K113), IF(REGEXMATCH(E113, ""Sharpen Your Sentences""), concatenate(E113, K113), concatenate(""Build Your Vocabulary"", K113)))"),"Build Your Vocabulary: Map a Word
Best Practices: Storytelling with Vocabulary
Write to Impress: Use the Relationships Between Words to Understand Meanings852")</f>
        <v>Build Your Vocabulary: Map a Word
Best Practices: Storytelling with Vocabulary
Write to Impress: Use the Relationships Between Words to Understand Meanings852</v>
      </c>
    </row>
    <row r="114" ht="62.25" customHeight="1">
      <c r="B114" s="92" t="s">
        <v>1013</v>
      </c>
      <c r="C114" s="90" t="s">
        <v>816</v>
      </c>
      <c r="D114" s="96"/>
      <c r="E114" s="93" t="s">
        <v>817</v>
      </c>
      <c r="I114" s="82" t="s">
        <v>1014</v>
      </c>
      <c r="J114" s="82"/>
      <c r="K114" s="82">
        <v>853.0</v>
      </c>
      <c r="L114" s="82" t="str">
        <f>IFERROR(__xludf.DUMMYFUNCTION("if(REGEXMATCH(E114, ""Write to Impress""), CONCATENATE(E114, K114), IF(REGEXMATCH(E114, ""Sharpen Your Sentences""), concatenate(E114, K114), concatenate(""Build Your Vocabulary"", K114)))"),"Build Your Vocabulary853")</f>
        <v>Build Your Vocabulary853</v>
      </c>
    </row>
    <row r="115" ht="61.5" customHeight="1">
      <c r="B115" s="92" t="s">
        <v>1015</v>
      </c>
      <c r="C115" s="90" t="s">
        <v>923</v>
      </c>
      <c r="D115" s="96"/>
      <c r="E115" s="86" t="s">
        <v>924</v>
      </c>
      <c r="I115" s="82" t="s">
        <v>1016</v>
      </c>
      <c r="J115" s="82"/>
      <c r="K115" s="82">
        <v>854.0</v>
      </c>
      <c r="L115" s="82" t="str">
        <f>IFERROR(__xludf.DUMMYFUNCTION("if(REGEXMATCH(E115, ""Write to Impress""), CONCATENATE(E115, K115), IF(REGEXMATCH(E115, ""Sharpen Your Sentences""), concatenate(E115, K115), concatenate(""Build Your Vocabulary"", K115)))"),"Build Your Vocabulary854")</f>
        <v>Build Your Vocabulary854</v>
      </c>
    </row>
    <row r="116" ht="61.5" customHeight="1">
      <c r="A116" s="84"/>
      <c r="B116" s="92" t="s">
        <v>1017</v>
      </c>
      <c r="C116" s="90" t="s">
        <v>927</v>
      </c>
      <c r="D116" s="96"/>
      <c r="E116" s="86" t="s">
        <v>1018</v>
      </c>
      <c r="I116" s="82" t="s">
        <v>1019</v>
      </c>
      <c r="J116" s="82"/>
      <c r="K116" s="82"/>
      <c r="L116" s="82"/>
    </row>
    <row r="117">
      <c r="A117" s="80"/>
      <c r="B117" s="80"/>
      <c r="C117" s="80" t="s">
        <v>743</v>
      </c>
      <c r="I117" s="80"/>
      <c r="J117" s="80"/>
      <c r="K117" s="80"/>
      <c r="L117" s="82" t="str">
        <f>IFERROR(__xludf.DUMMYFUNCTION("if(REGEXMATCH(E117, ""Write to Impress""), CONCATENATE(E117, K117), IF(REGEXMATCH(E117, ""Sharpen Your Sentences""), concatenate(E117, K117), concatenate(""Build Your Vocabulary"", K117)))"),"Build Your Vocabulary")</f>
        <v>Build Your Vocabulary</v>
      </c>
    </row>
    <row r="118">
      <c r="A118" s="83"/>
      <c r="B118" s="83"/>
      <c r="C118" s="83" t="s">
        <v>10</v>
      </c>
      <c r="D118" s="83" t="s">
        <v>715</v>
      </c>
      <c r="E118" s="83" t="s">
        <v>11</v>
      </c>
      <c r="F118" s="83" t="s">
        <v>716</v>
      </c>
      <c r="G118" s="83" t="s">
        <v>717</v>
      </c>
      <c r="H118" s="83" t="s">
        <v>718</v>
      </c>
      <c r="I118" s="83" t="s">
        <v>719</v>
      </c>
      <c r="J118" s="83"/>
      <c r="K118" s="83"/>
      <c r="L118" s="82" t="str">
        <f>IFERROR(__xludf.DUMMYFUNCTION("if(REGEXMATCH(E118, ""Write to Impress""), CONCATENATE(E118, K118), IF(REGEXMATCH(E118, ""Sharpen Your Sentences""), concatenate(E118, K118), concatenate(""Build Your Vocabulary"", K118)))"),"Build Your Vocabulary")</f>
        <v>Build Your Vocabulary</v>
      </c>
    </row>
    <row r="119" ht="48.0" customHeight="1">
      <c r="A119" s="84" t="s">
        <v>1020</v>
      </c>
      <c r="B119" s="92" t="s">
        <v>1021</v>
      </c>
      <c r="C119" s="96" t="s">
        <v>820</v>
      </c>
      <c r="D119" s="96"/>
      <c r="E119" s="93" t="s">
        <v>1022</v>
      </c>
      <c r="F119" s="87" t="s">
        <v>1023</v>
      </c>
      <c r="G119" s="88" t="s">
        <v>1024</v>
      </c>
      <c r="H119" s="88" t="s">
        <v>1025</v>
      </c>
      <c r="I119" s="82" t="s">
        <v>1026</v>
      </c>
      <c r="J119" s="82"/>
      <c r="K119" s="82">
        <v>861.0</v>
      </c>
      <c r="L119" s="82" t="str">
        <f>IFERROR(__xludf.DUMMYFUNCTION("if(REGEXMATCH(E119, ""Write to Impress""), CONCATENATE(E119, K119), IF(REGEXMATCH(E119, ""Sharpen Your Sentences""), concatenate(E119, K119), concatenate(""Build Your Vocabulary"", K119)))"),"Build Your Vocabulary861")</f>
        <v>Build Your Vocabulary861</v>
      </c>
    </row>
    <row r="120" ht="45.75" customHeight="1">
      <c r="B120" s="92" t="s">
        <v>1027</v>
      </c>
      <c r="C120" s="90" t="s">
        <v>828</v>
      </c>
      <c r="D120" s="90"/>
      <c r="E120" s="93" t="s">
        <v>829</v>
      </c>
      <c r="I120" s="82" t="s">
        <v>1028</v>
      </c>
      <c r="J120" s="82"/>
      <c r="K120" s="82">
        <v>862.0</v>
      </c>
      <c r="L120" s="82" t="str">
        <f>IFERROR(__xludf.DUMMYFUNCTION("if(REGEXMATCH(E120, ""Write to Impress""), CONCATENATE(E120, K120), IF(REGEXMATCH(E120, ""Sharpen Your Sentences""), concatenate(E120, K120), concatenate(""Build Your Vocabulary"", K120)))"),"Build Your Vocabulary862")</f>
        <v>Build Your Vocabulary862</v>
      </c>
    </row>
    <row r="121" ht="58.5" customHeight="1">
      <c r="B121" s="92" t="s">
        <v>1029</v>
      </c>
      <c r="C121" s="90" t="s">
        <v>832</v>
      </c>
      <c r="D121" s="90"/>
      <c r="E121" s="93" t="s">
        <v>941</v>
      </c>
      <c r="I121" s="82" t="s">
        <v>1030</v>
      </c>
      <c r="J121" s="82"/>
      <c r="K121" s="82">
        <v>863.0</v>
      </c>
      <c r="L121" s="82" t="str">
        <f>IFERROR(__xludf.DUMMYFUNCTION("if(REGEXMATCH(E121, ""Write to Impress""), CONCATENATE(E121, K121), IF(REGEXMATCH(E121, ""Sharpen Your Sentences""), concatenate(E121, K121), concatenate(""Build Your Vocabulary"", K121)))"),"Build Your Vocabulary863")</f>
        <v>Build Your Vocabulary863</v>
      </c>
    </row>
    <row r="122" ht="156.0" customHeight="1">
      <c r="B122" s="92" t="s">
        <v>1031</v>
      </c>
      <c r="C122" s="90" t="s">
        <v>801</v>
      </c>
      <c r="D122" s="90"/>
      <c r="E122" s="93" t="s">
        <v>837</v>
      </c>
      <c r="I122" s="82" t="s">
        <v>1032</v>
      </c>
      <c r="J122" s="82"/>
      <c r="K122" s="82">
        <v>864.0</v>
      </c>
      <c r="L122" s="82" t="str">
        <f>IFERROR(__xludf.DUMMYFUNCTION("if(REGEXMATCH(E122, ""Write to Impress""), CONCATENATE(E122, K122), IF(REGEXMATCH(E122, ""Sharpen Your Sentences""), concatenate(E122, K122), concatenate(""Build Your Vocabulary"", K122)))"),"Build Your Vocabulary864")</f>
        <v>Build Your Vocabulary864</v>
      </c>
    </row>
    <row r="123">
      <c r="A123" s="80"/>
      <c r="B123" s="80"/>
      <c r="C123" s="80" t="s">
        <v>743</v>
      </c>
      <c r="I123" s="80"/>
      <c r="J123" s="80"/>
      <c r="K123" s="80"/>
      <c r="L123" s="82" t="str">
        <f>IFERROR(__xludf.DUMMYFUNCTION("if(REGEXMATCH(E123, ""Write to Impress""), CONCATENATE(E123, K123), IF(REGEXMATCH(E123, ""Sharpen Your Sentences""), concatenate(E123, K123), concatenate(""Build Your Vocabulary"", K123)))"),"Build Your Vocabulary")</f>
        <v>Build Your Vocabulary</v>
      </c>
    </row>
    <row r="124">
      <c r="A124" s="83"/>
      <c r="B124" s="83"/>
      <c r="C124" s="83" t="s">
        <v>10</v>
      </c>
      <c r="D124" s="83" t="s">
        <v>715</v>
      </c>
      <c r="E124" s="83" t="s">
        <v>11</v>
      </c>
      <c r="F124" s="83" t="s">
        <v>716</v>
      </c>
      <c r="G124" s="83" t="s">
        <v>717</v>
      </c>
      <c r="H124" s="83" t="s">
        <v>718</v>
      </c>
      <c r="I124" s="83" t="s">
        <v>719</v>
      </c>
      <c r="J124" s="83"/>
      <c r="K124" s="83"/>
      <c r="L124" s="82" t="str">
        <f>IFERROR(__xludf.DUMMYFUNCTION("if(REGEXMATCH(E124, ""Write to Impress""), CONCATENATE(E124, K124), IF(REGEXMATCH(E124, ""Sharpen Your Sentences""), concatenate(E124, K124), concatenate(""Build Your Vocabulary"", K124)))"),"Build Your Vocabulary")</f>
        <v>Build Your Vocabulary</v>
      </c>
    </row>
    <row r="125" ht="54.75" customHeight="1">
      <c r="A125" s="84" t="s">
        <v>1033</v>
      </c>
      <c r="B125" s="92" t="s">
        <v>1034</v>
      </c>
      <c r="C125" s="96" t="s">
        <v>840</v>
      </c>
      <c r="D125" s="96"/>
      <c r="E125" s="93" t="s">
        <v>841</v>
      </c>
      <c r="F125" s="98" t="s">
        <v>1035</v>
      </c>
      <c r="G125" s="82" t="s">
        <v>1036</v>
      </c>
      <c r="H125" s="82" t="s">
        <v>1037</v>
      </c>
      <c r="I125" s="82" t="s">
        <v>988</v>
      </c>
      <c r="J125" s="82"/>
      <c r="K125" s="82">
        <v>871.0</v>
      </c>
      <c r="L125" s="82" t="str">
        <f>IFERROR(__xludf.DUMMYFUNCTION("if(REGEXMATCH(E125, ""Write to Impress""), CONCATENATE(E125, K125), IF(REGEXMATCH(E125, ""Sharpen Your Sentences""), concatenate(E125, K125), concatenate(""Build Your Vocabulary"", K125)))"),"Build Your Vocabulary871")</f>
        <v>Build Your Vocabulary871</v>
      </c>
    </row>
    <row r="126" ht="47.25" customHeight="1">
      <c r="B126" s="92" t="s">
        <v>1038</v>
      </c>
      <c r="C126" s="96" t="s">
        <v>846</v>
      </c>
      <c r="D126" s="90"/>
      <c r="E126" s="93" t="s">
        <v>847</v>
      </c>
      <c r="I126" s="82" t="s">
        <v>975</v>
      </c>
      <c r="J126" s="82"/>
      <c r="K126" s="82">
        <v>872.0</v>
      </c>
      <c r="L126" s="82" t="str">
        <f>IFERROR(__xludf.DUMMYFUNCTION("if(REGEXMATCH(E126, ""Write to Impress""), CONCATENATE(E126, K126), IF(REGEXMATCH(E126, ""Sharpen Your Sentences""), concatenate(E126, K126), concatenate(""Build Your Vocabulary"", K126)))"),"Build Your Vocabulary872")</f>
        <v>Build Your Vocabulary872</v>
      </c>
    </row>
    <row r="127" ht="104.25" customHeight="1">
      <c r="B127" s="92" t="s">
        <v>1039</v>
      </c>
      <c r="C127" s="90" t="s">
        <v>854</v>
      </c>
      <c r="D127" s="90"/>
      <c r="E127" s="93" t="s">
        <v>855</v>
      </c>
      <c r="I127" s="82" t="s">
        <v>966</v>
      </c>
      <c r="J127" s="82"/>
      <c r="K127" s="82">
        <v>874.0</v>
      </c>
      <c r="L127" s="82" t="str">
        <f>IFERROR(__xludf.DUMMYFUNCTION("if(REGEXMATCH(E127, ""Write to Impress""), CONCATENATE(E127, K127), IF(REGEXMATCH(E127, ""Sharpen Your Sentences""), concatenate(E127, K127), concatenate(""Build Your Vocabulary"", K127)))"),"Build Your Vocabulary874")</f>
        <v>Build Your Vocabulary874</v>
      </c>
    </row>
    <row r="128">
      <c r="A128" s="80"/>
      <c r="B128" s="80"/>
      <c r="C128" s="80" t="s">
        <v>743</v>
      </c>
      <c r="I128" s="80"/>
      <c r="J128" s="80"/>
      <c r="K128" s="80"/>
      <c r="L128" s="82" t="str">
        <f>IFERROR(__xludf.DUMMYFUNCTION("if(REGEXMATCH(E128, ""Write to Impress""), CONCATENATE(E128, K128), IF(REGEXMATCH(E128, ""Sharpen Your Sentences""), concatenate(E128, K128), concatenate(""Build Your Vocabulary"", K128)))"),"Build Your Vocabulary")</f>
        <v>Build Your Vocabulary</v>
      </c>
    </row>
    <row r="129">
      <c r="A129" s="83"/>
      <c r="B129" s="83"/>
      <c r="C129" s="83" t="s">
        <v>10</v>
      </c>
      <c r="D129" s="83" t="s">
        <v>715</v>
      </c>
      <c r="E129" s="83" t="s">
        <v>11</v>
      </c>
      <c r="F129" s="83" t="s">
        <v>716</v>
      </c>
      <c r="G129" s="83" t="s">
        <v>717</v>
      </c>
      <c r="H129" s="83" t="s">
        <v>718</v>
      </c>
      <c r="I129" s="83" t="s">
        <v>719</v>
      </c>
      <c r="J129" s="83"/>
      <c r="K129" s="83"/>
      <c r="L129" s="82" t="str">
        <f>IFERROR(__xludf.DUMMYFUNCTION("if(REGEXMATCH(E129, ""Write to Impress""), CONCATENATE(E129, K129), IF(REGEXMATCH(E129, ""Sharpen Your Sentences""), concatenate(E129, K129), concatenate(""Build Your Vocabulary"", K129)))"),"Build Your Vocabulary")</f>
        <v>Build Your Vocabulary</v>
      </c>
    </row>
    <row r="130" ht="70.5" customHeight="1">
      <c r="A130" s="84" t="s">
        <v>1040</v>
      </c>
      <c r="B130" s="92" t="s">
        <v>1041</v>
      </c>
      <c r="C130" s="96" t="s">
        <v>729</v>
      </c>
      <c r="D130" s="96"/>
      <c r="E130" s="86" t="s">
        <v>730</v>
      </c>
      <c r="F130" s="87" t="s">
        <v>1042</v>
      </c>
      <c r="G130" s="82" t="s">
        <v>1043</v>
      </c>
      <c r="H130" s="82" t="s">
        <v>1044</v>
      </c>
      <c r="I130" s="88" t="s">
        <v>1045</v>
      </c>
      <c r="J130" s="82"/>
      <c r="K130" s="82">
        <v>911.0</v>
      </c>
      <c r="L130" s="82" t="str">
        <f>IFERROR(__xludf.DUMMYFUNCTION("if(REGEXMATCH(E130, ""Write to Impress""), CONCATENATE(E130, K130), IF(REGEXMATCH(E130, ""Sharpen Your Sentences""), concatenate(E130, K130), concatenate(""Build Your Vocabulary"", K130)))"),"Build Your Vocabulary911")</f>
        <v>Build Your Vocabulary911</v>
      </c>
    </row>
    <row r="131" ht="70.5" customHeight="1">
      <c r="B131" s="92" t="s">
        <v>1046</v>
      </c>
      <c r="C131" s="90" t="s">
        <v>733</v>
      </c>
      <c r="D131" s="90"/>
      <c r="E131" s="86" t="s">
        <v>734</v>
      </c>
      <c r="I131" s="88" t="s">
        <v>1047</v>
      </c>
      <c r="J131" s="82"/>
      <c r="K131" s="82">
        <v>912.0</v>
      </c>
      <c r="L131" s="82" t="str">
        <f>IFERROR(__xludf.DUMMYFUNCTION("if(REGEXMATCH(E131, ""Write to Impress""), CONCATENATE(E131, K131), IF(REGEXMATCH(E131, ""Sharpen Your Sentences""), concatenate(E131, K131), concatenate(""Build Your Vocabulary"", K131)))"),"Build Your Vocabulary912")</f>
        <v>Build Your Vocabulary912</v>
      </c>
    </row>
    <row r="132" ht="70.5" customHeight="1">
      <c r="B132" s="92" t="s">
        <v>1048</v>
      </c>
      <c r="C132" s="90" t="s">
        <v>867</v>
      </c>
      <c r="D132" s="90"/>
      <c r="E132" s="86" t="s">
        <v>738</v>
      </c>
      <c r="I132" s="88" t="s">
        <v>1049</v>
      </c>
      <c r="J132" s="82"/>
      <c r="K132" s="82">
        <v>913.0</v>
      </c>
      <c r="L132" s="82" t="str">
        <f>IFERROR(__xludf.DUMMYFUNCTION("if(REGEXMATCH(E132, ""Write to Impress""), CONCATENATE(E132, K132), IF(REGEXMATCH(E132, ""Sharpen Your Sentences""), concatenate(E132, K132), concatenate(""Build Your Vocabulary"", K132)))"),"Build Your Vocabulary913")</f>
        <v>Build Your Vocabulary913</v>
      </c>
    </row>
    <row r="133" ht="70.5" customHeight="1">
      <c r="B133" s="92" t="s">
        <v>1050</v>
      </c>
      <c r="C133" s="90" t="s">
        <v>801</v>
      </c>
      <c r="D133" s="90"/>
      <c r="E133" s="86" t="s">
        <v>742</v>
      </c>
      <c r="I133" s="88" t="s">
        <v>1051</v>
      </c>
      <c r="J133" s="82"/>
      <c r="K133" s="82">
        <v>914.0</v>
      </c>
      <c r="L133" s="82" t="str">
        <f>IFERROR(__xludf.DUMMYFUNCTION("if(REGEXMATCH(E133, ""Write to Impress""), CONCATENATE(E133, K133), IF(REGEXMATCH(E133, ""Sharpen Your Sentences""), concatenate(E133, K133), concatenate(""Build Your Vocabulary"", K133)))"),"Build Your Vocabulary914")</f>
        <v>Build Your Vocabulary914</v>
      </c>
    </row>
    <row r="134">
      <c r="A134" s="80"/>
      <c r="B134" s="80"/>
      <c r="C134" s="80" t="s">
        <v>743</v>
      </c>
      <c r="I134" s="80"/>
      <c r="J134" s="80"/>
      <c r="K134" s="80"/>
      <c r="L134" s="82" t="str">
        <f>IFERROR(__xludf.DUMMYFUNCTION("if(REGEXMATCH(E134, ""Write to Impress""), CONCATENATE(E134, K134), IF(REGEXMATCH(E134, ""Sharpen Your Sentences""), concatenate(E134, K134), concatenate(""Build Your Vocabulary"", K134)))"),"Build Your Vocabulary")</f>
        <v>Build Your Vocabulary</v>
      </c>
    </row>
    <row r="135">
      <c r="A135" s="83"/>
      <c r="B135" s="83"/>
      <c r="C135" s="83" t="s">
        <v>10</v>
      </c>
      <c r="D135" s="83" t="s">
        <v>715</v>
      </c>
      <c r="E135" s="83" t="s">
        <v>11</v>
      </c>
      <c r="F135" s="83" t="s">
        <v>716</v>
      </c>
      <c r="G135" s="83" t="s">
        <v>717</v>
      </c>
      <c r="H135" s="83" t="s">
        <v>718</v>
      </c>
      <c r="I135" s="83" t="s">
        <v>719</v>
      </c>
      <c r="J135" s="83"/>
      <c r="K135" s="83"/>
      <c r="L135" s="82" t="str">
        <f>IFERROR(__xludf.DUMMYFUNCTION("if(REGEXMATCH(E135, ""Write to Impress""), CONCATENATE(E135, K135), IF(REGEXMATCH(E135, ""Sharpen Your Sentences""), concatenate(E135, K135), concatenate(""Build Your Vocabulary"", K135)))"),"Build Your Vocabulary")</f>
        <v>Build Your Vocabulary</v>
      </c>
    </row>
    <row r="136" ht="51.75" customHeight="1">
      <c r="A136" s="84" t="s">
        <v>1052</v>
      </c>
      <c r="B136" s="92" t="s">
        <v>1053</v>
      </c>
      <c r="C136" s="91" t="s">
        <v>746</v>
      </c>
      <c r="D136" s="91"/>
      <c r="E136" s="93" t="s">
        <v>747</v>
      </c>
      <c r="F136" s="87" t="s">
        <v>1054</v>
      </c>
      <c r="G136" s="82" t="s">
        <v>1055</v>
      </c>
      <c r="H136" s="82" t="s">
        <v>1056</v>
      </c>
      <c r="I136" s="82" t="s">
        <v>1045</v>
      </c>
      <c r="J136" s="82"/>
      <c r="K136" s="82">
        <v>921.0</v>
      </c>
      <c r="L136" s="82" t="str">
        <f>IFERROR(__xludf.DUMMYFUNCTION("if(REGEXMATCH(E136, ""Write to Impress""), CONCATENATE(E136, K136), IF(REGEXMATCH(E136, ""Sharpen Your Sentences""), concatenate(E136, K136), concatenate(""Build Your Vocabulary"", K136)))"),"Build Your Vocabulary921")</f>
        <v>Build Your Vocabulary921</v>
      </c>
    </row>
    <row r="137" ht="51.75" customHeight="1">
      <c r="B137" s="92" t="s">
        <v>1057</v>
      </c>
      <c r="C137" s="90" t="s">
        <v>1058</v>
      </c>
      <c r="D137" s="90"/>
      <c r="E137" s="93" t="s">
        <v>754</v>
      </c>
      <c r="I137" s="82" t="s">
        <v>1059</v>
      </c>
      <c r="J137" s="82"/>
      <c r="K137" s="82">
        <v>922.0</v>
      </c>
      <c r="L137" s="82" t="str">
        <f>IFERROR(__xludf.DUMMYFUNCTION("if(REGEXMATCH(E137, ""Write to Impress""), CONCATENATE(E137, K137), IF(REGEXMATCH(E137, ""Sharpen Your Sentences""), concatenate(E137, K137), concatenate(""Build Your Vocabulary"", K137)))"),"Build Your Vocabulary922")</f>
        <v>Build Your Vocabulary922</v>
      </c>
    </row>
    <row r="138" ht="51.75" customHeight="1">
      <c r="B138" s="92" t="s">
        <v>1060</v>
      </c>
      <c r="C138" s="90" t="s">
        <v>757</v>
      </c>
      <c r="D138" s="90"/>
      <c r="E138" s="93" t="s">
        <v>758</v>
      </c>
      <c r="I138" s="82" t="s">
        <v>1049</v>
      </c>
      <c r="J138" s="82"/>
      <c r="K138" s="82">
        <v>923.0</v>
      </c>
      <c r="L138" s="82" t="str">
        <f>IFERROR(__xludf.DUMMYFUNCTION("if(REGEXMATCH(E138, ""Write to Impress""), CONCATENATE(E138, K138), IF(REGEXMATCH(E138, ""Sharpen Your Sentences""), concatenate(E138, K138), concatenate(""Build Your Vocabulary"", K138)))"),"Build Your Vocabulary923")</f>
        <v>Build Your Vocabulary923</v>
      </c>
    </row>
    <row r="139" ht="51.75" customHeight="1">
      <c r="B139" s="92" t="s">
        <v>1061</v>
      </c>
      <c r="C139" s="90" t="s">
        <v>882</v>
      </c>
      <c r="D139" s="90"/>
      <c r="E139" s="93" t="s">
        <v>762</v>
      </c>
      <c r="I139" s="82" t="s">
        <v>1062</v>
      </c>
      <c r="J139" s="82"/>
      <c r="K139" s="82">
        <v>924.0</v>
      </c>
      <c r="L139" s="82" t="str">
        <f>IFERROR(__xludf.DUMMYFUNCTION("if(REGEXMATCH(E139, ""Write to Impress""), CONCATENATE(E139, K139), IF(REGEXMATCH(E139, ""Sharpen Your Sentences""), concatenate(E139, K139), concatenate(""Build Your Vocabulary"", K139)))"),"Build Your Vocabulary924")</f>
        <v>Build Your Vocabulary924</v>
      </c>
    </row>
    <row r="140">
      <c r="A140" s="80"/>
      <c r="B140" s="80"/>
      <c r="C140" s="80" t="s">
        <v>743</v>
      </c>
      <c r="I140" s="80"/>
      <c r="J140" s="80"/>
      <c r="K140" s="80"/>
      <c r="L140" s="82" t="str">
        <f>IFERROR(__xludf.DUMMYFUNCTION("if(REGEXMATCH(E140, ""Write to Impress""), CONCATENATE(E140, K140), IF(REGEXMATCH(E140, ""Sharpen Your Sentences""), concatenate(E140, K140), concatenate(""Build Your Vocabulary"", K140)))"),"Build Your Vocabulary")</f>
        <v>Build Your Vocabulary</v>
      </c>
    </row>
    <row r="141">
      <c r="A141" s="83"/>
      <c r="B141" s="83"/>
      <c r="C141" s="83" t="s">
        <v>10</v>
      </c>
      <c r="D141" s="83" t="s">
        <v>715</v>
      </c>
      <c r="E141" s="83" t="s">
        <v>11</v>
      </c>
      <c r="F141" s="83" t="s">
        <v>716</v>
      </c>
      <c r="G141" s="83" t="s">
        <v>717</v>
      </c>
      <c r="H141" s="83" t="s">
        <v>718</v>
      </c>
      <c r="I141" s="83" t="s">
        <v>719</v>
      </c>
      <c r="J141" s="83"/>
      <c r="K141" s="83"/>
      <c r="L141" s="82" t="str">
        <f>IFERROR(__xludf.DUMMYFUNCTION("if(REGEXMATCH(E141, ""Write to Impress""), CONCATENATE(E141, K141), IF(REGEXMATCH(E141, ""Sharpen Your Sentences""), concatenate(E141, K141), concatenate(""Build Your Vocabulary"", K141)))"),"Build Your Vocabulary")</f>
        <v>Build Your Vocabulary</v>
      </c>
    </row>
    <row r="142" ht="42.0" customHeight="1">
      <c r="A142" s="84" t="s">
        <v>1063</v>
      </c>
      <c r="B142" s="92" t="s">
        <v>1064</v>
      </c>
      <c r="C142" s="96" t="s">
        <v>886</v>
      </c>
      <c r="D142" s="96"/>
      <c r="E142" s="93" t="s">
        <v>1065</v>
      </c>
      <c r="F142" s="87" t="s">
        <v>1066</v>
      </c>
      <c r="G142" s="99" t="s">
        <v>1067</v>
      </c>
      <c r="H142" s="99" t="s">
        <v>1068</v>
      </c>
      <c r="I142" s="82" t="s">
        <v>1049</v>
      </c>
      <c r="J142" s="82"/>
      <c r="K142" s="82">
        <v>931.0</v>
      </c>
      <c r="L142" s="82" t="str">
        <f>IFERROR(__xludf.DUMMYFUNCTION("if(REGEXMATCH(E142, ""Write to Impress""), CONCATENATE(E142, K142), IF(REGEXMATCH(E142, ""Sharpen Your Sentences""), concatenate(E142, K142), concatenate(""Build Your Vocabulary"", K142)))"),"Build Your Vocabulary: Map a Word
Best Practices: Quiz-Quiz-Trade
Write to Impress: Understanding Figurative Language931")</f>
        <v>Build Your Vocabulary: Map a Word
Best Practices: Quiz-Quiz-Trade
Write to Impress: Understanding Figurative Language931</v>
      </c>
    </row>
    <row r="143" ht="42.0" customHeight="1">
      <c r="B143" s="92" t="s">
        <v>1069</v>
      </c>
      <c r="C143" s="90" t="s">
        <v>985</v>
      </c>
      <c r="D143" s="90"/>
      <c r="E143" s="93" t="s">
        <v>847</v>
      </c>
      <c r="I143" s="82" t="s">
        <v>1070</v>
      </c>
      <c r="J143" s="82"/>
      <c r="K143" s="82">
        <v>932.0</v>
      </c>
      <c r="L143" s="82" t="str">
        <f>IFERROR(__xludf.DUMMYFUNCTION("if(REGEXMATCH(E143, ""Write to Impress""), CONCATENATE(E143, K143), IF(REGEXMATCH(E143, ""Sharpen Your Sentences""), concatenate(E143, K143), concatenate(""Build Your Vocabulary"", K143)))"),"Build Your Vocabulary932")</f>
        <v>Build Your Vocabulary932</v>
      </c>
    </row>
    <row r="144" ht="42.0" customHeight="1">
      <c r="B144" s="92" t="s">
        <v>1071</v>
      </c>
      <c r="C144" s="90" t="s">
        <v>987</v>
      </c>
      <c r="D144" s="90"/>
      <c r="E144" s="93" t="s">
        <v>777</v>
      </c>
      <c r="I144" s="82" t="s">
        <v>1072</v>
      </c>
      <c r="J144" s="82"/>
      <c r="K144" s="82">
        <v>933.0</v>
      </c>
      <c r="L144" s="82" t="str">
        <f>IFERROR(__xludf.DUMMYFUNCTION("if(REGEXMATCH(E144, ""Write to Impress""), CONCATENATE(E144, K144), IF(REGEXMATCH(E144, ""Sharpen Your Sentences""), concatenate(E144, K144), concatenate(""Build Your Vocabulary"", K144)))"),"Build Your Vocabulary933")</f>
        <v>Build Your Vocabulary933</v>
      </c>
    </row>
    <row r="145" ht="113.25" customHeight="1">
      <c r="B145" s="92" t="s">
        <v>1073</v>
      </c>
      <c r="C145" s="90" t="s">
        <v>801</v>
      </c>
      <c r="D145" s="90"/>
      <c r="E145" s="93" t="s">
        <v>742</v>
      </c>
      <c r="I145" s="82" t="s">
        <v>1051</v>
      </c>
      <c r="J145" s="82"/>
      <c r="K145" s="82">
        <v>934.0</v>
      </c>
      <c r="L145" s="82" t="str">
        <f>IFERROR(__xludf.DUMMYFUNCTION("if(REGEXMATCH(E145, ""Write to Impress""), CONCATENATE(E145, K145), IF(REGEXMATCH(E145, ""Sharpen Your Sentences""), concatenate(E145, K145), concatenate(""Build Your Vocabulary"", K145)))"),"Build Your Vocabulary934")</f>
        <v>Build Your Vocabulary934</v>
      </c>
    </row>
    <row r="146">
      <c r="A146" s="80"/>
      <c r="B146" s="80"/>
      <c r="C146" s="80" t="s">
        <v>743</v>
      </c>
      <c r="I146" s="80"/>
      <c r="J146" s="80"/>
      <c r="K146" s="80"/>
      <c r="L146" s="82" t="str">
        <f>IFERROR(__xludf.DUMMYFUNCTION("if(REGEXMATCH(E146, ""Write to Impress""), CONCATENATE(E146, K146), IF(REGEXMATCH(E146, ""Sharpen Your Sentences""), concatenate(E146, K146), concatenate(""Build Your Vocabulary"", K146)))"),"Build Your Vocabulary")</f>
        <v>Build Your Vocabulary</v>
      </c>
    </row>
    <row r="147">
      <c r="A147" s="83"/>
      <c r="B147" s="83"/>
      <c r="C147" s="83" t="s">
        <v>10</v>
      </c>
      <c r="D147" s="83" t="s">
        <v>715</v>
      </c>
      <c r="E147" s="83" t="s">
        <v>11</v>
      </c>
      <c r="F147" s="83" t="s">
        <v>716</v>
      </c>
      <c r="G147" s="83" t="s">
        <v>717</v>
      </c>
      <c r="H147" s="83" t="s">
        <v>718</v>
      </c>
      <c r="I147" s="83" t="s">
        <v>719</v>
      </c>
      <c r="J147" s="83"/>
      <c r="K147" s="83"/>
      <c r="L147" s="82" t="str">
        <f>IFERROR(__xludf.DUMMYFUNCTION("if(REGEXMATCH(E147, ""Write to Impress""), CONCATENATE(E147, K147), IF(REGEXMATCH(E147, ""Sharpen Your Sentences""), concatenate(E147, K147), concatenate(""Build Your Vocabulary"", K147)))"),"Build Your Vocabulary")</f>
        <v>Build Your Vocabulary</v>
      </c>
    </row>
    <row r="148" ht="70.5" customHeight="1">
      <c r="A148" s="84" t="s">
        <v>1074</v>
      </c>
      <c r="B148" s="92" t="s">
        <v>1075</v>
      </c>
      <c r="C148" s="96" t="s">
        <v>785</v>
      </c>
      <c r="D148" s="96" t="s">
        <v>902</v>
      </c>
      <c r="E148" s="93" t="s">
        <v>1076</v>
      </c>
      <c r="F148" s="87" t="s">
        <v>1077</v>
      </c>
      <c r="G148" s="82" t="s">
        <v>1078</v>
      </c>
      <c r="H148" s="82" t="s">
        <v>1079</v>
      </c>
      <c r="I148" s="82" t="s">
        <v>1049</v>
      </c>
      <c r="J148" s="82"/>
      <c r="K148" s="82">
        <v>941.0</v>
      </c>
      <c r="L148" s="82" t="str">
        <f>IFERROR(__xludf.DUMMYFUNCTION("if(REGEXMATCH(E148, ""Write to Impress""), CONCATENATE(E148, K148), IF(REGEXMATCH(E148, ""Sharpen Your Sentences""), concatenate(E148, K148), concatenate(""Build Your Vocabulary"", K148)))"),"Build Your Vocabulary: Concept Map
Best Practices: Root Word Challenge
Write to Impress: Understand Word Changes941")</f>
        <v>Build Your Vocabulary: Concept Map
Best Practices: Root Word Challenge
Write to Impress: Understand Word Changes941</v>
      </c>
    </row>
    <row r="149" ht="84.0" customHeight="1">
      <c r="B149" s="92" t="s">
        <v>1080</v>
      </c>
      <c r="C149" s="90" t="s">
        <v>793</v>
      </c>
      <c r="D149" s="90" t="s">
        <v>794</v>
      </c>
      <c r="E149" s="93" t="s">
        <v>795</v>
      </c>
      <c r="I149" s="82" t="s">
        <v>1070</v>
      </c>
      <c r="J149" s="82"/>
      <c r="K149" s="82">
        <v>942.0</v>
      </c>
      <c r="L149" s="82" t="str">
        <f>IFERROR(__xludf.DUMMYFUNCTION("if(REGEXMATCH(E149, ""Write to Impress""), CONCATENATE(E149, K149), IF(REGEXMATCH(E149, ""Sharpen Your Sentences""), concatenate(E149, K149), concatenate(""Build Your Vocabulary"", K149)))"),"Build Your Vocabulary: Word Study
Best Practices: Vocabulary Role Playing
Write to Impress: Consult Reference Materials942")</f>
        <v>Build Your Vocabulary: Word Study
Best Practices: Vocabulary Role Playing
Write to Impress: Consult Reference Materials942</v>
      </c>
    </row>
    <row r="150" ht="69.75" customHeight="1">
      <c r="B150" s="92" t="s">
        <v>1081</v>
      </c>
      <c r="C150" s="90" t="s">
        <v>797</v>
      </c>
      <c r="D150" s="90"/>
      <c r="E150" s="93" t="s">
        <v>1082</v>
      </c>
      <c r="I150" s="82" t="s">
        <v>1045</v>
      </c>
      <c r="J150" s="82"/>
      <c r="K150" s="82">
        <v>943.0</v>
      </c>
      <c r="L150" s="82" t="str">
        <f>IFERROR(__xludf.DUMMYFUNCTION("if(REGEXMATCH(E150, ""Write to Impress""), CONCATENATE(E150, K150), IF(REGEXMATCH(E150, ""Sharpen Your Sentences""), concatenate(E150, K150), concatenate(""Build Your Vocabulary"", K150)))"),"Build Your Vocabulary: Concept Map
Best Practices: Root Word Challenge
Write to Impress: Verify a Definition943")</f>
        <v>Build Your Vocabulary: Concept Map
Best Practices: Root Word Challenge
Write to Impress: Verify a Definition943</v>
      </c>
    </row>
    <row r="151" ht="57.75" customHeight="1">
      <c r="B151" s="92" t="s">
        <v>1083</v>
      </c>
      <c r="C151" s="90" t="s">
        <v>1084</v>
      </c>
      <c r="D151" s="90"/>
      <c r="E151" s="93" t="s">
        <v>1085</v>
      </c>
      <c r="I151" s="82" t="s">
        <v>1086</v>
      </c>
      <c r="J151" s="82"/>
      <c r="K151" s="82">
        <v>944.0</v>
      </c>
      <c r="L151" s="82" t="str">
        <f>IFERROR(__xludf.DUMMYFUNCTION("if(REGEXMATCH(E151, ""Write to Impress""), CONCATENATE(E151, K151), IF(REGEXMATCH(E151, ""Sharpen Your Sentences""), concatenate(E151, K151), concatenate(""Build Your Vocabulary"", K151)))"),"Build Your Vocabulary944")</f>
        <v>Build Your Vocabulary944</v>
      </c>
    </row>
    <row r="152">
      <c r="A152" s="80"/>
      <c r="B152" s="80"/>
      <c r="C152" s="80" t="s">
        <v>743</v>
      </c>
      <c r="I152" s="80"/>
      <c r="J152" s="80"/>
      <c r="K152" s="80"/>
      <c r="L152" s="82" t="str">
        <f>IFERROR(__xludf.DUMMYFUNCTION("if(REGEXMATCH(E152, ""Write to Impress""), CONCATENATE(E152, K152), IF(REGEXMATCH(E152, ""Sharpen Your Sentences""), concatenate(E152, K152), concatenate(""Build Your Vocabulary"", K152)))"),"Build Your Vocabulary")</f>
        <v>Build Your Vocabulary</v>
      </c>
    </row>
    <row r="153">
      <c r="A153" s="83"/>
      <c r="B153" s="83"/>
      <c r="C153" s="83" t="s">
        <v>10</v>
      </c>
      <c r="D153" s="83" t="s">
        <v>715</v>
      </c>
      <c r="E153" s="83" t="s">
        <v>11</v>
      </c>
      <c r="F153" s="83" t="s">
        <v>716</v>
      </c>
      <c r="G153" s="83" t="s">
        <v>717</v>
      </c>
      <c r="H153" s="83" t="s">
        <v>718</v>
      </c>
      <c r="I153" s="83" t="s">
        <v>719</v>
      </c>
      <c r="J153" s="83"/>
      <c r="K153" s="83"/>
      <c r="L153" s="82" t="str">
        <f>IFERROR(__xludf.DUMMYFUNCTION("if(REGEXMATCH(E153, ""Write to Impress""), CONCATENATE(E153, K153), IF(REGEXMATCH(E153, ""Sharpen Your Sentences""), concatenate(E153, K153), concatenate(""Build Your Vocabulary"", K153)))"),"Build Your Vocabulary")</f>
        <v>Build Your Vocabulary</v>
      </c>
    </row>
    <row r="154" ht="65.25" customHeight="1">
      <c r="A154" s="84" t="s">
        <v>1087</v>
      </c>
      <c r="B154" s="92" t="s">
        <v>1088</v>
      </c>
      <c r="C154" s="96" t="s">
        <v>805</v>
      </c>
      <c r="D154" s="96" t="s">
        <v>1089</v>
      </c>
      <c r="E154" s="93" t="s">
        <v>913</v>
      </c>
      <c r="F154" s="87" t="s">
        <v>1090</v>
      </c>
      <c r="G154" s="82" t="s">
        <v>1091</v>
      </c>
      <c r="H154" s="82" t="s">
        <v>1092</v>
      </c>
      <c r="I154" s="82" t="s">
        <v>1049</v>
      </c>
      <c r="J154" s="82"/>
      <c r="K154" s="82">
        <v>951.0</v>
      </c>
      <c r="L154" s="82" t="str">
        <f>IFERROR(__xludf.DUMMYFUNCTION("if(REGEXMATCH(E154, ""Write to Impress""), CONCATENATE(E154, K154), IF(REGEXMATCH(E154, ""Sharpen Your Sentences""), concatenate(E154, K154), concatenate(""Build Your Vocabulary"", K154)))"),"Build Your Vocabulary: Map a Word
Best Practices: Contextual Reading
Write to Impress: Use Context Clues for Meaning951")</f>
        <v>Build Your Vocabulary: Map a Word
Best Practices: Contextual Reading
Write to Impress: Use Context Clues for Meaning951</v>
      </c>
    </row>
    <row r="155" ht="52.5" customHeight="1">
      <c r="B155" s="92" t="s">
        <v>1093</v>
      </c>
      <c r="C155" s="90" t="s">
        <v>1010</v>
      </c>
      <c r="D155" s="90"/>
      <c r="E155" s="93" t="s">
        <v>1094</v>
      </c>
      <c r="I155" s="82" t="s">
        <v>1095</v>
      </c>
      <c r="J155" s="82"/>
      <c r="K155" s="82">
        <v>952.0</v>
      </c>
      <c r="L155" s="82" t="str">
        <f>IFERROR(__xludf.DUMMYFUNCTION("if(REGEXMATCH(E155, ""Write to Impress""), CONCATENATE(E155, K155), IF(REGEXMATCH(E155, ""Sharpen Your Sentences""), concatenate(E155, K155), concatenate(""Build Your Vocabulary"", K155)))"),"Build Your Vocabulary952")</f>
        <v>Build Your Vocabulary952</v>
      </c>
    </row>
    <row r="156" ht="44.25" customHeight="1">
      <c r="B156" s="92" t="s">
        <v>1096</v>
      </c>
      <c r="C156" s="90" t="s">
        <v>816</v>
      </c>
      <c r="D156" s="90"/>
      <c r="E156" s="93" t="s">
        <v>817</v>
      </c>
      <c r="I156" s="82" t="s">
        <v>1097</v>
      </c>
      <c r="J156" s="82"/>
      <c r="K156" s="82">
        <v>953.0</v>
      </c>
      <c r="L156" s="82" t="str">
        <f>IFERROR(__xludf.DUMMYFUNCTION("if(REGEXMATCH(E156, ""Write to Impress""), CONCATENATE(E156, K156), IF(REGEXMATCH(E156, ""Sharpen Your Sentences""), concatenate(E156, K156), concatenate(""Build Your Vocabulary"", K156)))"),"Build Your Vocabulary953")</f>
        <v>Build Your Vocabulary953</v>
      </c>
    </row>
    <row r="157" ht="84.0" customHeight="1">
      <c r="B157" s="92" t="s">
        <v>1098</v>
      </c>
      <c r="C157" s="90" t="s">
        <v>923</v>
      </c>
      <c r="D157" s="90"/>
      <c r="E157" s="86" t="s">
        <v>924</v>
      </c>
      <c r="I157" s="82" t="s">
        <v>1099</v>
      </c>
      <c r="J157" s="82"/>
      <c r="K157" s="82">
        <v>954.0</v>
      </c>
      <c r="L157" s="82" t="str">
        <f>IFERROR(__xludf.DUMMYFUNCTION("if(REGEXMATCH(E157, ""Write to Impress""), CONCATENATE(E157, K157), IF(REGEXMATCH(E157, ""Sharpen Your Sentences""), concatenate(E157, K157), concatenate(""Build Your Vocabulary"", K157)))"),"Build Your Vocabulary954")</f>
        <v>Build Your Vocabulary954</v>
      </c>
    </row>
    <row r="158" ht="84.0" customHeight="1">
      <c r="A158" s="84"/>
      <c r="B158" s="92" t="s">
        <v>1100</v>
      </c>
      <c r="C158" s="90" t="s">
        <v>927</v>
      </c>
      <c r="D158" s="90"/>
      <c r="E158" s="86" t="s">
        <v>1018</v>
      </c>
      <c r="I158" s="82" t="s">
        <v>1101</v>
      </c>
      <c r="J158" s="82"/>
      <c r="K158" s="82"/>
      <c r="L158" s="82"/>
    </row>
    <row r="159" ht="84.0" customHeight="1">
      <c r="A159" s="84"/>
      <c r="B159" s="92" t="s">
        <v>1102</v>
      </c>
      <c r="C159" s="90" t="s">
        <v>1103</v>
      </c>
      <c r="D159" s="90"/>
      <c r="E159" s="86" t="s">
        <v>855</v>
      </c>
      <c r="I159" s="82" t="s">
        <v>1101</v>
      </c>
      <c r="J159" s="82"/>
      <c r="K159" s="82"/>
      <c r="L159" s="82"/>
    </row>
    <row r="160">
      <c r="A160" s="80"/>
      <c r="B160" s="80"/>
      <c r="C160" s="80" t="s">
        <v>743</v>
      </c>
      <c r="I160" s="80"/>
      <c r="J160" s="80"/>
      <c r="K160" s="80"/>
      <c r="L160" s="82" t="str">
        <f>IFERROR(__xludf.DUMMYFUNCTION("if(REGEXMATCH(E160, ""Write to Impress""), CONCATENATE(E160, K160), IF(REGEXMATCH(E160, ""Sharpen Your Sentences""), concatenate(E160, K160), concatenate(""Build Your Vocabulary"", K160)))"),"Build Your Vocabulary")</f>
        <v>Build Your Vocabulary</v>
      </c>
    </row>
    <row r="161">
      <c r="A161" s="83"/>
      <c r="B161" s="83"/>
      <c r="C161" s="83" t="s">
        <v>10</v>
      </c>
      <c r="D161" s="83" t="s">
        <v>715</v>
      </c>
      <c r="E161" s="83" t="s">
        <v>11</v>
      </c>
      <c r="F161" s="83" t="s">
        <v>716</v>
      </c>
      <c r="G161" s="83" t="s">
        <v>717</v>
      </c>
      <c r="H161" s="83" t="s">
        <v>718</v>
      </c>
      <c r="I161" s="83" t="s">
        <v>719</v>
      </c>
      <c r="J161" s="83"/>
      <c r="K161" s="83"/>
      <c r="L161" s="82" t="str">
        <f>IFERROR(__xludf.DUMMYFUNCTION("if(REGEXMATCH(E161, ""Write to Impress""), CONCATENATE(E161, K161), IF(REGEXMATCH(E161, ""Sharpen Your Sentences""), concatenate(E161, K161), concatenate(""Build Your Vocabulary"", K161)))"),"Build Your Vocabulary")</f>
        <v>Build Your Vocabulary</v>
      </c>
    </row>
    <row r="162" ht="52.5" customHeight="1">
      <c r="A162" s="84" t="s">
        <v>1104</v>
      </c>
      <c r="B162" s="92" t="s">
        <v>1105</v>
      </c>
      <c r="C162" s="96" t="s">
        <v>820</v>
      </c>
      <c r="D162" s="96"/>
      <c r="E162" s="93" t="s">
        <v>1022</v>
      </c>
      <c r="F162" s="87" t="s">
        <v>1106</v>
      </c>
      <c r="G162" s="88" t="s">
        <v>1107</v>
      </c>
      <c r="H162" s="88" t="s">
        <v>1108</v>
      </c>
      <c r="I162" s="82" t="s">
        <v>1109</v>
      </c>
      <c r="J162" s="82"/>
      <c r="K162" s="82">
        <v>961.0</v>
      </c>
      <c r="L162" s="82" t="str">
        <f>IFERROR(__xludf.DUMMYFUNCTION("if(REGEXMATCH(E162, ""Write to Impress""), CONCATENATE(E162, K162), IF(REGEXMATCH(E162, ""Sharpen Your Sentences""), concatenate(E162, K162), concatenate(""Build Your Vocabulary"", K162)))"),"Build Your Vocabulary961")</f>
        <v>Build Your Vocabulary961</v>
      </c>
    </row>
    <row r="163" ht="38.25" customHeight="1">
      <c r="B163" s="92" t="s">
        <v>1110</v>
      </c>
      <c r="C163" s="90" t="s">
        <v>828</v>
      </c>
      <c r="D163" s="90"/>
      <c r="E163" s="93" t="s">
        <v>829</v>
      </c>
      <c r="I163" s="82" t="s">
        <v>1111</v>
      </c>
      <c r="J163" s="82"/>
      <c r="K163" s="82">
        <v>962.0</v>
      </c>
      <c r="L163" s="82" t="str">
        <f>IFERROR(__xludf.DUMMYFUNCTION("if(REGEXMATCH(E163, ""Write to Impress""), CONCATENATE(E163, K163), IF(REGEXMATCH(E163, ""Sharpen Your Sentences""), concatenate(E163, K163), concatenate(""Build Your Vocabulary"", K163)))"),"Build Your Vocabulary962")</f>
        <v>Build Your Vocabulary962</v>
      </c>
    </row>
    <row r="164" ht="89.25" customHeight="1">
      <c r="B164" s="92" t="s">
        <v>1112</v>
      </c>
      <c r="C164" s="90" t="s">
        <v>832</v>
      </c>
      <c r="D164" s="90" t="s">
        <v>813</v>
      </c>
      <c r="E164" s="93" t="s">
        <v>1113</v>
      </c>
      <c r="I164" s="82" t="s">
        <v>1114</v>
      </c>
      <c r="J164" s="82"/>
      <c r="K164" s="82">
        <v>963.0</v>
      </c>
      <c r="L164" s="82" t="str">
        <f>IFERROR(__xludf.DUMMYFUNCTION("if(REGEXMATCH(E164, ""Write to Impress""), CONCATENATE(E164, K164), IF(REGEXMATCH(E164, ""Sharpen Your Sentences""), concatenate(E164, K164), concatenate(""Build Your Vocabulary"", K164)))"),"Build Your Vocabulary: Explore a Word
Best Practices: Vocabulary Bingo
Write to Impress: Understand Word Nuances963")</f>
        <v>Build Your Vocabulary: Explore a Word
Best Practices: Vocabulary Bingo
Write to Impress: Understand Word Nuances963</v>
      </c>
    </row>
    <row r="165" ht="93.75" customHeight="1">
      <c r="B165" s="92" t="s">
        <v>1115</v>
      </c>
      <c r="C165" s="90" t="s">
        <v>801</v>
      </c>
      <c r="D165" s="90"/>
      <c r="E165" s="93" t="s">
        <v>837</v>
      </c>
      <c r="I165" s="82" t="s">
        <v>1116</v>
      </c>
      <c r="J165" s="82"/>
      <c r="K165" s="82">
        <v>964.0</v>
      </c>
      <c r="L165" s="82" t="str">
        <f>IFERROR(__xludf.DUMMYFUNCTION("if(REGEXMATCH(E165, ""Write to Impress""), CONCATENATE(E165, K165), IF(REGEXMATCH(E165, ""Sharpen Your Sentences""), concatenate(E165, K165), concatenate(""Build Your Vocabulary"", K165)))"),"Build Your Vocabulary964")</f>
        <v>Build Your Vocabulary964</v>
      </c>
    </row>
    <row r="166">
      <c r="A166" s="80"/>
      <c r="B166" s="80"/>
      <c r="C166" s="80" t="s">
        <v>743</v>
      </c>
      <c r="I166" s="80"/>
      <c r="J166" s="80"/>
      <c r="K166" s="80"/>
      <c r="L166" s="82" t="str">
        <f>IFERROR(__xludf.DUMMYFUNCTION("if(REGEXMATCH(E166, ""Write to Impress""), CONCATENATE(E166, K166), IF(REGEXMATCH(E166, ""Sharpen Your Sentences""), concatenate(E166, K166), concatenate(""Build Your Vocabulary"", K166)))"),"Build Your Vocabulary")</f>
        <v>Build Your Vocabulary</v>
      </c>
    </row>
    <row r="167">
      <c r="A167" s="83"/>
      <c r="B167" s="83"/>
      <c r="C167" s="83" t="s">
        <v>10</v>
      </c>
      <c r="D167" s="83" t="s">
        <v>715</v>
      </c>
      <c r="E167" s="83" t="s">
        <v>11</v>
      </c>
      <c r="F167" s="83" t="s">
        <v>716</v>
      </c>
      <c r="G167" s="83" t="s">
        <v>717</v>
      </c>
      <c r="H167" s="83" t="s">
        <v>718</v>
      </c>
      <c r="I167" s="83" t="s">
        <v>719</v>
      </c>
      <c r="J167" s="83"/>
      <c r="K167" s="83"/>
      <c r="L167" s="82" t="str">
        <f>IFERROR(__xludf.DUMMYFUNCTION("if(REGEXMATCH(E167, ""Write to Impress""), CONCATENATE(E167, K167), IF(REGEXMATCH(E167, ""Sharpen Your Sentences""), concatenate(E167, K167), concatenate(""Build Your Vocabulary"", K167)))"),"Build Your Vocabulary")</f>
        <v>Build Your Vocabulary</v>
      </c>
    </row>
    <row r="168">
      <c r="A168" s="84" t="s">
        <v>1117</v>
      </c>
      <c r="B168" s="92" t="s">
        <v>1118</v>
      </c>
      <c r="C168" s="96" t="s">
        <v>840</v>
      </c>
      <c r="D168" s="96"/>
      <c r="E168" s="93" t="s">
        <v>841</v>
      </c>
      <c r="F168" s="87" t="s">
        <v>1119</v>
      </c>
      <c r="G168" s="82" t="s">
        <v>1120</v>
      </c>
      <c r="H168" s="82" t="s">
        <v>1121</v>
      </c>
      <c r="I168" s="82" t="s">
        <v>1070</v>
      </c>
      <c r="J168" s="82"/>
      <c r="K168" s="82">
        <v>971.0</v>
      </c>
      <c r="L168" s="82" t="str">
        <f>IFERROR(__xludf.DUMMYFUNCTION("if(REGEXMATCH(E168, ""Write to Impress""), CONCATENATE(E168, K168), IF(REGEXMATCH(E168, ""Sharpen Your Sentences""), concatenate(E168, K168), concatenate(""Build Your Vocabulary"", K168)))"),"Build Your Vocabulary971")</f>
        <v>Build Your Vocabulary971</v>
      </c>
    </row>
    <row r="169" ht="68.25" customHeight="1">
      <c r="B169" s="92" t="s">
        <v>1122</v>
      </c>
      <c r="C169" s="96" t="s">
        <v>846</v>
      </c>
      <c r="D169" s="96" t="s">
        <v>851</v>
      </c>
      <c r="E169" s="93" t="s">
        <v>1123</v>
      </c>
      <c r="I169" s="82" t="s">
        <v>1049</v>
      </c>
      <c r="J169" s="82"/>
      <c r="K169" s="82">
        <v>972.0</v>
      </c>
      <c r="L169" s="82" t="str">
        <f>IFERROR(__xludf.DUMMYFUNCTION("if(REGEXMATCH(E169, ""Write to Impress""), CONCATENATE(E169, K169), IF(REGEXMATCH(E169, ""Sharpen Your Sentences""), concatenate(E169, K169), concatenate(""Build Your Vocabulary"", K169)))"),"Build Your Vocabulary: Map a Word
Best Practices: Vocabulary Timeline
Write to Impress: Build Academic Vocabulary972")</f>
        <v>Build Your Vocabulary: Map a Word
Best Practices: Vocabulary Timeline
Write to Impress: Build Academic Vocabulary972</v>
      </c>
    </row>
    <row r="170">
      <c r="B170" s="92" t="s">
        <v>1124</v>
      </c>
      <c r="C170" s="96" t="s">
        <v>1125</v>
      </c>
      <c r="D170" s="90"/>
      <c r="E170" s="93" t="s">
        <v>1126</v>
      </c>
      <c r="I170" s="82" t="s">
        <v>1047</v>
      </c>
      <c r="J170" s="82"/>
      <c r="K170" s="82">
        <v>973.0</v>
      </c>
      <c r="L170" s="82" t="str">
        <f>IFERROR(__xludf.DUMMYFUNCTION("if(REGEXMATCH(E170, ""Write to Impress""), CONCATENATE(E170, K170), IF(REGEXMATCH(E170, ""Sharpen Your Sentences""), concatenate(E170, K170), concatenate(""Build Your Vocabulary"", K170)))"),"Build Your Vocabulary973")</f>
        <v>Build Your Vocabulary973</v>
      </c>
    </row>
    <row r="171" ht="52.5" customHeight="1">
      <c r="B171" s="92" t="s">
        <v>1127</v>
      </c>
      <c r="C171" s="90" t="s">
        <v>801</v>
      </c>
      <c r="D171" s="90"/>
      <c r="E171" s="93" t="s">
        <v>1128</v>
      </c>
      <c r="I171" s="82" t="s">
        <v>1051</v>
      </c>
      <c r="J171" s="82"/>
      <c r="K171" s="82">
        <v>974.0</v>
      </c>
      <c r="L171" s="82" t="str">
        <f>IFERROR(__xludf.DUMMYFUNCTION("if(REGEXMATCH(E171, ""Write to Impress""), CONCATENATE(E171, K171), IF(REGEXMATCH(E171, ""Sharpen Your Sentences""), concatenate(E171, K171), concatenate(""Build Your Vocabulary"", K171)))"),"Build Your Vocabulary974")</f>
        <v>Build Your Vocabulary974</v>
      </c>
    </row>
    <row r="172">
      <c r="A172" s="80"/>
      <c r="B172" s="80"/>
      <c r="C172" s="80" t="s">
        <v>743</v>
      </c>
      <c r="I172" s="80"/>
      <c r="J172" s="80"/>
      <c r="K172" s="80"/>
      <c r="L172" s="82" t="str">
        <f>IFERROR(__xludf.DUMMYFUNCTION("if(REGEXMATCH(E172, ""Write to Impress""), CONCATENATE(E172, K172), IF(REGEXMATCH(E172, ""Sharpen Your Sentences""), concatenate(E172, K172), concatenate(""Build Your Vocabulary"", K172)))"),"Build Your Vocabulary")</f>
        <v>Build Your Vocabulary</v>
      </c>
    </row>
    <row r="173">
      <c r="A173" s="83"/>
      <c r="B173" s="83"/>
      <c r="C173" s="83" t="s">
        <v>10</v>
      </c>
      <c r="D173" s="83" t="s">
        <v>715</v>
      </c>
      <c r="E173" s="83" t="s">
        <v>11</v>
      </c>
      <c r="F173" s="83" t="s">
        <v>716</v>
      </c>
      <c r="G173" s="83" t="s">
        <v>717</v>
      </c>
      <c r="H173" s="83" t="s">
        <v>718</v>
      </c>
      <c r="I173" s="83" t="s">
        <v>719</v>
      </c>
      <c r="J173" s="83"/>
      <c r="K173" s="83"/>
      <c r="L173" s="82" t="str">
        <f>IFERROR(__xludf.DUMMYFUNCTION("if(REGEXMATCH(E173, ""Write to Impress""), CONCATENATE(E173, K173), IF(REGEXMATCH(E173, ""Sharpen Your Sentences""), concatenate(E173, K173), concatenate(""Build Your Vocabulary"", K173)))"),"Build Your Vocabulary")</f>
        <v>Build Your Vocabulary</v>
      </c>
    </row>
    <row r="174" ht="54.0" customHeight="1">
      <c r="A174" s="84" t="s">
        <v>1129</v>
      </c>
      <c r="B174" s="92" t="s">
        <v>1130</v>
      </c>
      <c r="C174" s="96" t="s">
        <v>729</v>
      </c>
      <c r="D174" s="96"/>
      <c r="E174" s="86" t="s">
        <v>730</v>
      </c>
      <c r="F174" s="87" t="s">
        <v>1131</v>
      </c>
      <c r="G174" s="99" t="s">
        <v>1132</v>
      </c>
      <c r="H174" s="99" t="s">
        <v>1133</v>
      </c>
      <c r="I174" s="88" t="s">
        <v>1045</v>
      </c>
      <c r="J174" s="82"/>
      <c r="K174" s="82">
        <v>1011.0</v>
      </c>
      <c r="L174" s="82" t="str">
        <f>IFERROR(__xludf.DUMMYFUNCTION("if(REGEXMATCH(E174, ""Write to Impress""), CONCATENATE(E174, K174), IF(REGEXMATCH(E174, ""Sharpen Your Sentences""), concatenate(E174, K174), concatenate(""Build Your Vocabulary"", K174)))"),"Build Your Vocabulary1011")</f>
        <v>Build Your Vocabulary1011</v>
      </c>
    </row>
    <row r="175" ht="47.25" customHeight="1">
      <c r="B175" s="92" t="s">
        <v>1134</v>
      </c>
      <c r="C175" s="90" t="s">
        <v>733</v>
      </c>
      <c r="D175" s="90" t="s">
        <v>1135</v>
      </c>
      <c r="E175" s="86" t="s">
        <v>734</v>
      </c>
      <c r="I175" s="88" t="s">
        <v>1047</v>
      </c>
      <c r="J175" s="82"/>
      <c r="K175" s="82">
        <v>1012.0</v>
      </c>
      <c r="L175" s="82" t="str">
        <f>IFERROR(__xludf.DUMMYFUNCTION("if(REGEXMATCH(E175, ""Write to Impress""), CONCATENATE(E175, K175), IF(REGEXMATCH(E175, ""Sharpen Your Sentences""), concatenate(E175, K175), concatenate(""Build Your Vocabulary"", K175)))"),"Build Your Vocabulary1012")</f>
        <v>Build Your Vocabulary1012</v>
      </c>
    </row>
    <row r="176" ht="48.0" customHeight="1">
      <c r="B176" s="92" t="s">
        <v>1136</v>
      </c>
      <c r="C176" s="90" t="s">
        <v>867</v>
      </c>
      <c r="D176" s="90"/>
      <c r="E176" s="86" t="s">
        <v>738</v>
      </c>
      <c r="I176" s="88" t="s">
        <v>1049</v>
      </c>
      <c r="J176" s="82"/>
      <c r="K176" s="82">
        <v>1013.0</v>
      </c>
      <c r="L176" s="82" t="str">
        <f>IFERROR(__xludf.DUMMYFUNCTION("if(REGEXMATCH(E176, ""Write to Impress""), CONCATENATE(E176, K176), IF(REGEXMATCH(E176, ""Sharpen Your Sentences""), concatenate(E176, K176), concatenate(""Build Your Vocabulary"", K176)))"),"Build Your Vocabulary1013")</f>
        <v>Build Your Vocabulary1013</v>
      </c>
    </row>
    <row r="177" ht="52.5" customHeight="1">
      <c r="B177" s="92" t="s">
        <v>1137</v>
      </c>
      <c r="C177" s="90" t="s">
        <v>801</v>
      </c>
      <c r="D177" s="90"/>
      <c r="E177" s="86" t="s">
        <v>742</v>
      </c>
      <c r="I177" s="88" t="s">
        <v>1051</v>
      </c>
      <c r="J177" s="82"/>
      <c r="K177" s="82">
        <v>1014.0</v>
      </c>
      <c r="L177" s="82" t="str">
        <f>IFERROR(__xludf.DUMMYFUNCTION("if(REGEXMATCH(E177, ""Write to Impress""), CONCATENATE(E177, K177), IF(REGEXMATCH(E177, ""Sharpen Your Sentences""), concatenate(E177, K177), concatenate(""Build Your Vocabulary"", K177)))"),"Build Your Vocabulary1014")</f>
        <v>Build Your Vocabulary1014</v>
      </c>
    </row>
    <row r="178">
      <c r="A178" s="80"/>
      <c r="B178" s="80"/>
      <c r="C178" s="80" t="s">
        <v>743</v>
      </c>
      <c r="I178" s="80"/>
      <c r="J178" s="80"/>
      <c r="K178" s="80"/>
      <c r="L178" s="82" t="str">
        <f>IFERROR(__xludf.DUMMYFUNCTION("if(REGEXMATCH(E178, ""Write to Impress""), CONCATENATE(E178, K178), IF(REGEXMATCH(E178, ""Sharpen Your Sentences""), concatenate(E178, K178), concatenate(""Build Your Vocabulary"", K178)))"),"Build Your Vocabulary")</f>
        <v>Build Your Vocabulary</v>
      </c>
    </row>
    <row r="179">
      <c r="A179" s="83"/>
      <c r="B179" s="83"/>
      <c r="C179" s="83" t="s">
        <v>10</v>
      </c>
      <c r="D179" s="83" t="s">
        <v>715</v>
      </c>
      <c r="E179" s="83" t="s">
        <v>11</v>
      </c>
      <c r="F179" s="83" t="s">
        <v>716</v>
      </c>
      <c r="G179" s="83" t="s">
        <v>717</v>
      </c>
      <c r="H179" s="83" t="s">
        <v>718</v>
      </c>
      <c r="I179" s="83" t="s">
        <v>719</v>
      </c>
      <c r="J179" s="83"/>
      <c r="K179" s="83"/>
      <c r="L179" s="82" t="str">
        <f>IFERROR(__xludf.DUMMYFUNCTION("if(REGEXMATCH(E179, ""Write to Impress""), CONCATENATE(E179, K179), IF(REGEXMATCH(E179, ""Sharpen Your Sentences""), concatenate(E179, K179), concatenate(""Build Your Vocabulary"", K179)))"),"Build Your Vocabulary")</f>
        <v>Build Your Vocabulary</v>
      </c>
    </row>
    <row r="180" ht="53.25" customHeight="1">
      <c r="A180" s="84" t="s">
        <v>1138</v>
      </c>
      <c r="B180" s="92" t="s">
        <v>1139</v>
      </c>
      <c r="C180" s="91" t="s">
        <v>746</v>
      </c>
      <c r="D180" s="91"/>
      <c r="E180" s="93" t="s">
        <v>747</v>
      </c>
      <c r="F180" s="87" t="s">
        <v>1140</v>
      </c>
      <c r="G180" s="82" t="s">
        <v>1141</v>
      </c>
      <c r="H180" s="82" t="s">
        <v>1142</v>
      </c>
      <c r="I180" s="82" t="s">
        <v>1143</v>
      </c>
      <c r="J180" s="82"/>
      <c r="K180" s="82">
        <v>1021.0</v>
      </c>
      <c r="L180" s="82" t="str">
        <f>IFERROR(__xludf.DUMMYFUNCTION("if(REGEXMATCH(E180, ""Write to Impress""), CONCATENATE(E180, K180), IF(REGEXMATCH(E180, ""Sharpen Your Sentences""), concatenate(E180, K180), concatenate(""Build Your Vocabulary"", K180)))"),"Build Your Vocabulary1021")</f>
        <v>Build Your Vocabulary1021</v>
      </c>
    </row>
    <row r="181" ht="36.0" customHeight="1">
      <c r="B181" s="92" t="s">
        <v>1144</v>
      </c>
      <c r="C181" s="90" t="s">
        <v>1058</v>
      </c>
      <c r="D181" s="90"/>
      <c r="E181" s="93" t="s">
        <v>754</v>
      </c>
      <c r="I181" s="82" t="s">
        <v>1059</v>
      </c>
      <c r="J181" s="82"/>
      <c r="K181" s="82">
        <v>1022.0</v>
      </c>
      <c r="L181" s="82" t="str">
        <f>IFERROR(__xludf.DUMMYFUNCTION("if(REGEXMATCH(E181, ""Write to Impress""), CONCATENATE(E181, K181), IF(REGEXMATCH(E181, ""Sharpen Your Sentences""), concatenate(E181, K181), concatenate(""Build Your Vocabulary"", K181)))"),"Build Your Vocabulary1022")</f>
        <v>Build Your Vocabulary1022</v>
      </c>
    </row>
    <row r="182" ht="53.25" customHeight="1">
      <c r="B182" s="92" t="s">
        <v>1145</v>
      </c>
      <c r="C182" s="90" t="s">
        <v>757</v>
      </c>
      <c r="D182" s="90"/>
      <c r="E182" s="93" t="s">
        <v>758</v>
      </c>
      <c r="I182" s="82" t="s">
        <v>1049</v>
      </c>
      <c r="J182" s="82"/>
      <c r="K182" s="82">
        <v>1023.0</v>
      </c>
      <c r="L182" s="82" t="str">
        <f>IFERROR(__xludf.DUMMYFUNCTION("if(REGEXMATCH(E182, ""Write to Impress""), CONCATENATE(E182, K182), IF(REGEXMATCH(E182, ""Sharpen Your Sentences""), concatenate(E182, K182), concatenate(""Build Your Vocabulary"", K182)))"),"Build Your Vocabulary1023")</f>
        <v>Build Your Vocabulary1023</v>
      </c>
    </row>
    <row r="183" ht="42.0" customHeight="1">
      <c r="B183" s="92" t="s">
        <v>1146</v>
      </c>
      <c r="C183" s="90" t="s">
        <v>882</v>
      </c>
      <c r="D183" s="90"/>
      <c r="E183" s="93" t="s">
        <v>762</v>
      </c>
      <c r="I183" s="82" t="s">
        <v>1062</v>
      </c>
      <c r="J183" s="82"/>
      <c r="K183" s="82">
        <v>1024.0</v>
      </c>
      <c r="L183" s="82" t="str">
        <f>IFERROR(__xludf.DUMMYFUNCTION("if(REGEXMATCH(E183, ""Write to Impress""), CONCATENATE(E183, K183), IF(REGEXMATCH(E183, ""Sharpen Your Sentences""), concatenate(E183, K183), concatenate(""Build Your Vocabulary"", K183)))"),"Build Your Vocabulary1024")</f>
        <v>Build Your Vocabulary1024</v>
      </c>
    </row>
    <row r="184">
      <c r="A184" s="80"/>
      <c r="B184" s="80"/>
      <c r="C184" s="80" t="s">
        <v>743</v>
      </c>
      <c r="I184" s="80"/>
      <c r="J184" s="80"/>
      <c r="K184" s="80"/>
      <c r="L184" s="82" t="str">
        <f>IFERROR(__xludf.DUMMYFUNCTION("if(REGEXMATCH(E184, ""Write to Impress""), CONCATENATE(E184, K184), IF(REGEXMATCH(E184, ""Sharpen Your Sentences""), concatenate(E184, K184), concatenate(""Build Your Vocabulary"", K184)))"),"Build Your Vocabulary")</f>
        <v>Build Your Vocabulary</v>
      </c>
    </row>
    <row r="185">
      <c r="A185" s="83"/>
      <c r="B185" s="83"/>
      <c r="C185" s="83" t="s">
        <v>10</v>
      </c>
      <c r="D185" s="83" t="s">
        <v>715</v>
      </c>
      <c r="E185" s="83" t="s">
        <v>11</v>
      </c>
      <c r="F185" s="83" t="s">
        <v>716</v>
      </c>
      <c r="G185" s="83" t="s">
        <v>717</v>
      </c>
      <c r="H185" s="83" t="s">
        <v>718</v>
      </c>
      <c r="I185" s="83" t="s">
        <v>719</v>
      </c>
      <c r="J185" s="83"/>
      <c r="K185" s="83"/>
      <c r="L185" s="82" t="str">
        <f>IFERROR(__xludf.DUMMYFUNCTION("if(REGEXMATCH(E185, ""Write to Impress""), CONCATENATE(E185, K185), IF(REGEXMATCH(E185, ""Sharpen Your Sentences""), concatenate(E185, K185), concatenate(""Build Your Vocabulary"", K185)))"),"Build Your Vocabulary")</f>
        <v>Build Your Vocabulary</v>
      </c>
    </row>
    <row r="186" ht="48.0" customHeight="1">
      <c r="A186" s="84" t="s">
        <v>1147</v>
      </c>
      <c r="B186" s="92" t="s">
        <v>1148</v>
      </c>
      <c r="C186" s="96" t="s">
        <v>886</v>
      </c>
      <c r="D186" s="96"/>
      <c r="E186" s="93" t="s">
        <v>767</v>
      </c>
      <c r="F186" s="87" t="s">
        <v>1149</v>
      </c>
      <c r="G186" s="99" t="s">
        <v>1150</v>
      </c>
      <c r="H186" s="99" t="s">
        <v>1151</v>
      </c>
      <c r="I186" s="82" t="s">
        <v>1049</v>
      </c>
      <c r="J186" s="82"/>
      <c r="K186" s="82">
        <v>1031.0</v>
      </c>
      <c r="L186" s="82" t="str">
        <f>IFERROR(__xludf.DUMMYFUNCTION("if(REGEXMATCH(E186, ""Write to Impress""), CONCATENATE(E186, K186), IF(REGEXMATCH(E186, ""Sharpen Your Sentences""), concatenate(E186, K186), concatenate(""Build Your Vocabulary"", K186)))"),"Build Your Vocabulary1031")</f>
        <v>Build Your Vocabulary1031</v>
      </c>
    </row>
    <row r="187" ht="48.0" customHeight="1">
      <c r="B187" s="92" t="s">
        <v>1152</v>
      </c>
      <c r="C187" s="90" t="s">
        <v>985</v>
      </c>
      <c r="D187" s="90"/>
      <c r="E187" s="93" t="s">
        <v>847</v>
      </c>
      <c r="I187" s="82" t="s">
        <v>1070</v>
      </c>
      <c r="J187" s="82"/>
      <c r="K187" s="82">
        <v>1032.0</v>
      </c>
      <c r="L187" s="82" t="str">
        <f>IFERROR(__xludf.DUMMYFUNCTION("if(REGEXMATCH(E187, ""Write to Impress""), CONCATENATE(E187, K187), IF(REGEXMATCH(E187, ""Sharpen Your Sentences""), concatenate(E187, K187), concatenate(""Build Your Vocabulary"", K187)))"),"Build Your Vocabulary1032")</f>
        <v>Build Your Vocabulary1032</v>
      </c>
    </row>
    <row r="188" ht="48.0" customHeight="1">
      <c r="B188" s="92" t="s">
        <v>1153</v>
      </c>
      <c r="C188" s="90" t="s">
        <v>987</v>
      </c>
      <c r="D188" s="90"/>
      <c r="E188" s="93" t="s">
        <v>777</v>
      </c>
      <c r="I188" s="82" t="s">
        <v>1059</v>
      </c>
      <c r="J188" s="82"/>
      <c r="K188" s="82">
        <v>1033.0</v>
      </c>
      <c r="L188" s="82" t="str">
        <f>IFERROR(__xludf.DUMMYFUNCTION("if(REGEXMATCH(E188, ""Write to Impress""), CONCATENATE(E188, K188), IF(REGEXMATCH(E188, ""Sharpen Your Sentences""), concatenate(E188, K188), concatenate(""Build Your Vocabulary"", K188)))"),"Build Your Vocabulary1033")</f>
        <v>Build Your Vocabulary1033</v>
      </c>
    </row>
    <row r="189" ht="78.75" customHeight="1">
      <c r="B189" s="92" t="s">
        <v>1154</v>
      </c>
      <c r="C189" s="90" t="s">
        <v>801</v>
      </c>
      <c r="D189" s="90"/>
      <c r="E189" s="93" t="s">
        <v>1155</v>
      </c>
      <c r="I189" s="82" t="s">
        <v>1051</v>
      </c>
      <c r="J189" s="82"/>
      <c r="K189" s="82">
        <v>1034.0</v>
      </c>
      <c r="L189" s="82" t="str">
        <f>IFERROR(__xludf.DUMMYFUNCTION("if(REGEXMATCH(E189, ""Write to Impress""), CONCATENATE(E189, K189), IF(REGEXMATCH(E189, ""Sharpen Your Sentences""), concatenate(E189, K189), concatenate(""Build Your Vocabulary"", K189)))"),"Build Your Vocabulary: Word Analysis
Best Practices: Visual Vocabulary
Write to Impress: Interpret Figurative Language1034")</f>
        <v>Build Your Vocabulary: Word Analysis
Best Practices: Visual Vocabulary
Write to Impress: Interpret Figurative Language1034</v>
      </c>
    </row>
    <row r="190">
      <c r="A190" s="80"/>
      <c r="B190" s="80"/>
      <c r="C190" s="80" t="s">
        <v>743</v>
      </c>
      <c r="I190" s="80"/>
      <c r="J190" s="80"/>
      <c r="K190" s="80"/>
      <c r="L190" s="82" t="str">
        <f>IFERROR(__xludf.DUMMYFUNCTION("if(REGEXMATCH(E190, ""Write to Impress""), CONCATENATE(E190, K190), IF(REGEXMATCH(E190, ""Sharpen Your Sentences""), concatenate(E190, K190), concatenate(""Build Your Vocabulary"", K190)))"),"Build Your Vocabulary")</f>
        <v>Build Your Vocabulary</v>
      </c>
    </row>
    <row r="191">
      <c r="A191" s="83"/>
      <c r="B191" s="83"/>
      <c r="C191" s="83" t="s">
        <v>10</v>
      </c>
      <c r="D191" s="83" t="s">
        <v>715</v>
      </c>
      <c r="E191" s="83" t="s">
        <v>11</v>
      </c>
      <c r="F191" s="83" t="s">
        <v>716</v>
      </c>
      <c r="G191" s="83" t="s">
        <v>717</v>
      </c>
      <c r="H191" s="83" t="s">
        <v>718</v>
      </c>
      <c r="I191" s="83" t="s">
        <v>719</v>
      </c>
      <c r="J191" s="83"/>
      <c r="K191" s="83"/>
      <c r="L191" s="82" t="str">
        <f>IFERROR(__xludf.DUMMYFUNCTION("if(REGEXMATCH(E191, ""Write to Impress""), CONCATENATE(E191, K191), IF(REGEXMATCH(E191, ""Sharpen Your Sentences""), concatenate(E191, K191), concatenate(""Build Your Vocabulary"", K191)))"),"Build Your Vocabulary")</f>
        <v>Build Your Vocabulary</v>
      </c>
    </row>
    <row r="192" ht="74.25" customHeight="1">
      <c r="A192" s="84" t="s">
        <v>1156</v>
      </c>
      <c r="B192" s="92" t="s">
        <v>1157</v>
      </c>
      <c r="C192" s="96" t="s">
        <v>785</v>
      </c>
      <c r="D192" s="96" t="s">
        <v>902</v>
      </c>
      <c r="E192" s="93" t="s">
        <v>1076</v>
      </c>
      <c r="F192" s="87" t="s">
        <v>1158</v>
      </c>
      <c r="G192" s="82" t="s">
        <v>1159</v>
      </c>
      <c r="H192" s="82" t="s">
        <v>1160</v>
      </c>
      <c r="I192" s="82" t="s">
        <v>1049</v>
      </c>
      <c r="J192" s="82"/>
      <c r="K192" s="82">
        <v>1041.0</v>
      </c>
      <c r="L192" s="82" t="str">
        <f>IFERROR(__xludf.DUMMYFUNCTION("if(REGEXMATCH(E192, ""Write to Impress""), CONCATENATE(E192, K192), IF(REGEXMATCH(E192, ""Sharpen Your Sentences""), concatenate(E192, K192), concatenate(""Build Your Vocabulary"", K192)))"),"Build Your Vocabulary: Concept Map
Best Practices: Root Word Challenge
Write to Impress: Understand Word Changes1041")</f>
        <v>Build Your Vocabulary: Concept Map
Best Practices: Root Word Challenge
Write to Impress: Understand Word Changes1041</v>
      </c>
    </row>
    <row r="193" ht="81.0" customHeight="1">
      <c r="B193" s="92" t="s">
        <v>1161</v>
      </c>
      <c r="C193" s="90" t="s">
        <v>793</v>
      </c>
      <c r="D193" s="90" t="s">
        <v>794</v>
      </c>
      <c r="E193" s="93" t="s">
        <v>795</v>
      </c>
      <c r="I193" s="82" t="s">
        <v>1070</v>
      </c>
      <c r="J193" s="82"/>
      <c r="K193" s="82">
        <v>1042.0</v>
      </c>
      <c r="L193" s="82" t="str">
        <f>IFERROR(__xludf.DUMMYFUNCTION("if(REGEXMATCH(E193, ""Write to Impress""), CONCATENATE(E193, K193), IF(REGEXMATCH(E193, ""Sharpen Your Sentences""), concatenate(E193, K193), concatenate(""Build Your Vocabulary"", K193)))"),"Build Your Vocabulary: Word Study
Best Practices: Vocabulary Role Playing
Write to Impress: Consult Reference Materials1042")</f>
        <v>Build Your Vocabulary: Word Study
Best Practices: Vocabulary Role Playing
Write to Impress: Consult Reference Materials1042</v>
      </c>
    </row>
    <row r="194" ht="64.5" customHeight="1">
      <c r="B194" s="92" t="s">
        <v>1162</v>
      </c>
      <c r="C194" s="90" t="s">
        <v>797</v>
      </c>
      <c r="D194" s="90"/>
      <c r="E194" s="93" t="s">
        <v>798</v>
      </c>
      <c r="I194" s="82" t="s">
        <v>1045</v>
      </c>
      <c r="J194" s="82"/>
      <c r="K194" s="82">
        <v>1043.0</v>
      </c>
      <c r="L194" s="82" t="str">
        <f>IFERROR(__xludf.DUMMYFUNCTION("if(REGEXMATCH(E194, ""Write to Impress""), CONCATENATE(E194, K194), IF(REGEXMATCH(E194, ""Sharpen Your Sentences""), concatenate(E194, K194), concatenate(""Build Your Vocabulary"", K194)))"),"Build Your Vocabulary: Concept Map
Best Practices: Dig Into Root Words
Write to Impress: Verify a Definition1043")</f>
        <v>Build Your Vocabulary: Concept Map
Best Practices: Dig Into Root Words
Write to Impress: Verify a Definition1043</v>
      </c>
    </row>
    <row r="195" ht="60.75" customHeight="1">
      <c r="B195" s="92" t="s">
        <v>1163</v>
      </c>
      <c r="C195" s="90" t="s">
        <v>801</v>
      </c>
      <c r="D195" s="90"/>
      <c r="E195" s="93" t="s">
        <v>802</v>
      </c>
      <c r="I195" s="82" t="s">
        <v>1086</v>
      </c>
      <c r="J195" s="82"/>
      <c r="K195" s="82">
        <v>1044.0</v>
      </c>
      <c r="L195" s="82" t="str">
        <f>IFERROR(__xludf.DUMMYFUNCTION("if(REGEXMATCH(E195, ""Write to Impress""), CONCATENATE(E195, K195), IF(REGEXMATCH(E195, ""Sharpen Your Sentences""), concatenate(E195, K195), concatenate(""Build Your Vocabulary"", K195)))"),"Build Your Vocabulary1044")</f>
        <v>Build Your Vocabulary1044</v>
      </c>
    </row>
    <row r="196">
      <c r="A196" s="80"/>
      <c r="B196" s="80"/>
      <c r="C196" s="80" t="s">
        <v>743</v>
      </c>
      <c r="I196" s="80"/>
      <c r="J196" s="80"/>
      <c r="K196" s="80"/>
      <c r="L196" s="82" t="str">
        <f>IFERROR(__xludf.DUMMYFUNCTION("if(REGEXMATCH(E196, ""Write to Impress""), CONCATENATE(E196, K196), IF(REGEXMATCH(E196, ""Sharpen Your Sentences""), concatenate(E196, K196), concatenate(""Build Your Vocabulary"", K196)))"),"Build Your Vocabulary")</f>
        <v>Build Your Vocabulary</v>
      </c>
    </row>
    <row r="197">
      <c r="A197" s="83"/>
      <c r="B197" s="83"/>
      <c r="C197" s="83" t="s">
        <v>10</v>
      </c>
      <c r="D197" s="83" t="s">
        <v>715</v>
      </c>
      <c r="E197" s="83" t="s">
        <v>11</v>
      </c>
      <c r="F197" s="83" t="s">
        <v>716</v>
      </c>
      <c r="G197" s="83" t="s">
        <v>717</v>
      </c>
      <c r="H197" s="83" t="s">
        <v>718</v>
      </c>
      <c r="I197" s="83" t="s">
        <v>719</v>
      </c>
      <c r="J197" s="83"/>
      <c r="K197" s="83"/>
      <c r="L197" s="82" t="str">
        <f>IFERROR(__xludf.DUMMYFUNCTION("if(REGEXMATCH(E197, ""Write to Impress""), CONCATENATE(E197, K197), IF(REGEXMATCH(E197, ""Sharpen Your Sentences""), concatenate(E197, K197), concatenate(""Build Your Vocabulary"", K197)))"),"Build Your Vocabulary")</f>
        <v>Build Your Vocabulary</v>
      </c>
    </row>
    <row r="198" ht="69.0" customHeight="1">
      <c r="A198" s="84" t="s">
        <v>1164</v>
      </c>
      <c r="B198" s="92" t="s">
        <v>1165</v>
      </c>
      <c r="C198" s="96" t="s">
        <v>805</v>
      </c>
      <c r="D198" s="96" t="s">
        <v>821</v>
      </c>
      <c r="E198" s="93" t="s">
        <v>913</v>
      </c>
      <c r="F198" s="87" t="s">
        <v>1166</v>
      </c>
      <c r="G198" s="82" t="s">
        <v>1167</v>
      </c>
      <c r="H198" s="82" t="s">
        <v>1168</v>
      </c>
      <c r="I198" s="82" t="s">
        <v>1049</v>
      </c>
      <c r="J198" s="82"/>
      <c r="K198" s="82">
        <v>1051.0</v>
      </c>
      <c r="L198" s="82" t="str">
        <f>IFERROR(__xludf.DUMMYFUNCTION("if(REGEXMATCH(E198, ""Write to Impress""), CONCATENATE(E198, K198), IF(REGEXMATCH(E198, ""Sharpen Your Sentences""), concatenate(E198, K198), concatenate(""Build Your Vocabulary"", K198)))"),"Build Your Vocabulary: Map a Word
Best Practices: Contextual Reading
Write to Impress: Use Context Clues for Meaning1051")</f>
        <v>Build Your Vocabulary: Map a Word
Best Practices: Contextual Reading
Write to Impress: Use Context Clues for Meaning1051</v>
      </c>
    </row>
    <row r="199" ht="78.75" customHeight="1">
      <c r="B199" s="92" t="s">
        <v>1169</v>
      </c>
      <c r="C199" s="90" t="s">
        <v>1010</v>
      </c>
      <c r="D199" s="90"/>
      <c r="E199" s="93" t="s">
        <v>1170</v>
      </c>
      <c r="I199" s="82" t="s">
        <v>1095</v>
      </c>
      <c r="J199" s="82"/>
      <c r="K199" s="82">
        <v>1052.0</v>
      </c>
      <c r="L199" s="82" t="str">
        <f>IFERROR(__xludf.DUMMYFUNCTION("if(REGEXMATCH(E199, ""Write to Impress""), CONCATENATE(E199, K199), IF(REGEXMATCH(E199, ""Sharpen Your Sentences""), concatenate(E199, K199), concatenate(""Build Your Vocabulary"", K199)))"),"Build Your Vocabulary1052")</f>
        <v>Build Your Vocabulary1052</v>
      </c>
    </row>
    <row r="200" ht="51.75" customHeight="1">
      <c r="B200" s="92" t="s">
        <v>1171</v>
      </c>
      <c r="C200" s="90" t="s">
        <v>816</v>
      </c>
      <c r="D200" s="90"/>
      <c r="E200" s="93" t="s">
        <v>817</v>
      </c>
      <c r="I200" s="82" t="s">
        <v>1172</v>
      </c>
      <c r="J200" s="82"/>
      <c r="K200" s="82">
        <v>1053.0</v>
      </c>
      <c r="L200" s="82" t="str">
        <f>IFERROR(__xludf.DUMMYFUNCTION("if(REGEXMATCH(E200, ""Write to Impress""), CONCATENATE(E200, K200), IF(REGEXMATCH(E200, ""Sharpen Your Sentences""), concatenate(E200, K200), concatenate(""Build Your Vocabulary"", K200)))"),"Build Your Vocabulary1053")</f>
        <v>Build Your Vocabulary1053</v>
      </c>
    </row>
    <row r="201" ht="76.5" customHeight="1">
      <c r="B201" s="92" t="s">
        <v>1173</v>
      </c>
      <c r="C201" s="90" t="s">
        <v>923</v>
      </c>
      <c r="D201" s="90"/>
      <c r="E201" s="86" t="s">
        <v>924</v>
      </c>
      <c r="I201" s="82" t="s">
        <v>1099</v>
      </c>
      <c r="J201" s="82"/>
      <c r="K201" s="82">
        <v>1054.0</v>
      </c>
      <c r="L201" s="82" t="str">
        <f>IFERROR(__xludf.DUMMYFUNCTION("if(REGEXMATCH(E201, ""Write to Impress""), CONCATENATE(E201, K201), IF(REGEXMATCH(E201, ""Sharpen Your Sentences""), concatenate(E201, K201), concatenate(""Build Your Vocabulary"", K201)))"),"Build Your Vocabulary1054")</f>
        <v>Build Your Vocabulary1054</v>
      </c>
    </row>
    <row r="202" ht="55.5" customHeight="1">
      <c r="A202" s="84"/>
      <c r="B202" s="92" t="s">
        <v>1174</v>
      </c>
      <c r="C202" s="90" t="s">
        <v>927</v>
      </c>
      <c r="D202" s="90"/>
      <c r="E202" s="86" t="s">
        <v>1018</v>
      </c>
      <c r="I202" s="82" t="s">
        <v>1101</v>
      </c>
      <c r="J202" s="82"/>
      <c r="K202" s="82"/>
      <c r="L202" s="82"/>
    </row>
    <row r="203" ht="55.5" customHeight="1">
      <c r="A203" s="84"/>
      <c r="B203" s="92" t="s">
        <v>1175</v>
      </c>
      <c r="C203" s="90" t="s">
        <v>1176</v>
      </c>
      <c r="D203" s="90"/>
      <c r="E203" s="86" t="s">
        <v>1177</v>
      </c>
      <c r="I203" s="82" t="s">
        <v>1101</v>
      </c>
      <c r="J203" s="82"/>
      <c r="K203" s="82"/>
      <c r="L203" s="82"/>
    </row>
    <row r="204">
      <c r="A204" s="80"/>
      <c r="B204" s="80"/>
      <c r="C204" s="80" t="s">
        <v>743</v>
      </c>
      <c r="I204" s="80"/>
      <c r="J204" s="80"/>
      <c r="K204" s="80"/>
      <c r="L204" s="82" t="str">
        <f>IFERROR(__xludf.DUMMYFUNCTION("if(REGEXMATCH(E204, ""Write to Impress""), CONCATENATE(E204, K204), IF(REGEXMATCH(E204, ""Sharpen Your Sentences""), concatenate(E204, K204), concatenate(""Build Your Vocabulary"", K204)))"),"Build Your Vocabulary")</f>
        <v>Build Your Vocabulary</v>
      </c>
    </row>
    <row r="205">
      <c r="A205" s="83"/>
      <c r="B205" s="83"/>
      <c r="C205" s="83" t="s">
        <v>10</v>
      </c>
      <c r="D205" s="83" t="s">
        <v>715</v>
      </c>
      <c r="E205" s="83" t="s">
        <v>11</v>
      </c>
      <c r="F205" s="83" t="s">
        <v>716</v>
      </c>
      <c r="G205" s="83" t="s">
        <v>717</v>
      </c>
      <c r="H205" s="83" t="s">
        <v>718</v>
      </c>
      <c r="I205" s="83" t="s">
        <v>719</v>
      </c>
      <c r="J205" s="83"/>
      <c r="K205" s="83"/>
      <c r="L205" s="82" t="str">
        <f>IFERROR(__xludf.DUMMYFUNCTION("if(REGEXMATCH(E205, ""Write to Impress""), CONCATENATE(E205, K205), IF(REGEXMATCH(E205, ""Sharpen Your Sentences""), concatenate(E205, K205), concatenate(""Build Your Vocabulary"", K205)))"),"Build Your Vocabulary")</f>
        <v>Build Your Vocabulary</v>
      </c>
    </row>
    <row r="206" ht="50.25" customHeight="1">
      <c r="A206" s="84" t="s">
        <v>1178</v>
      </c>
      <c r="B206" s="92" t="s">
        <v>1179</v>
      </c>
      <c r="C206" s="96" t="s">
        <v>820</v>
      </c>
      <c r="D206" s="96"/>
      <c r="E206" s="93" t="s">
        <v>1022</v>
      </c>
      <c r="F206" s="87" t="s">
        <v>1180</v>
      </c>
      <c r="G206" s="88" t="s">
        <v>1181</v>
      </c>
      <c r="H206" s="88" t="s">
        <v>1182</v>
      </c>
      <c r="I206" s="82" t="s">
        <v>1109</v>
      </c>
      <c r="J206" s="82"/>
      <c r="K206" s="82">
        <v>1061.0</v>
      </c>
      <c r="L206" s="82" t="str">
        <f>IFERROR(__xludf.DUMMYFUNCTION("if(REGEXMATCH(E206, ""Write to Impress""), CONCATENATE(E206, K206), IF(REGEXMATCH(E206, ""Sharpen Your Sentences""), concatenate(E206, K206), concatenate(""Build Your Vocabulary"", K206)))"),"Build Your Vocabulary1061")</f>
        <v>Build Your Vocabulary1061</v>
      </c>
    </row>
    <row r="207" ht="45.0" customHeight="1">
      <c r="B207" s="92" t="s">
        <v>1183</v>
      </c>
      <c r="C207" s="90" t="s">
        <v>828</v>
      </c>
      <c r="D207" s="90"/>
      <c r="E207" s="93" t="s">
        <v>829</v>
      </c>
      <c r="I207" s="82" t="s">
        <v>1111</v>
      </c>
      <c r="J207" s="82"/>
      <c r="K207" s="82">
        <v>1062.0</v>
      </c>
      <c r="L207" s="82" t="str">
        <f>IFERROR(__xludf.DUMMYFUNCTION("if(REGEXMATCH(E207, ""Write to Impress""), CONCATENATE(E207, K207), IF(REGEXMATCH(E207, ""Sharpen Your Sentences""), concatenate(E207, K207), concatenate(""Build Your Vocabulary"", K207)))"),"Build Your Vocabulary1062")</f>
        <v>Build Your Vocabulary1062</v>
      </c>
    </row>
    <row r="208" ht="87.0" customHeight="1">
      <c r="B208" s="92" t="s">
        <v>1184</v>
      </c>
      <c r="C208" s="90" t="s">
        <v>832</v>
      </c>
      <c r="D208" s="90" t="s">
        <v>813</v>
      </c>
      <c r="E208" s="93" t="s">
        <v>1113</v>
      </c>
      <c r="I208" s="82" t="s">
        <v>1114</v>
      </c>
      <c r="J208" s="82"/>
      <c r="K208" s="82">
        <v>1063.0</v>
      </c>
      <c r="L208" s="82" t="str">
        <f>IFERROR(__xludf.DUMMYFUNCTION("if(REGEXMATCH(E208, ""Write to Impress""), CONCATENATE(E208, K208), IF(REGEXMATCH(E208, ""Sharpen Your Sentences""), concatenate(E208, K208), concatenate(""Build Your Vocabulary"", K208)))"),"Build Your Vocabulary: Explore a Word
Best Practices: Vocabulary Bingo
Write to Impress: Understand Word Nuances1063")</f>
        <v>Build Your Vocabulary: Explore a Word
Best Practices: Vocabulary Bingo
Write to Impress: Understand Word Nuances1063</v>
      </c>
    </row>
    <row r="209" ht="214.5" customHeight="1">
      <c r="B209" s="92" t="s">
        <v>1185</v>
      </c>
      <c r="C209" s="90" t="s">
        <v>801</v>
      </c>
      <c r="D209" s="90"/>
      <c r="E209" s="93" t="s">
        <v>837</v>
      </c>
      <c r="I209" s="82" t="s">
        <v>1116</v>
      </c>
      <c r="J209" s="82"/>
      <c r="K209" s="82">
        <v>1064.0</v>
      </c>
      <c r="L209" s="82" t="str">
        <f>IFERROR(__xludf.DUMMYFUNCTION("if(REGEXMATCH(E209, ""Write to Impress""), CONCATENATE(E209, K209), IF(REGEXMATCH(E209, ""Sharpen Your Sentences""), concatenate(E209, K209), concatenate(""Build Your Vocabulary"", K209)))"),"Build Your Vocabulary1064")</f>
        <v>Build Your Vocabulary1064</v>
      </c>
    </row>
    <row r="210">
      <c r="A210" s="80"/>
      <c r="B210" s="80"/>
      <c r="C210" s="80" t="s">
        <v>743</v>
      </c>
      <c r="I210" s="80"/>
      <c r="J210" s="80"/>
      <c r="K210" s="80"/>
      <c r="L210" s="82" t="str">
        <f>IFERROR(__xludf.DUMMYFUNCTION("if(REGEXMATCH(E210, ""Write to Impress""), CONCATENATE(E210, K210), IF(REGEXMATCH(E210, ""Sharpen Your Sentences""), concatenate(E210, K210), concatenate(""Build Your Vocabulary"", K210)))"),"Build Your Vocabulary")</f>
        <v>Build Your Vocabulary</v>
      </c>
    </row>
    <row r="211">
      <c r="A211" s="83"/>
      <c r="B211" s="83"/>
      <c r="C211" s="83" t="s">
        <v>10</v>
      </c>
      <c r="D211" s="83" t="s">
        <v>715</v>
      </c>
      <c r="E211" s="83" t="s">
        <v>11</v>
      </c>
      <c r="F211" s="83" t="s">
        <v>716</v>
      </c>
      <c r="G211" s="83" t="s">
        <v>717</v>
      </c>
      <c r="H211" s="83" t="s">
        <v>718</v>
      </c>
      <c r="I211" s="83" t="s">
        <v>719</v>
      </c>
      <c r="J211" s="83"/>
      <c r="K211" s="83"/>
      <c r="L211" s="82" t="str">
        <f>IFERROR(__xludf.DUMMYFUNCTION("if(REGEXMATCH(E211, ""Write to Impress""), CONCATENATE(E211, K211), IF(REGEXMATCH(E211, ""Sharpen Your Sentences""), concatenate(E211, K211), concatenate(""Build Your Vocabulary"", K211)))"),"Build Your Vocabulary")</f>
        <v>Build Your Vocabulary</v>
      </c>
    </row>
    <row r="212" ht="45.0" customHeight="1">
      <c r="A212" s="84" t="s">
        <v>1186</v>
      </c>
      <c r="B212" s="92" t="s">
        <v>1187</v>
      </c>
      <c r="C212" s="96" t="s">
        <v>840</v>
      </c>
      <c r="D212" s="96"/>
      <c r="E212" s="93" t="s">
        <v>841</v>
      </c>
      <c r="F212" s="87" t="s">
        <v>1188</v>
      </c>
      <c r="G212" s="82" t="s">
        <v>1189</v>
      </c>
      <c r="H212" s="82" t="s">
        <v>1190</v>
      </c>
      <c r="I212" s="82" t="s">
        <v>1070</v>
      </c>
      <c r="J212" s="82"/>
      <c r="K212" s="82">
        <v>1071.0</v>
      </c>
      <c r="L212" s="82" t="str">
        <f>IFERROR(__xludf.DUMMYFUNCTION("if(REGEXMATCH(E212, ""Write to Impress""), CONCATENATE(E212, K212), IF(REGEXMATCH(E212, ""Sharpen Your Sentences""), concatenate(E212, K212), concatenate(""Build Your Vocabulary"", K212)))"),"Build Your Vocabulary1071")</f>
        <v>Build Your Vocabulary1071</v>
      </c>
    </row>
    <row r="213" ht="89.25" customHeight="1">
      <c r="B213" s="92" t="s">
        <v>1191</v>
      </c>
      <c r="C213" s="96" t="s">
        <v>850</v>
      </c>
      <c r="D213" s="90"/>
      <c r="E213" s="93" t="s">
        <v>855</v>
      </c>
      <c r="I213" s="82" t="s">
        <v>1047</v>
      </c>
      <c r="J213" s="82"/>
      <c r="K213" s="82">
        <v>1073.0</v>
      </c>
      <c r="L213" s="82" t="str">
        <f>IFERROR(__xludf.DUMMYFUNCTION("if(REGEXMATCH(E213, ""Write to Impress""), CONCATENATE(E213, K213), IF(REGEXMATCH(E213, ""Sharpen Your Sentences""), concatenate(E213, K213), concatenate(""Build Your Vocabulary"", K213)))"),"Build Your Vocabulary1073")</f>
        <v>Build Your Vocabulary1073</v>
      </c>
    </row>
    <row r="214">
      <c r="A214" s="80"/>
      <c r="B214" s="80"/>
      <c r="C214" s="80" t="s">
        <v>743</v>
      </c>
      <c r="I214" s="80"/>
      <c r="J214" s="80"/>
      <c r="K214" s="80"/>
      <c r="L214" s="82" t="str">
        <f>IFERROR(__xludf.DUMMYFUNCTION("if(REGEXMATCH(E214, ""Write to Impress""), CONCATENATE(E214, K214), IF(REGEXMATCH(E214, ""Sharpen Your Sentences""), concatenate(E214, K214), concatenate(""Build Your Vocabulary"", K214)))"),"Build Your Vocabulary")</f>
        <v>Build Your Vocabulary</v>
      </c>
    </row>
    <row r="215">
      <c r="A215" s="83"/>
      <c r="B215" s="83"/>
      <c r="C215" s="83" t="s">
        <v>10</v>
      </c>
      <c r="D215" s="83" t="s">
        <v>715</v>
      </c>
      <c r="E215" s="83" t="s">
        <v>11</v>
      </c>
      <c r="F215" s="83" t="s">
        <v>716</v>
      </c>
      <c r="G215" s="83" t="s">
        <v>717</v>
      </c>
      <c r="H215" s="83" t="s">
        <v>718</v>
      </c>
      <c r="I215" s="83" t="s">
        <v>719</v>
      </c>
      <c r="J215" s="83"/>
      <c r="K215" s="83"/>
      <c r="L215" s="82" t="str">
        <f>IFERROR(__xludf.DUMMYFUNCTION("if(REGEXMATCH(E215, ""Write to Impress""), CONCATENATE(E215, K215), IF(REGEXMATCH(E215, ""Sharpen Your Sentences""), concatenate(E215, K215), concatenate(""Build Your Vocabulary"", K215)))"),"Build Your Vocabulary")</f>
        <v>Build Your Vocabulary</v>
      </c>
    </row>
    <row r="216" ht="59.25" customHeight="1">
      <c r="A216" s="84" t="s">
        <v>1192</v>
      </c>
      <c r="B216" s="92" t="s">
        <v>1193</v>
      </c>
      <c r="C216" s="96" t="s">
        <v>729</v>
      </c>
      <c r="D216" s="96"/>
      <c r="E216" s="86" t="s">
        <v>730</v>
      </c>
      <c r="F216" s="87" t="s">
        <v>1194</v>
      </c>
      <c r="G216" s="82" t="s">
        <v>1195</v>
      </c>
      <c r="H216" s="82" t="s">
        <v>1196</v>
      </c>
      <c r="I216" s="88" t="s">
        <v>1197</v>
      </c>
      <c r="J216" s="82"/>
      <c r="K216" s="82">
        <v>1111.0</v>
      </c>
      <c r="L216" s="82" t="str">
        <f>IFERROR(__xludf.DUMMYFUNCTION("if(REGEXMATCH(E216, ""Write to Impress""), CONCATENATE(E216, K216), IF(REGEXMATCH(E216, ""Sharpen Your Sentences""), concatenate(E216, K216), concatenate(""Build Your Vocabulary"", K216)))"),"Build Your Vocabulary1111")</f>
        <v>Build Your Vocabulary1111</v>
      </c>
    </row>
    <row r="217" ht="44.25" customHeight="1">
      <c r="B217" s="92" t="s">
        <v>1198</v>
      </c>
      <c r="C217" s="90" t="s">
        <v>733</v>
      </c>
      <c r="D217" s="90"/>
      <c r="E217" s="86" t="s">
        <v>734</v>
      </c>
      <c r="I217" s="88" t="s">
        <v>1199</v>
      </c>
      <c r="J217" s="82"/>
      <c r="K217" s="82">
        <v>1112.0</v>
      </c>
      <c r="L217" s="82" t="str">
        <f>IFERROR(__xludf.DUMMYFUNCTION("if(REGEXMATCH(E217, ""Write to Impress""), CONCATENATE(E217, K217), IF(REGEXMATCH(E217, ""Sharpen Your Sentences""), concatenate(E217, K217), concatenate(""Build Your Vocabulary"", K217)))"),"Build Your Vocabulary1112")</f>
        <v>Build Your Vocabulary1112</v>
      </c>
    </row>
    <row r="218" ht="45.0" customHeight="1">
      <c r="B218" s="92" t="s">
        <v>1200</v>
      </c>
      <c r="C218" s="90" t="s">
        <v>867</v>
      </c>
      <c r="D218" s="90"/>
      <c r="E218" s="86" t="s">
        <v>738</v>
      </c>
      <c r="I218" s="88" t="s">
        <v>1201</v>
      </c>
      <c r="J218" s="82"/>
      <c r="K218" s="82">
        <v>1113.0</v>
      </c>
      <c r="L218" s="82" t="str">
        <f>IFERROR(__xludf.DUMMYFUNCTION("if(REGEXMATCH(E218, ""Write to Impress""), CONCATENATE(E218, K218), IF(REGEXMATCH(E218, ""Sharpen Your Sentences""), concatenate(E218, K218), concatenate(""Build Your Vocabulary"", K218)))"),"Build Your Vocabulary1113")</f>
        <v>Build Your Vocabulary1113</v>
      </c>
    </row>
    <row r="219" ht="56.25" customHeight="1">
      <c r="B219" s="92" t="s">
        <v>1202</v>
      </c>
      <c r="C219" s="90" t="s">
        <v>801</v>
      </c>
      <c r="D219" s="90"/>
      <c r="E219" s="86" t="s">
        <v>742</v>
      </c>
      <c r="I219" s="88" t="s">
        <v>1203</v>
      </c>
      <c r="J219" s="82"/>
      <c r="K219" s="82">
        <v>1114.0</v>
      </c>
      <c r="L219" s="82" t="str">
        <f>IFERROR(__xludf.DUMMYFUNCTION("if(REGEXMATCH(E219, ""Write to Impress""), CONCATENATE(E219, K219), IF(REGEXMATCH(E219, ""Sharpen Your Sentences""), concatenate(E219, K219), concatenate(""Build Your Vocabulary"", K219)))"),"Build Your Vocabulary1114")</f>
        <v>Build Your Vocabulary1114</v>
      </c>
    </row>
    <row r="220">
      <c r="A220" s="80"/>
      <c r="B220" s="80"/>
      <c r="C220" s="80" t="s">
        <v>743</v>
      </c>
      <c r="I220" s="80"/>
      <c r="J220" s="80"/>
      <c r="K220" s="80"/>
      <c r="L220" s="82" t="str">
        <f>IFERROR(__xludf.DUMMYFUNCTION("if(REGEXMATCH(E220, ""Write to Impress""), CONCATENATE(E220, K220), IF(REGEXMATCH(E220, ""Sharpen Your Sentences""), concatenate(E220, K220), concatenate(""Build Your Vocabulary"", K220)))"),"Build Your Vocabulary")</f>
        <v>Build Your Vocabulary</v>
      </c>
    </row>
    <row r="221">
      <c r="A221" s="83"/>
      <c r="B221" s="83"/>
      <c r="C221" s="83" t="s">
        <v>10</v>
      </c>
      <c r="D221" s="83" t="s">
        <v>715</v>
      </c>
      <c r="E221" s="83" t="s">
        <v>11</v>
      </c>
      <c r="F221" s="83" t="s">
        <v>716</v>
      </c>
      <c r="G221" s="83" t="s">
        <v>717</v>
      </c>
      <c r="H221" s="83" t="s">
        <v>718</v>
      </c>
      <c r="I221" s="83" t="s">
        <v>719</v>
      </c>
      <c r="J221" s="83"/>
      <c r="K221" s="83"/>
      <c r="L221" s="82" t="str">
        <f>IFERROR(__xludf.DUMMYFUNCTION("if(REGEXMATCH(E221, ""Write to Impress""), CONCATENATE(E221, K221), IF(REGEXMATCH(E221, ""Sharpen Your Sentences""), concatenate(E221, K221), concatenate(""Build Your Vocabulary"", K221)))"),"Build Your Vocabulary")</f>
        <v>Build Your Vocabulary</v>
      </c>
    </row>
    <row r="222" ht="51.0" customHeight="1">
      <c r="A222" s="84" t="s">
        <v>1204</v>
      </c>
      <c r="B222" s="92" t="s">
        <v>1205</v>
      </c>
      <c r="C222" s="91" t="s">
        <v>746</v>
      </c>
      <c r="D222" s="91"/>
      <c r="E222" s="93" t="s">
        <v>747</v>
      </c>
      <c r="F222" s="87" t="s">
        <v>1206</v>
      </c>
      <c r="G222" s="82" t="s">
        <v>1207</v>
      </c>
      <c r="H222" s="82" t="s">
        <v>1208</v>
      </c>
      <c r="I222" s="82" t="s">
        <v>1209</v>
      </c>
      <c r="J222" s="82"/>
      <c r="K222" s="82">
        <v>1121.0</v>
      </c>
      <c r="L222" s="82" t="str">
        <f>IFERROR(__xludf.DUMMYFUNCTION("if(REGEXMATCH(E222, ""Write to Impress""), CONCATENATE(E222, K222), IF(REGEXMATCH(E222, ""Sharpen Your Sentences""), concatenate(E222, K222), concatenate(""Build Your Vocabulary"", K222)))"),"Build Your Vocabulary1121")</f>
        <v>Build Your Vocabulary1121</v>
      </c>
    </row>
    <row r="223" ht="51.0" customHeight="1">
      <c r="B223" s="92" t="s">
        <v>1210</v>
      </c>
      <c r="C223" s="90" t="s">
        <v>1058</v>
      </c>
      <c r="D223" s="90"/>
      <c r="E223" s="93" t="s">
        <v>754</v>
      </c>
      <c r="I223" s="82" t="s">
        <v>1211</v>
      </c>
      <c r="J223" s="82"/>
      <c r="K223" s="82">
        <v>1122.0</v>
      </c>
      <c r="L223" s="82" t="str">
        <f>IFERROR(__xludf.DUMMYFUNCTION("if(REGEXMATCH(E223, ""Write to Impress""), CONCATENATE(E223, K223), IF(REGEXMATCH(E223, ""Sharpen Your Sentences""), concatenate(E223, K223), concatenate(""Build Your Vocabulary"", K223)))"),"Build Your Vocabulary1122")</f>
        <v>Build Your Vocabulary1122</v>
      </c>
    </row>
    <row r="224" ht="51.0" customHeight="1">
      <c r="B224" s="92" t="s">
        <v>1212</v>
      </c>
      <c r="C224" s="90" t="s">
        <v>757</v>
      </c>
      <c r="D224" s="90"/>
      <c r="E224" s="93" t="s">
        <v>758</v>
      </c>
      <c r="I224" s="82" t="s">
        <v>1213</v>
      </c>
      <c r="J224" s="82"/>
      <c r="K224" s="82">
        <v>1123.0</v>
      </c>
      <c r="L224" s="82" t="str">
        <f>IFERROR(__xludf.DUMMYFUNCTION("if(REGEXMATCH(E224, ""Write to Impress""), CONCATENATE(E224, K224), IF(REGEXMATCH(E224, ""Sharpen Your Sentences""), concatenate(E224, K224), concatenate(""Build Your Vocabulary"", K224)))"),"Build Your Vocabulary1123")</f>
        <v>Build Your Vocabulary1123</v>
      </c>
    </row>
    <row r="225" ht="51.0" customHeight="1">
      <c r="B225" s="92" t="s">
        <v>1214</v>
      </c>
      <c r="C225" s="90" t="s">
        <v>882</v>
      </c>
      <c r="D225" s="90"/>
      <c r="E225" s="93" t="s">
        <v>762</v>
      </c>
      <c r="I225" s="82" t="s">
        <v>1215</v>
      </c>
      <c r="J225" s="82"/>
      <c r="K225" s="82">
        <v>1124.0</v>
      </c>
      <c r="L225" s="82" t="str">
        <f>IFERROR(__xludf.DUMMYFUNCTION("if(REGEXMATCH(E225, ""Write to Impress""), CONCATENATE(E225, K225), IF(REGEXMATCH(E225, ""Sharpen Your Sentences""), concatenate(E225, K225), concatenate(""Build Your Vocabulary"", K225)))"),"Build Your Vocabulary1124")</f>
        <v>Build Your Vocabulary1124</v>
      </c>
    </row>
    <row r="226">
      <c r="A226" s="80"/>
      <c r="B226" s="80"/>
      <c r="C226" s="80" t="s">
        <v>743</v>
      </c>
      <c r="I226" s="80"/>
      <c r="J226" s="80"/>
      <c r="K226" s="80"/>
      <c r="L226" s="82" t="str">
        <f>IFERROR(__xludf.DUMMYFUNCTION("if(REGEXMATCH(E226, ""Write to Impress""), CONCATENATE(E226, K226), IF(REGEXMATCH(E226, ""Sharpen Your Sentences""), concatenate(E226, K226), concatenate(""Build Your Vocabulary"", K226)))"),"Build Your Vocabulary")</f>
        <v>Build Your Vocabulary</v>
      </c>
    </row>
    <row r="227">
      <c r="A227" s="83"/>
      <c r="B227" s="83"/>
      <c r="C227" s="83" t="s">
        <v>10</v>
      </c>
      <c r="D227" s="83" t="s">
        <v>715</v>
      </c>
      <c r="E227" s="83" t="s">
        <v>11</v>
      </c>
      <c r="F227" s="83" t="s">
        <v>716</v>
      </c>
      <c r="G227" s="83" t="s">
        <v>717</v>
      </c>
      <c r="H227" s="83" t="s">
        <v>718</v>
      </c>
      <c r="I227" s="83" t="s">
        <v>719</v>
      </c>
      <c r="J227" s="83"/>
      <c r="K227" s="83"/>
      <c r="L227" s="82" t="str">
        <f>IFERROR(__xludf.DUMMYFUNCTION("if(REGEXMATCH(E227, ""Write to Impress""), CONCATENATE(E227, K227), IF(REGEXMATCH(E227, ""Sharpen Your Sentences""), concatenate(E227, K227), concatenate(""Build Your Vocabulary"", K227)))"),"Build Your Vocabulary")</f>
        <v>Build Your Vocabulary</v>
      </c>
    </row>
    <row r="228" ht="42.75" customHeight="1">
      <c r="A228" s="84" t="s">
        <v>1216</v>
      </c>
      <c r="B228" s="92" t="s">
        <v>1217</v>
      </c>
      <c r="C228" s="96" t="s">
        <v>886</v>
      </c>
      <c r="D228" s="96"/>
      <c r="E228" s="93" t="s">
        <v>767</v>
      </c>
      <c r="F228" s="87" t="s">
        <v>1218</v>
      </c>
      <c r="G228" s="82" t="s">
        <v>1219</v>
      </c>
      <c r="H228" s="82" t="s">
        <v>1220</v>
      </c>
      <c r="I228" s="82" t="s">
        <v>1201</v>
      </c>
      <c r="J228" s="82"/>
      <c r="K228" s="82">
        <v>1131.0</v>
      </c>
      <c r="L228" s="82" t="str">
        <f>IFERROR(__xludf.DUMMYFUNCTION("if(REGEXMATCH(E228, ""Write to Impress""), CONCATENATE(E228, K228), IF(REGEXMATCH(E228, ""Sharpen Your Sentences""), concatenate(E228, K228), concatenate(""Build Your Vocabulary"", K228)))"),"Build Your Vocabulary1131")</f>
        <v>Build Your Vocabulary1131</v>
      </c>
    </row>
    <row r="229" ht="69.75" customHeight="1">
      <c r="B229" s="92" t="s">
        <v>1221</v>
      </c>
      <c r="C229" s="90" t="s">
        <v>985</v>
      </c>
      <c r="D229" s="90"/>
      <c r="E229" s="93" t="s">
        <v>1222</v>
      </c>
      <c r="I229" s="82" t="s">
        <v>1223</v>
      </c>
      <c r="J229" s="82"/>
      <c r="K229" s="82">
        <v>1132.0</v>
      </c>
      <c r="L229" s="82" t="str">
        <f>IFERROR(__xludf.DUMMYFUNCTION("if(REGEXMATCH(E229, ""Write to Impress""), CONCATENATE(E229, K229), IF(REGEXMATCH(E229, ""Sharpen Your Sentences""), concatenate(E229, K229), concatenate(""Build Your Vocabulary"", K229)))"),"Build Your Vocabulary: Map a Word
Best Practices: Vocabulary Timeline
Write to Impress: Understanding Figurative Language1132")</f>
        <v>Build Your Vocabulary: Map a Word
Best Practices: Vocabulary Timeline
Write to Impress: Understanding Figurative Language1132</v>
      </c>
    </row>
    <row r="230" ht="42.75" customHeight="1">
      <c r="B230" s="92" t="s">
        <v>1224</v>
      </c>
      <c r="C230" s="90" t="s">
        <v>987</v>
      </c>
      <c r="D230" s="90"/>
      <c r="E230" s="93" t="s">
        <v>777</v>
      </c>
      <c r="I230" s="82" t="s">
        <v>1225</v>
      </c>
      <c r="J230" s="82"/>
      <c r="K230" s="82">
        <v>1133.0</v>
      </c>
      <c r="L230" s="82" t="str">
        <f>IFERROR(__xludf.DUMMYFUNCTION("if(REGEXMATCH(E230, ""Write to Impress""), CONCATENATE(E230, K230), IF(REGEXMATCH(E230, ""Sharpen Your Sentences""), concatenate(E230, K230), concatenate(""Build Your Vocabulary"", K230)))"),"Build Your Vocabulary1133")</f>
        <v>Build Your Vocabulary1133</v>
      </c>
    </row>
    <row r="231" ht="57.0" customHeight="1">
      <c r="B231" s="92" t="s">
        <v>1226</v>
      </c>
      <c r="C231" s="90" t="s">
        <v>801</v>
      </c>
      <c r="D231" s="90"/>
      <c r="E231" s="93" t="s">
        <v>990</v>
      </c>
      <c r="I231" s="82" t="s">
        <v>1203</v>
      </c>
      <c r="J231" s="82"/>
      <c r="K231" s="82">
        <v>1134.0</v>
      </c>
      <c r="L231" s="82" t="str">
        <f>IFERROR(__xludf.DUMMYFUNCTION("if(REGEXMATCH(E231, ""Write to Impress""), CONCATENATE(E231, K231), IF(REGEXMATCH(E231, ""Sharpen Your Sentences""), concatenate(E231, K231), concatenate(""Build Your Vocabulary"", K231)))"),"Build Your Vocabulary1134")</f>
        <v>Build Your Vocabulary1134</v>
      </c>
    </row>
    <row r="232">
      <c r="A232" s="80"/>
      <c r="B232" s="80"/>
      <c r="C232" s="80" t="s">
        <v>743</v>
      </c>
      <c r="I232" s="80"/>
      <c r="J232" s="80"/>
      <c r="K232" s="80"/>
      <c r="L232" s="82" t="str">
        <f>IFERROR(__xludf.DUMMYFUNCTION("if(REGEXMATCH(E232, ""Write to Impress""), CONCATENATE(E232, K232), IF(REGEXMATCH(E232, ""Sharpen Your Sentences""), concatenate(E232, K232), concatenate(""Build Your Vocabulary"", K232)))"),"Build Your Vocabulary")</f>
        <v>Build Your Vocabulary</v>
      </c>
    </row>
    <row r="233">
      <c r="A233" s="83"/>
      <c r="B233" s="83"/>
      <c r="C233" s="83" t="s">
        <v>10</v>
      </c>
      <c r="D233" s="83" t="s">
        <v>715</v>
      </c>
      <c r="E233" s="83" t="s">
        <v>11</v>
      </c>
      <c r="F233" s="83" t="s">
        <v>716</v>
      </c>
      <c r="G233" s="83" t="s">
        <v>717</v>
      </c>
      <c r="H233" s="83" t="s">
        <v>718</v>
      </c>
      <c r="I233" s="83" t="s">
        <v>719</v>
      </c>
      <c r="J233" s="83"/>
      <c r="K233" s="83"/>
      <c r="L233" s="82" t="str">
        <f>IFERROR(__xludf.DUMMYFUNCTION("if(REGEXMATCH(E233, ""Write to Impress""), CONCATENATE(E233, K233), IF(REGEXMATCH(E233, ""Sharpen Your Sentences""), concatenate(E233, K233), concatenate(""Build Your Vocabulary"", K233)))"),"Build Your Vocabulary")</f>
        <v>Build Your Vocabulary</v>
      </c>
    </row>
    <row r="234" ht="74.25" customHeight="1">
      <c r="A234" s="84" t="s">
        <v>1227</v>
      </c>
      <c r="B234" s="92" t="s">
        <v>1228</v>
      </c>
      <c r="C234" s="96" t="s">
        <v>785</v>
      </c>
      <c r="D234" s="96" t="s">
        <v>902</v>
      </c>
      <c r="E234" s="93" t="s">
        <v>1076</v>
      </c>
      <c r="F234" s="87" t="s">
        <v>1229</v>
      </c>
      <c r="G234" s="82" t="s">
        <v>1230</v>
      </c>
      <c r="H234" s="82" t="s">
        <v>1231</v>
      </c>
      <c r="I234" s="82" t="s">
        <v>1201</v>
      </c>
      <c r="J234" s="82"/>
      <c r="K234" s="82">
        <v>1141.0</v>
      </c>
      <c r="L234" s="82" t="str">
        <f>IFERROR(__xludf.DUMMYFUNCTION("if(REGEXMATCH(E234, ""Write to Impress""), CONCATENATE(E234, K234), IF(REGEXMATCH(E234, ""Sharpen Your Sentences""), concatenate(E234, K234), concatenate(""Build Your Vocabulary"", K234)))"),"Build Your Vocabulary: Concept Map
Best Practices: Root Word Challenge
Write to Impress: Understand Word Changes1141")</f>
        <v>Build Your Vocabulary: Concept Map
Best Practices: Root Word Challenge
Write to Impress: Understand Word Changes1141</v>
      </c>
    </row>
    <row r="235" ht="76.5" customHeight="1">
      <c r="B235" s="92" t="s">
        <v>1232</v>
      </c>
      <c r="C235" s="90" t="s">
        <v>793</v>
      </c>
      <c r="D235" s="90" t="s">
        <v>794</v>
      </c>
      <c r="E235" s="93" t="s">
        <v>795</v>
      </c>
      <c r="I235" s="82" t="s">
        <v>1233</v>
      </c>
      <c r="J235" s="82"/>
      <c r="K235" s="82">
        <v>1142.0</v>
      </c>
      <c r="L235" s="82" t="str">
        <f>IFERROR(__xludf.DUMMYFUNCTION("if(REGEXMATCH(E235, ""Write to Impress""), CONCATENATE(E235, K235), IF(REGEXMATCH(E235, ""Sharpen Your Sentences""), concatenate(E235, K235), concatenate(""Build Your Vocabulary"", K235)))"),"Build Your Vocabulary: Word Study
Best Practices: Vocabulary Role Playing
Write to Impress: Consult Reference Materials1142")</f>
        <v>Build Your Vocabulary: Word Study
Best Practices: Vocabulary Role Playing
Write to Impress: Consult Reference Materials1142</v>
      </c>
    </row>
    <row r="236" ht="70.5" customHeight="1">
      <c r="B236" s="92" t="s">
        <v>1234</v>
      </c>
      <c r="C236" s="90" t="s">
        <v>1235</v>
      </c>
      <c r="D236" s="90"/>
      <c r="E236" s="93" t="s">
        <v>1236</v>
      </c>
      <c r="I236" s="82" t="s">
        <v>1209</v>
      </c>
      <c r="J236" s="82"/>
      <c r="K236" s="82">
        <v>1143.0</v>
      </c>
      <c r="L236" s="82" t="str">
        <f>IFERROR(__xludf.DUMMYFUNCTION("if(REGEXMATCH(E236, ""Write to Impress""), CONCATENATE(E236, K236), IF(REGEXMATCH(E236, ""Sharpen Your Sentences""), concatenate(E236, K236), concatenate(""Build Your Vocabulary"", K236)))"),"Build Your Vocabulary: Concept Map
Best Practices: Vocabulary Telephone
Write to Impress: Verify a Definition1143")</f>
        <v>Build Your Vocabulary: Concept Map
Best Practices: Vocabulary Telephone
Write to Impress: Verify a Definition1143</v>
      </c>
    </row>
    <row r="237" ht="77.25" customHeight="1">
      <c r="B237" s="92" t="s">
        <v>1237</v>
      </c>
      <c r="C237" s="90" t="s">
        <v>801</v>
      </c>
      <c r="D237" s="90"/>
      <c r="E237" s="93" t="s">
        <v>802</v>
      </c>
      <c r="I237" s="82" t="s">
        <v>1225</v>
      </c>
      <c r="J237" s="82"/>
      <c r="K237" s="82">
        <v>1144.0</v>
      </c>
      <c r="L237" s="82" t="str">
        <f>IFERROR(__xludf.DUMMYFUNCTION("if(REGEXMATCH(E237, ""Write to Impress""), CONCATENATE(E237, K237), IF(REGEXMATCH(E237, ""Sharpen Your Sentences""), concatenate(E237, K237), concatenate(""Build Your Vocabulary"", K237)))"),"Build Your Vocabulary1144")</f>
        <v>Build Your Vocabulary1144</v>
      </c>
    </row>
    <row r="238">
      <c r="A238" s="80"/>
      <c r="B238" s="80"/>
      <c r="C238" s="80" t="s">
        <v>743</v>
      </c>
      <c r="I238" s="80"/>
      <c r="J238" s="80"/>
      <c r="K238" s="80"/>
      <c r="L238" s="82" t="str">
        <f>IFERROR(__xludf.DUMMYFUNCTION("if(REGEXMATCH(E238, ""Write to Impress""), CONCATENATE(E238, K238), IF(REGEXMATCH(E238, ""Sharpen Your Sentences""), concatenate(E238, K238), concatenate(""Build Your Vocabulary"", K238)))"),"Build Your Vocabulary")</f>
        <v>Build Your Vocabulary</v>
      </c>
    </row>
    <row r="239">
      <c r="A239" s="83"/>
      <c r="B239" s="83"/>
      <c r="C239" s="83" t="s">
        <v>10</v>
      </c>
      <c r="D239" s="83" t="s">
        <v>715</v>
      </c>
      <c r="E239" s="83" t="s">
        <v>11</v>
      </c>
      <c r="F239" s="83" t="s">
        <v>716</v>
      </c>
      <c r="G239" s="83" t="s">
        <v>717</v>
      </c>
      <c r="H239" s="83" t="s">
        <v>718</v>
      </c>
      <c r="I239" s="83" t="s">
        <v>719</v>
      </c>
      <c r="J239" s="83"/>
      <c r="K239" s="83"/>
      <c r="L239" s="82" t="str">
        <f>IFERROR(__xludf.DUMMYFUNCTION("if(REGEXMATCH(E239, ""Write to Impress""), CONCATENATE(E239, K239), IF(REGEXMATCH(E239, ""Sharpen Your Sentences""), concatenate(E239, K239), concatenate(""Build Your Vocabulary"", K239)))"),"Build Your Vocabulary")</f>
        <v>Build Your Vocabulary</v>
      </c>
    </row>
    <row r="240" ht="65.25" customHeight="1">
      <c r="A240" s="84" t="s">
        <v>1238</v>
      </c>
      <c r="B240" s="92" t="s">
        <v>1239</v>
      </c>
      <c r="C240" s="96" t="s">
        <v>805</v>
      </c>
      <c r="D240" s="96" t="s">
        <v>821</v>
      </c>
      <c r="E240" s="93" t="s">
        <v>913</v>
      </c>
      <c r="F240" s="87" t="s">
        <v>1240</v>
      </c>
      <c r="G240" s="82" t="s">
        <v>1241</v>
      </c>
      <c r="H240" s="82" t="s">
        <v>1242</v>
      </c>
      <c r="I240" s="82" t="s">
        <v>1243</v>
      </c>
      <c r="J240" s="82"/>
      <c r="K240" s="82">
        <v>1151.0</v>
      </c>
      <c r="L240" s="82" t="str">
        <f>IFERROR(__xludf.DUMMYFUNCTION("if(REGEXMATCH(E240, ""Write to Impress""), CONCATENATE(E240, K240), IF(REGEXMATCH(E240, ""Sharpen Your Sentences""), concatenate(E240, K240), concatenate(""Build Your Vocabulary"", K240)))"),"Build Your Vocabulary: Map a Word
Best Practices: Contextual Reading
Write to Impress: Use Context Clues for Meaning1151")</f>
        <v>Build Your Vocabulary: Map a Word
Best Practices: Contextual Reading
Write to Impress: Use Context Clues for Meaning1151</v>
      </c>
    </row>
    <row r="241" ht="56.25" customHeight="1">
      <c r="B241" s="92" t="s">
        <v>1244</v>
      </c>
      <c r="C241" s="90" t="s">
        <v>1010</v>
      </c>
      <c r="D241" s="90" t="s">
        <v>921</v>
      </c>
      <c r="E241" s="93" t="s">
        <v>1094</v>
      </c>
      <c r="I241" s="82" t="s">
        <v>1245</v>
      </c>
      <c r="J241" s="82"/>
      <c r="K241" s="82">
        <v>1152.0</v>
      </c>
      <c r="L241" s="82" t="str">
        <f>IFERROR(__xludf.DUMMYFUNCTION("if(REGEXMATCH(E241, ""Write to Impress""), CONCATENATE(E241, K241), IF(REGEXMATCH(E241, ""Sharpen Your Sentences""), concatenate(E241, K241), concatenate(""Build Your Vocabulary"", K241)))"),"Build Your Vocabulary1152")</f>
        <v>Build Your Vocabulary1152</v>
      </c>
    </row>
    <row r="242" ht="47.25" customHeight="1">
      <c r="B242" s="92" t="s">
        <v>1246</v>
      </c>
      <c r="C242" s="90" t="s">
        <v>816</v>
      </c>
      <c r="D242" s="90"/>
      <c r="E242" s="93" t="s">
        <v>817</v>
      </c>
      <c r="I242" s="82" t="s">
        <v>1247</v>
      </c>
      <c r="J242" s="82"/>
      <c r="K242" s="82">
        <v>1153.0</v>
      </c>
      <c r="L242" s="82" t="str">
        <f>IFERROR(__xludf.DUMMYFUNCTION("if(REGEXMATCH(E242, ""Write to Impress""), CONCATENATE(E242, K242), IF(REGEXMATCH(E242, ""Sharpen Your Sentences""), concatenate(E242, K242), concatenate(""Build Your Vocabulary"", K242)))"),"Build Your Vocabulary1153")</f>
        <v>Build Your Vocabulary1153</v>
      </c>
    </row>
    <row r="243" ht="51.75" customHeight="1">
      <c r="B243" s="92" t="s">
        <v>1248</v>
      </c>
      <c r="C243" s="90" t="s">
        <v>923</v>
      </c>
      <c r="D243" s="90"/>
      <c r="E243" s="86" t="s">
        <v>924</v>
      </c>
      <c r="I243" s="82" t="s">
        <v>1249</v>
      </c>
      <c r="J243" s="82"/>
      <c r="K243" s="82">
        <v>1154.0</v>
      </c>
      <c r="L243" s="82" t="str">
        <f>IFERROR(__xludf.DUMMYFUNCTION("if(REGEXMATCH(E243, ""Write to Impress""), CONCATENATE(E243, K243), IF(REGEXMATCH(E243, ""Sharpen Your Sentences""), concatenate(E243, K243), concatenate(""Build Your Vocabulary"", K243)))"),"Build Your Vocabulary1154")</f>
        <v>Build Your Vocabulary1154</v>
      </c>
    </row>
    <row r="244" ht="51.75" customHeight="1">
      <c r="A244" s="84"/>
      <c r="B244" s="92" t="s">
        <v>1250</v>
      </c>
      <c r="C244" s="90" t="s">
        <v>1251</v>
      </c>
      <c r="D244" s="90"/>
      <c r="E244" s="86" t="s">
        <v>1018</v>
      </c>
      <c r="I244" s="82" t="s">
        <v>1252</v>
      </c>
      <c r="J244" s="82"/>
      <c r="K244" s="82"/>
      <c r="L244" s="82"/>
    </row>
    <row r="245">
      <c r="A245" s="80"/>
      <c r="B245" s="80"/>
      <c r="C245" s="80" t="s">
        <v>743</v>
      </c>
      <c r="I245" s="80"/>
      <c r="J245" s="80"/>
      <c r="K245" s="80"/>
      <c r="L245" s="82" t="str">
        <f>IFERROR(__xludf.DUMMYFUNCTION("if(REGEXMATCH(E245, ""Write to Impress""), CONCATENATE(E245, K245), IF(REGEXMATCH(E245, ""Sharpen Your Sentences""), concatenate(E245, K245), concatenate(""Build Your Vocabulary"", K245)))"),"Build Your Vocabulary")</f>
        <v>Build Your Vocabulary</v>
      </c>
    </row>
    <row r="246">
      <c r="A246" s="83"/>
      <c r="B246" s="83"/>
      <c r="C246" s="83" t="s">
        <v>10</v>
      </c>
      <c r="D246" s="83" t="s">
        <v>715</v>
      </c>
      <c r="E246" s="83" t="s">
        <v>11</v>
      </c>
      <c r="F246" s="83" t="s">
        <v>716</v>
      </c>
      <c r="G246" s="83" t="s">
        <v>717</v>
      </c>
      <c r="H246" s="83" t="s">
        <v>718</v>
      </c>
      <c r="I246" s="83" t="s">
        <v>719</v>
      </c>
      <c r="J246" s="83"/>
      <c r="K246" s="83"/>
      <c r="L246" s="82" t="str">
        <f>IFERROR(__xludf.DUMMYFUNCTION("if(REGEXMATCH(E246, ""Write to Impress""), CONCATENATE(E246, K246), IF(REGEXMATCH(E246, ""Sharpen Your Sentences""), concatenate(E246, K246), concatenate(""Build Your Vocabulary"", K246)))"),"Build Your Vocabulary")</f>
        <v>Build Your Vocabulary</v>
      </c>
    </row>
    <row r="247" ht="77.25" customHeight="1">
      <c r="A247" s="84" t="s">
        <v>1253</v>
      </c>
      <c r="B247" s="92" t="s">
        <v>1254</v>
      </c>
      <c r="C247" s="96" t="s">
        <v>820</v>
      </c>
      <c r="D247" s="96"/>
      <c r="E247" s="93" t="s">
        <v>1022</v>
      </c>
      <c r="F247" s="87" t="s">
        <v>1255</v>
      </c>
      <c r="G247" s="88" t="s">
        <v>1256</v>
      </c>
      <c r="H247" s="88" t="s">
        <v>1257</v>
      </c>
      <c r="I247" s="82" t="s">
        <v>1258</v>
      </c>
      <c r="J247" s="82"/>
      <c r="K247" s="82">
        <v>1161.0</v>
      </c>
      <c r="L247" s="82" t="str">
        <f>IFERROR(__xludf.DUMMYFUNCTION("if(REGEXMATCH(E247, ""Write to Impress""), CONCATENATE(E247, K247), IF(REGEXMATCH(E247, ""Sharpen Your Sentences""), concatenate(E247, K247), concatenate(""Build Your Vocabulary"", K247)))"),"Build Your Vocabulary1161")</f>
        <v>Build Your Vocabulary1161</v>
      </c>
    </row>
    <row r="248" ht="74.25" customHeight="1">
      <c r="B248" s="92" t="s">
        <v>1259</v>
      </c>
      <c r="C248" s="90" t="s">
        <v>828</v>
      </c>
      <c r="D248" s="90" t="s">
        <v>813</v>
      </c>
      <c r="E248" s="93" t="s">
        <v>1260</v>
      </c>
      <c r="I248" s="82" t="s">
        <v>1261</v>
      </c>
      <c r="J248" s="82"/>
      <c r="K248" s="82">
        <v>1162.0</v>
      </c>
      <c r="L248" s="82" t="str">
        <f>IFERROR(__xludf.DUMMYFUNCTION("if(REGEXMATCH(E248, ""Write to Impress""), CONCATENATE(E248, K248), IF(REGEXMATCH(E248, ""Sharpen Your Sentences""), concatenate(E248, K248), concatenate(""Build Your Vocabulary"", K248)))"),"Build Your Vocabulary: Map a Word
Best Practices: Shades of Meaning
Write to Impress: Understand Word Nuances1162")</f>
        <v>Build Your Vocabulary: Map a Word
Best Practices: Shades of Meaning
Write to Impress: Understand Word Nuances1162</v>
      </c>
    </row>
    <row r="249" ht="58.5" customHeight="1">
      <c r="B249" s="92" t="s">
        <v>1262</v>
      </c>
      <c r="C249" s="90" t="s">
        <v>832</v>
      </c>
      <c r="D249" s="90"/>
      <c r="E249" s="93" t="s">
        <v>1263</v>
      </c>
      <c r="I249" s="82" t="s">
        <v>1225</v>
      </c>
      <c r="J249" s="82"/>
      <c r="K249" s="82">
        <v>1163.0</v>
      </c>
      <c r="L249" s="82" t="str">
        <f>IFERROR(__xludf.DUMMYFUNCTION("if(REGEXMATCH(E249, ""Write to Impress""), CONCATENATE(E249, K249), IF(REGEXMATCH(E249, ""Sharpen Your Sentences""), concatenate(E249, K249), concatenate(""Build Your Vocabulary"", K249)))"),"Build Your Vocabulary1163")</f>
        <v>Build Your Vocabulary1163</v>
      </c>
    </row>
    <row r="250" ht="129.75" customHeight="1">
      <c r="B250" s="92" t="s">
        <v>1264</v>
      </c>
      <c r="C250" s="90" t="s">
        <v>801</v>
      </c>
      <c r="D250" s="90"/>
      <c r="E250" s="93" t="s">
        <v>837</v>
      </c>
      <c r="I250" s="82" t="s">
        <v>1203</v>
      </c>
      <c r="J250" s="82"/>
      <c r="K250" s="82">
        <v>1164.0</v>
      </c>
      <c r="L250" s="82" t="str">
        <f>IFERROR(__xludf.DUMMYFUNCTION("if(REGEXMATCH(E250, ""Write to Impress""), CONCATENATE(E250, K250), IF(REGEXMATCH(E250, ""Sharpen Your Sentences""), concatenate(E250, K250), concatenate(""Build Your Vocabulary"", K250)))"),"Build Your Vocabulary1164")</f>
        <v>Build Your Vocabulary1164</v>
      </c>
    </row>
    <row r="251">
      <c r="A251" s="80"/>
      <c r="B251" s="80"/>
      <c r="C251" s="80" t="s">
        <v>743</v>
      </c>
      <c r="I251" s="80"/>
      <c r="J251" s="80"/>
      <c r="K251" s="80"/>
      <c r="L251" s="82" t="str">
        <f>IFERROR(__xludf.DUMMYFUNCTION("if(REGEXMATCH(E251, ""Write to Impress""), CONCATENATE(E251, K251), IF(REGEXMATCH(E251, ""Sharpen Your Sentences""), concatenate(E251, K251), concatenate(""Build Your Vocabulary"", K251)))"),"Build Your Vocabulary")</f>
        <v>Build Your Vocabulary</v>
      </c>
    </row>
    <row r="252">
      <c r="A252" s="83"/>
      <c r="B252" s="83"/>
      <c r="C252" s="83" t="s">
        <v>10</v>
      </c>
      <c r="D252" s="83" t="s">
        <v>715</v>
      </c>
      <c r="E252" s="83" t="s">
        <v>11</v>
      </c>
      <c r="F252" s="83" t="s">
        <v>716</v>
      </c>
      <c r="G252" s="83" t="s">
        <v>717</v>
      </c>
      <c r="H252" s="83" t="s">
        <v>718</v>
      </c>
      <c r="I252" s="83" t="s">
        <v>719</v>
      </c>
      <c r="J252" s="83"/>
      <c r="K252" s="83"/>
      <c r="L252" s="82" t="str">
        <f>IFERROR(__xludf.DUMMYFUNCTION("if(REGEXMATCH(E252, ""Write to Impress""), CONCATENATE(E252, K252), IF(REGEXMATCH(E252, ""Sharpen Your Sentences""), concatenate(E252, K252), concatenate(""Build Your Vocabulary"", K252)))"),"Build Your Vocabulary")</f>
        <v>Build Your Vocabulary</v>
      </c>
    </row>
    <row r="253" ht="84.75" customHeight="1">
      <c r="A253" s="84" t="s">
        <v>1265</v>
      </c>
      <c r="B253" s="92" t="s">
        <v>1266</v>
      </c>
      <c r="C253" s="96" t="s">
        <v>840</v>
      </c>
      <c r="D253" s="96" t="s">
        <v>851</v>
      </c>
      <c r="E253" s="93" t="s">
        <v>947</v>
      </c>
      <c r="F253" s="87" t="s">
        <v>1267</v>
      </c>
      <c r="G253" s="82" t="s">
        <v>1268</v>
      </c>
      <c r="H253" s="82" t="s">
        <v>1269</v>
      </c>
      <c r="I253" s="82" t="s">
        <v>1270</v>
      </c>
      <c r="J253" s="82"/>
      <c r="K253" s="82">
        <v>1171.0</v>
      </c>
      <c r="L253" s="82" t="str">
        <f>IFERROR(__xludf.DUMMYFUNCTION("if(REGEXMATCH(E253, ""Write to Impress""), CONCATENATE(E253, K253), IF(REGEXMATCH(E253, ""Sharpen Your Sentences""), concatenate(E253, K253), concatenate(""Build Your Vocabulary"", K253)))"),"Build Your Vocabulary: Map a Word
Best Practices: Using Conjunctions to Compare and Contrast
Write to Impress: Build Academic Vocabulary1171")</f>
        <v>Build Your Vocabulary: Map a Word
Best Practices: Using Conjunctions to Compare and Contrast
Write to Impress: Build Academic Vocabulary1171</v>
      </c>
    </row>
    <row r="254" ht="48.0" customHeight="1">
      <c r="B254" s="92" t="s">
        <v>1271</v>
      </c>
      <c r="C254" s="96" t="s">
        <v>846</v>
      </c>
      <c r="D254" s="90"/>
      <c r="E254" s="93" t="s">
        <v>847</v>
      </c>
      <c r="I254" s="82" t="s">
        <v>1201</v>
      </c>
      <c r="J254" s="82"/>
      <c r="K254" s="82">
        <v>1172.0</v>
      </c>
      <c r="L254" s="82" t="str">
        <f>IFERROR(__xludf.DUMMYFUNCTION("if(REGEXMATCH(E254, ""Write to Impress""), CONCATENATE(E254, K254), IF(REGEXMATCH(E254, ""Sharpen Your Sentences""), concatenate(E254, K254), concatenate(""Build Your Vocabulary"", K254)))"),"Build Your Vocabulary1172")</f>
        <v>Build Your Vocabulary1172</v>
      </c>
    </row>
    <row r="255" ht="47.25" customHeight="1">
      <c r="B255" s="92" t="s">
        <v>1272</v>
      </c>
      <c r="C255" s="96" t="s">
        <v>1273</v>
      </c>
      <c r="D255" s="90"/>
      <c r="E255" s="93" t="s">
        <v>1274</v>
      </c>
      <c r="I255" s="82" t="s">
        <v>1275</v>
      </c>
      <c r="J255" s="82"/>
      <c r="K255" s="82">
        <v>1173.0</v>
      </c>
      <c r="L255" s="82" t="str">
        <f>IFERROR(__xludf.DUMMYFUNCTION("if(REGEXMATCH(E255, ""Write to Impress""), CONCATENATE(E255, K255), IF(REGEXMATCH(E255, ""Sharpen Your Sentences""), concatenate(E255, K255), concatenate(""Build Your Vocabulary"", K255)))"),"Build Your Vocabulary1173")</f>
        <v>Build Your Vocabulary1173</v>
      </c>
    </row>
    <row r="256" ht="49.5" customHeight="1">
      <c r="B256" s="92" t="s">
        <v>1276</v>
      </c>
      <c r="C256" s="90" t="s">
        <v>1277</v>
      </c>
      <c r="D256" s="90"/>
      <c r="E256" s="93" t="s">
        <v>855</v>
      </c>
      <c r="I256" s="82" t="s">
        <v>1203</v>
      </c>
      <c r="J256" s="82"/>
      <c r="K256" s="82">
        <v>1174.0</v>
      </c>
      <c r="L256" s="82" t="str">
        <f>IFERROR(__xludf.DUMMYFUNCTION("if(REGEXMATCH(E256, ""Write to Impress""), CONCATENATE(E256, K256), IF(REGEXMATCH(E256, ""Sharpen Your Sentences""), concatenate(E256, K256), concatenate(""Build Your Vocabulary"", K256)))"),"Build Your Vocabulary1174")</f>
        <v>Build Your Vocabulary1174</v>
      </c>
    </row>
    <row r="257">
      <c r="A257" s="80"/>
      <c r="B257" s="80"/>
      <c r="C257" s="80" t="s">
        <v>743</v>
      </c>
      <c r="I257" s="80"/>
      <c r="J257" s="80"/>
      <c r="K257" s="80"/>
      <c r="L257" s="82" t="str">
        <f>IFERROR(__xludf.DUMMYFUNCTION("if(REGEXMATCH(E257, ""Write to Impress""), CONCATENATE(E257, K257), IF(REGEXMATCH(E257, ""Sharpen Your Sentences""), concatenate(E257, K257), concatenate(""Build Your Vocabulary"", K257)))"),"Build Your Vocabulary")</f>
        <v>Build Your Vocabulary</v>
      </c>
    </row>
    <row r="258">
      <c r="A258" s="83"/>
      <c r="B258" s="83"/>
      <c r="C258" s="83" t="s">
        <v>10</v>
      </c>
      <c r="D258" s="83" t="s">
        <v>715</v>
      </c>
      <c r="E258" s="83" t="s">
        <v>11</v>
      </c>
      <c r="F258" s="83" t="s">
        <v>716</v>
      </c>
      <c r="G258" s="83" t="s">
        <v>717</v>
      </c>
      <c r="H258" s="83" t="s">
        <v>718</v>
      </c>
      <c r="I258" s="83" t="s">
        <v>719</v>
      </c>
      <c r="J258" s="83"/>
      <c r="K258" s="83"/>
      <c r="L258" s="82" t="str">
        <f>IFERROR(__xludf.DUMMYFUNCTION("if(REGEXMATCH(E258, ""Write to Impress""), CONCATENATE(E258, K258), IF(REGEXMATCH(E258, ""Sharpen Your Sentences""), concatenate(E258, K258), concatenate(""Build Your Vocabulary"", K258)))"),"Build Your Vocabulary")</f>
        <v>Build Your Vocabulary</v>
      </c>
    </row>
    <row r="259" ht="46.5" customHeight="1">
      <c r="A259" s="84" t="s">
        <v>1278</v>
      </c>
      <c r="B259" s="92" t="s">
        <v>1279</v>
      </c>
      <c r="C259" s="96" t="s">
        <v>729</v>
      </c>
      <c r="D259" s="96"/>
      <c r="E259" s="86" t="s">
        <v>730</v>
      </c>
      <c r="F259" s="87" t="s">
        <v>1280</v>
      </c>
      <c r="G259" s="82" t="s">
        <v>1281</v>
      </c>
      <c r="H259" s="82" t="s">
        <v>1282</v>
      </c>
      <c r="I259" s="88" t="s">
        <v>1197</v>
      </c>
      <c r="J259" s="82"/>
      <c r="K259" s="82">
        <v>1211.0</v>
      </c>
      <c r="L259" s="82" t="str">
        <f>IFERROR(__xludf.DUMMYFUNCTION("if(REGEXMATCH(E259, ""Write to Impress""), CONCATENATE(E259, K259), IF(REGEXMATCH(E259, ""Sharpen Your Sentences""), concatenate(E259, K259), concatenate(""Build Your Vocabulary"", K259)))"),"Build Your Vocabulary1211")</f>
        <v>Build Your Vocabulary1211</v>
      </c>
    </row>
    <row r="260" ht="46.5" customHeight="1">
      <c r="B260" s="92" t="s">
        <v>1283</v>
      </c>
      <c r="C260" s="90" t="s">
        <v>733</v>
      </c>
      <c r="D260" s="90"/>
      <c r="E260" s="86" t="s">
        <v>734</v>
      </c>
      <c r="I260" s="88" t="s">
        <v>1275</v>
      </c>
      <c r="J260" s="82"/>
      <c r="K260" s="82">
        <v>1212.0</v>
      </c>
      <c r="L260" s="82" t="str">
        <f>IFERROR(__xludf.DUMMYFUNCTION("if(REGEXMATCH(E260, ""Write to Impress""), CONCATENATE(E260, K260), IF(REGEXMATCH(E260, ""Sharpen Your Sentences""), concatenate(E260, K260), concatenate(""Build Your Vocabulary"", K260)))"),"Build Your Vocabulary1212")</f>
        <v>Build Your Vocabulary1212</v>
      </c>
    </row>
    <row r="261" ht="46.5" customHeight="1">
      <c r="B261" s="92" t="s">
        <v>1284</v>
      </c>
      <c r="C261" s="90" t="s">
        <v>867</v>
      </c>
      <c r="D261" s="90"/>
      <c r="E261" s="93" t="s">
        <v>738</v>
      </c>
      <c r="I261" s="88" t="s">
        <v>1285</v>
      </c>
      <c r="J261" s="82"/>
      <c r="K261" s="82">
        <v>1213.0</v>
      </c>
      <c r="L261" s="82" t="str">
        <f>IFERROR(__xludf.DUMMYFUNCTION("if(REGEXMATCH(E261, ""Write to Impress""), CONCATENATE(E261, K261), IF(REGEXMATCH(E261, ""Sharpen Your Sentences""), concatenate(E261, K261), concatenate(""Build Your Vocabulary"", K261)))"),"Build Your Vocabulary1213")</f>
        <v>Build Your Vocabulary1213</v>
      </c>
    </row>
    <row r="262" ht="66.0" customHeight="1">
      <c r="B262" s="92" t="s">
        <v>1286</v>
      </c>
      <c r="C262" s="90" t="s">
        <v>801</v>
      </c>
      <c r="D262" s="90"/>
      <c r="E262" s="93" t="s">
        <v>742</v>
      </c>
      <c r="I262" s="88" t="s">
        <v>1287</v>
      </c>
      <c r="J262" s="82"/>
      <c r="K262" s="82">
        <v>1214.0</v>
      </c>
      <c r="L262" s="82" t="str">
        <f>IFERROR(__xludf.DUMMYFUNCTION("if(REGEXMATCH(E262, ""Write to Impress""), CONCATENATE(E262, K262), IF(REGEXMATCH(E262, ""Sharpen Your Sentences""), concatenate(E262, K262), concatenate(""Build Your Vocabulary"", K262)))"),"Build Your Vocabulary1214")</f>
        <v>Build Your Vocabulary1214</v>
      </c>
    </row>
    <row r="263">
      <c r="A263" s="80"/>
      <c r="B263" s="80"/>
      <c r="C263" s="80" t="s">
        <v>743</v>
      </c>
      <c r="I263" s="80"/>
      <c r="J263" s="80"/>
      <c r="K263" s="80"/>
      <c r="L263" s="82" t="str">
        <f>IFERROR(__xludf.DUMMYFUNCTION("if(REGEXMATCH(E263, ""Write to Impress""), CONCATENATE(E263, K263), IF(REGEXMATCH(E263, ""Sharpen Your Sentences""), concatenate(E263, K263), concatenate(""Build Your Vocabulary"", K263)))"),"Build Your Vocabulary")</f>
        <v>Build Your Vocabulary</v>
      </c>
    </row>
    <row r="264">
      <c r="A264" s="83"/>
      <c r="B264" s="83"/>
      <c r="C264" s="83" t="s">
        <v>10</v>
      </c>
      <c r="D264" s="83" t="s">
        <v>715</v>
      </c>
      <c r="E264" s="83" t="s">
        <v>11</v>
      </c>
      <c r="F264" s="83" t="s">
        <v>716</v>
      </c>
      <c r="G264" s="83" t="s">
        <v>717</v>
      </c>
      <c r="H264" s="83" t="s">
        <v>718</v>
      </c>
      <c r="I264" s="83" t="s">
        <v>719</v>
      </c>
      <c r="J264" s="83"/>
      <c r="K264" s="83"/>
      <c r="L264" s="82" t="str">
        <f>IFERROR(__xludf.DUMMYFUNCTION("if(REGEXMATCH(E264, ""Write to Impress""), CONCATENATE(E264, K264), IF(REGEXMATCH(E264, ""Sharpen Your Sentences""), concatenate(E264, K264), concatenate(""Build Your Vocabulary"", K264)))"),"Build Your Vocabulary")</f>
        <v>Build Your Vocabulary</v>
      </c>
    </row>
    <row r="265" ht="45.0" customHeight="1">
      <c r="A265" s="84" t="s">
        <v>1288</v>
      </c>
      <c r="B265" s="92" t="s">
        <v>1289</v>
      </c>
      <c r="C265" s="96" t="s">
        <v>746</v>
      </c>
      <c r="D265" s="92"/>
      <c r="E265" s="93" t="s">
        <v>747</v>
      </c>
      <c r="F265" s="87" t="s">
        <v>1290</v>
      </c>
      <c r="G265" s="82" t="s">
        <v>1291</v>
      </c>
      <c r="H265" s="82" t="s">
        <v>1292</v>
      </c>
      <c r="I265" s="82" t="s">
        <v>1197</v>
      </c>
      <c r="J265" s="82"/>
      <c r="K265" s="82">
        <v>1221.0</v>
      </c>
      <c r="L265" s="82" t="str">
        <f>IFERROR(__xludf.DUMMYFUNCTION("if(REGEXMATCH(E265, ""Write to Impress""), CONCATENATE(E265, K265), IF(REGEXMATCH(E265, ""Sharpen Your Sentences""), concatenate(E265, K265), concatenate(""Build Your Vocabulary"", K265)))"),"Build Your Vocabulary1221")</f>
        <v>Build Your Vocabulary1221</v>
      </c>
    </row>
    <row r="266" ht="33.75" customHeight="1">
      <c r="B266" s="92" t="s">
        <v>1293</v>
      </c>
      <c r="C266" s="92" t="s">
        <v>1058</v>
      </c>
      <c r="D266" s="92"/>
      <c r="E266" s="93" t="s">
        <v>1294</v>
      </c>
      <c r="I266" s="82" t="s">
        <v>1295</v>
      </c>
      <c r="J266" s="82"/>
      <c r="K266" s="82">
        <v>1222.0</v>
      </c>
      <c r="L266" s="82" t="str">
        <f>IFERROR(__xludf.DUMMYFUNCTION("if(REGEXMATCH(E266, ""Write to Impress""), CONCATENATE(E266, K266), IF(REGEXMATCH(E266, ""Sharpen Your Sentences""), concatenate(E266, K266), concatenate(""Build Your Vocabulary"", K266)))"),"Build Your Vocabulary1222")</f>
        <v>Build Your Vocabulary1222</v>
      </c>
    </row>
    <row r="267" ht="51.0" customHeight="1">
      <c r="B267" s="92" t="s">
        <v>1296</v>
      </c>
      <c r="C267" s="90" t="s">
        <v>757</v>
      </c>
      <c r="D267" s="92"/>
      <c r="E267" s="93" t="s">
        <v>1297</v>
      </c>
      <c r="I267" s="82" t="s">
        <v>1298</v>
      </c>
      <c r="J267" s="82"/>
      <c r="K267" s="82">
        <v>1223.0</v>
      </c>
      <c r="L267" s="82" t="str">
        <f>IFERROR(__xludf.DUMMYFUNCTION("if(REGEXMATCH(E267, ""Write to Impress""), CONCATENATE(E267, K267), IF(REGEXMATCH(E267, ""Sharpen Your Sentences""), concatenate(E267, K267), concatenate(""Build Your Vocabulary"", K267)))"),"Build Your Vocabulary1223")</f>
        <v>Build Your Vocabulary1223</v>
      </c>
    </row>
    <row r="268" ht="75.0" customHeight="1">
      <c r="B268" s="92" t="s">
        <v>1299</v>
      </c>
      <c r="C268" s="90" t="s">
        <v>882</v>
      </c>
      <c r="D268" s="92"/>
      <c r="E268" s="93" t="s">
        <v>762</v>
      </c>
      <c r="I268" s="82" t="s">
        <v>1300</v>
      </c>
      <c r="J268" s="82"/>
      <c r="K268" s="82">
        <v>1224.0</v>
      </c>
      <c r="L268" s="82" t="str">
        <f>IFERROR(__xludf.DUMMYFUNCTION("if(REGEXMATCH(E268, ""Write to Impress""), CONCATENATE(E268, K268), IF(REGEXMATCH(E268, ""Sharpen Your Sentences""), concatenate(E268, K268), concatenate(""Build Your Vocabulary"", K268)))"),"Build Your Vocabulary1224")</f>
        <v>Build Your Vocabulary1224</v>
      </c>
    </row>
    <row r="269">
      <c r="A269" s="80"/>
      <c r="B269" s="80"/>
      <c r="C269" s="80" t="s">
        <v>743</v>
      </c>
      <c r="I269" s="80"/>
      <c r="J269" s="80"/>
      <c r="K269" s="80"/>
      <c r="L269" s="82" t="str">
        <f>IFERROR(__xludf.DUMMYFUNCTION("if(REGEXMATCH(E269, ""Write to Impress""), CONCATENATE(E269, K269), IF(REGEXMATCH(E269, ""Sharpen Your Sentences""), concatenate(E269, K269), concatenate(""Build Your Vocabulary"", K269)))"),"Build Your Vocabulary")</f>
        <v>Build Your Vocabulary</v>
      </c>
    </row>
    <row r="270">
      <c r="A270" s="83"/>
      <c r="B270" s="83"/>
      <c r="C270" s="83" t="s">
        <v>10</v>
      </c>
      <c r="D270" s="83" t="s">
        <v>715</v>
      </c>
      <c r="E270" s="83" t="s">
        <v>11</v>
      </c>
      <c r="F270" s="83" t="s">
        <v>716</v>
      </c>
      <c r="G270" s="83" t="s">
        <v>717</v>
      </c>
      <c r="H270" s="83" t="s">
        <v>718</v>
      </c>
      <c r="I270" s="83" t="s">
        <v>719</v>
      </c>
      <c r="J270" s="83"/>
      <c r="K270" s="83"/>
      <c r="L270" s="82" t="str">
        <f>IFERROR(__xludf.DUMMYFUNCTION("if(REGEXMATCH(E270, ""Write to Impress""), CONCATENATE(E270, K270), IF(REGEXMATCH(E270, ""Sharpen Your Sentences""), concatenate(E270, K270), concatenate(""Build Your Vocabulary"", K270)))"),"Build Your Vocabulary")</f>
        <v>Build Your Vocabulary</v>
      </c>
    </row>
    <row r="271" ht="48.0" customHeight="1">
      <c r="A271" s="84" t="s">
        <v>1301</v>
      </c>
      <c r="B271" s="92" t="s">
        <v>1302</v>
      </c>
      <c r="C271" s="96" t="s">
        <v>886</v>
      </c>
      <c r="D271" s="96"/>
      <c r="E271" s="93" t="s">
        <v>767</v>
      </c>
      <c r="F271" s="87" t="s">
        <v>1303</v>
      </c>
      <c r="G271" s="100" t="s">
        <v>1304</v>
      </c>
      <c r="H271" s="99" t="s">
        <v>1305</v>
      </c>
      <c r="I271" s="82" t="s">
        <v>1285</v>
      </c>
      <c r="J271" s="82"/>
      <c r="K271" s="82">
        <v>1231.0</v>
      </c>
      <c r="L271" s="82" t="str">
        <f>IFERROR(__xludf.DUMMYFUNCTION("if(REGEXMATCH(E271, ""Write to Impress""), CONCATENATE(E271, K271), IF(REGEXMATCH(E271, ""Sharpen Your Sentences""), concatenate(E271, K271), concatenate(""Build Your Vocabulary"", K271)))"),"Build Your Vocabulary1231")</f>
        <v>Build Your Vocabulary1231</v>
      </c>
    </row>
    <row r="272" ht="74.25" customHeight="1">
      <c r="B272" s="92" t="s">
        <v>1306</v>
      </c>
      <c r="C272" s="90" t="s">
        <v>985</v>
      </c>
      <c r="D272" s="90"/>
      <c r="E272" s="93" t="s">
        <v>1222</v>
      </c>
      <c r="I272" s="82" t="s">
        <v>1307</v>
      </c>
      <c r="J272" s="82"/>
      <c r="K272" s="82">
        <v>1232.0</v>
      </c>
      <c r="L272" s="82" t="str">
        <f>IFERROR(__xludf.DUMMYFUNCTION("if(REGEXMATCH(E272, ""Write to Impress""), CONCATENATE(E272, K272), IF(REGEXMATCH(E272, ""Sharpen Your Sentences""), concatenate(E272, K272), concatenate(""Build Your Vocabulary"", K272)))"),"Build Your Vocabulary: Map a Word
Best Practices: Vocabulary Timeline
Write to Impress: Understanding Figurative Language1232")</f>
        <v>Build Your Vocabulary: Map a Word
Best Practices: Vocabulary Timeline
Write to Impress: Understanding Figurative Language1232</v>
      </c>
    </row>
    <row r="273" ht="48.0" customHeight="1">
      <c r="B273" s="92" t="s">
        <v>1308</v>
      </c>
      <c r="C273" s="90" t="s">
        <v>987</v>
      </c>
      <c r="D273" s="90"/>
      <c r="E273" s="93" t="s">
        <v>777</v>
      </c>
      <c r="I273" s="82" t="s">
        <v>1295</v>
      </c>
      <c r="J273" s="82"/>
      <c r="K273" s="82">
        <v>1233.0</v>
      </c>
      <c r="L273" s="82" t="str">
        <f>IFERROR(__xludf.DUMMYFUNCTION("if(REGEXMATCH(E273, ""Write to Impress""), CONCATENATE(E273, K273), IF(REGEXMATCH(E273, ""Sharpen Your Sentences""), concatenate(E273, K273), concatenate(""Build Your Vocabulary"", K273)))"),"Build Your Vocabulary1233")</f>
        <v>Build Your Vocabulary1233</v>
      </c>
    </row>
    <row r="274" ht="48.0" customHeight="1">
      <c r="B274" s="92" t="s">
        <v>1309</v>
      </c>
      <c r="C274" s="90" t="s">
        <v>801</v>
      </c>
      <c r="D274" s="90"/>
      <c r="E274" s="93" t="s">
        <v>990</v>
      </c>
      <c r="I274" s="82" t="s">
        <v>1287</v>
      </c>
      <c r="J274" s="82"/>
      <c r="K274" s="82">
        <v>1234.0</v>
      </c>
      <c r="L274" s="82" t="str">
        <f>IFERROR(__xludf.DUMMYFUNCTION("if(REGEXMATCH(E274, ""Write to Impress""), CONCATENATE(E274, K274), IF(REGEXMATCH(E274, ""Sharpen Your Sentences""), concatenate(E274, K274), concatenate(""Build Your Vocabulary"", K274)))"),"Build Your Vocabulary1234")</f>
        <v>Build Your Vocabulary1234</v>
      </c>
    </row>
    <row r="275">
      <c r="A275" s="80"/>
      <c r="B275" s="80"/>
      <c r="C275" s="80" t="s">
        <v>743</v>
      </c>
      <c r="I275" s="80"/>
      <c r="J275" s="80"/>
      <c r="K275" s="80"/>
      <c r="L275" s="82" t="str">
        <f>IFERROR(__xludf.DUMMYFUNCTION("if(REGEXMATCH(E275, ""Write to Impress""), CONCATENATE(E275, K275), IF(REGEXMATCH(E275, ""Sharpen Your Sentences""), concatenate(E275, K275), concatenate(""Build Your Vocabulary"", K275)))"),"Build Your Vocabulary")</f>
        <v>Build Your Vocabulary</v>
      </c>
    </row>
    <row r="276">
      <c r="A276" s="83"/>
      <c r="B276" s="83"/>
      <c r="C276" s="83" t="s">
        <v>10</v>
      </c>
      <c r="D276" s="83" t="s">
        <v>715</v>
      </c>
      <c r="E276" s="83" t="s">
        <v>11</v>
      </c>
      <c r="F276" s="83" t="s">
        <v>716</v>
      </c>
      <c r="G276" s="83" t="s">
        <v>717</v>
      </c>
      <c r="H276" s="83" t="s">
        <v>718</v>
      </c>
      <c r="I276" s="83" t="s">
        <v>719</v>
      </c>
      <c r="J276" s="83"/>
      <c r="K276" s="83"/>
      <c r="L276" s="82" t="str">
        <f>IFERROR(__xludf.DUMMYFUNCTION("if(REGEXMATCH(E276, ""Write to Impress""), CONCATENATE(E276, K276), IF(REGEXMATCH(E276, ""Sharpen Your Sentences""), concatenate(E276, K276), concatenate(""Build Your Vocabulary"", K276)))"),"Build Your Vocabulary")</f>
        <v>Build Your Vocabulary</v>
      </c>
    </row>
    <row r="277" ht="78.75" customHeight="1">
      <c r="A277" s="84" t="s">
        <v>1310</v>
      </c>
      <c r="B277" s="92" t="s">
        <v>1311</v>
      </c>
      <c r="C277" s="96" t="s">
        <v>785</v>
      </c>
      <c r="D277" s="96" t="s">
        <v>1312</v>
      </c>
      <c r="E277" s="93" t="s">
        <v>1076</v>
      </c>
      <c r="F277" s="87" t="s">
        <v>1313</v>
      </c>
      <c r="G277" s="82" t="s">
        <v>1314</v>
      </c>
      <c r="H277" s="82" t="s">
        <v>1315</v>
      </c>
      <c r="I277" s="82" t="s">
        <v>1285</v>
      </c>
      <c r="J277" s="82"/>
      <c r="K277" s="82">
        <v>1241.0</v>
      </c>
      <c r="L277" s="82" t="str">
        <f>IFERROR(__xludf.DUMMYFUNCTION("if(REGEXMATCH(E277, ""Write to Impress""), CONCATENATE(E277, K277), IF(REGEXMATCH(E277, ""Sharpen Your Sentences""), concatenate(E277, K277), concatenate(""Build Your Vocabulary"", K277)))"),"Build Your Vocabulary: Concept Map
Best Practices: Root Word Challenge
Write to Impress: Understand Word Changes1241")</f>
        <v>Build Your Vocabulary: Concept Map
Best Practices: Root Word Challenge
Write to Impress: Understand Word Changes1241</v>
      </c>
    </row>
    <row r="278">
      <c r="B278" s="92" t="s">
        <v>1316</v>
      </c>
      <c r="C278" s="90" t="s">
        <v>793</v>
      </c>
      <c r="D278" s="90" t="s">
        <v>794</v>
      </c>
      <c r="E278" s="93" t="s">
        <v>795</v>
      </c>
      <c r="I278" s="82" t="s">
        <v>1307</v>
      </c>
      <c r="J278" s="82"/>
      <c r="K278" s="82">
        <v>1242.0</v>
      </c>
      <c r="L278" s="82" t="str">
        <f>IFERROR(__xludf.DUMMYFUNCTION("if(REGEXMATCH(E278, ""Write to Impress""), CONCATENATE(E278, K278), IF(REGEXMATCH(E278, ""Sharpen Your Sentences""), concatenate(E278, K278), concatenate(""Build Your Vocabulary"", K278)))"),"Build Your Vocabulary: Word Study
Best Practices: Vocabulary Role Playing
Write to Impress: Consult Reference Materials1242")</f>
        <v>Build Your Vocabulary: Word Study
Best Practices: Vocabulary Role Playing
Write to Impress: Consult Reference Materials1242</v>
      </c>
    </row>
    <row r="279" ht="63.0" customHeight="1">
      <c r="B279" s="92" t="s">
        <v>1317</v>
      </c>
      <c r="C279" s="90" t="s">
        <v>797</v>
      </c>
      <c r="D279" s="90"/>
      <c r="E279" s="93" t="s">
        <v>1318</v>
      </c>
      <c r="I279" s="82" t="s">
        <v>1197</v>
      </c>
      <c r="J279" s="82"/>
      <c r="K279" s="82">
        <v>1243.0</v>
      </c>
      <c r="L279" s="82" t="str">
        <f>IFERROR(__xludf.DUMMYFUNCTION("if(REGEXMATCH(E279, ""Write to Impress""), CONCATENATE(E279, K279), IF(REGEXMATCH(E279, ""Sharpen Your Sentences""), concatenate(E279, K279), concatenate(""Build Your Vocabulary"", K279)))"),"Build Your Vocabulary1243")</f>
        <v>Build Your Vocabulary1243</v>
      </c>
    </row>
    <row r="280" ht="56.25" customHeight="1">
      <c r="B280" s="92" t="s">
        <v>1319</v>
      </c>
      <c r="C280" s="90" t="s">
        <v>1320</v>
      </c>
      <c r="D280" s="90"/>
      <c r="E280" s="93" t="s">
        <v>802</v>
      </c>
      <c r="I280" s="82" t="s">
        <v>1321</v>
      </c>
      <c r="J280" s="82"/>
      <c r="K280" s="82">
        <v>1244.0</v>
      </c>
      <c r="L280" s="82" t="str">
        <f>IFERROR(__xludf.DUMMYFUNCTION("if(REGEXMATCH(E280, ""Write to Impress""), CONCATENATE(E280, K280), IF(REGEXMATCH(E280, ""Sharpen Your Sentences""), concatenate(E280, K280), concatenate(""Build Your Vocabulary"", K280)))"),"Build Your Vocabulary1244")</f>
        <v>Build Your Vocabulary1244</v>
      </c>
    </row>
    <row r="281">
      <c r="A281" s="80"/>
      <c r="B281" s="80"/>
      <c r="C281" s="80" t="s">
        <v>743</v>
      </c>
      <c r="I281" s="80"/>
      <c r="J281" s="80"/>
      <c r="K281" s="80"/>
      <c r="L281" s="82" t="str">
        <f>IFERROR(__xludf.DUMMYFUNCTION("if(REGEXMATCH(E281, ""Write to Impress""), CONCATENATE(E281, K281), IF(REGEXMATCH(E281, ""Sharpen Your Sentences""), concatenate(E281, K281), concatenate(""Build Your Vocabulary"", K281)))"),"Build Your Vocabulary")</f>
        <v>Build Your Vocabulary</v>
      </c>
    </row>
    <row r="282">
      <c r="A282" s="83"/>
      <c r="B282" s="83"/>
      <c r="C282" s="83" t="s">
        <v>10</v>
      </c>
      <c r="D282" s="83" t="s">
        <v>715</v>
      </c>
      <c r="E282" s="83" t="s">
        <v>11</v>
      </c>
      <c r="F282" s="83" t="s">
        <v>716</v>
      </c>
      <c r="G282" s="83" t="s">
        <v>717</v>
      </c>
      <c r="H282" s="83" t="s">
        <v>718</v>
      </c>
      <c r="I282" s="83" t="s">
        <v>719</v>
      </c>
      <c r="J282" s="83"/>
      <c r="K282" s="83"/>
      <c r="L282" s="82" t="str">
        <f>IFERROR(__xludf.DUMMYFUNCTION("if(REGEXMATCH(E282, ""Write to Impress""), CONCATENATE(E282, K282), IF(REGEXMATCH(E282, ""Sharpen Your Sentences""), concatenate(E282, K282), concatenate(""Build Your Vocabulary"", K282)))"),"Build Your Vocabulary")</f>
        <v>Build Your Vocabulary</v>
      </c>
    </row>
    <row r="283" ht="68.25" customHeight="1">
      <c r="A283" s="84" t="s">
        <v>1322</v>
      </c>
      <c r="B283" s="92" t="s">
        <v>1323</v>
      </c>
      <c r="C283" s="96" t="s">
        <v>805</v>
      </c>
      <c r="D283" s="96" t="s">
        <v>821</v>
      </c>
      <c r="E283" s="93" t="s">
        <v>913</v>
      </c>
      <c r="F283" s="87" t="s">
        <v>1324</v>
      </c>
      <c r="G283" s="82" t="s">
        <v>1325</v>
      </c>
      <c r="H283" s="82" t="s">
        <v>1326</v>
      </c>
      <c r="I283" s="82" t="s">
        <v>1285</v>
      </c>
      <c r="J283" s="82"/>
      <c r="K283" s="82">
        <v>1251.0</v>
      </c>
      <c r="L283" s="82" t="str">
        <f>IFERROR(__xludf.DUMMYFUNCTION("if(REGEXMATCH(E283, ""Write to Impress""), CONCATENATE(E283, K283), IF(REGEXMATCH(E283, ""Sharpen Your Sentences""), concatenate(E283, K283), concatenate(""Build Your Vocabulary"", K283)))"),"Build Your Vocabulary: Map a Word
Best Practices: Contextual Reading
Write to Impress: Use Context Clues for Meaning1251")</f>
        <v>Build Your Vocabulary: Map a Word
Best Practices: Contextual Reading
Write to Impress: Use Context Clues for Meaning1251</v>
      </c>
    </row>
    <row r="284" ht="51.0" customHeight="1">
      <c r="B284" s="92" t="s">
        <v>1327</v>
      </c>
      <c r="C284" s="90" t="s">
        <v>1010</v>
      </c>
      <c r="D284" s="90"/>
      <c r="E284" s="93" t="s">
        <v>1170</v>
      </c>
      <c r="I284" s="82" t="s">
        <v>1328</v>
      </c>
      <c r="J284" s="82"/>
      <c r="K284" s="82">
        <v>1252.0</v>
      </c>
      <c r="L284" s="82" t="str">
        <f>IFERROR(__xludf.DUMMYFUNCTION("if(REGEXMATCH(E284, ""Write to Impress""), CONCATENATE(E284, K284), IF(REGEXMATCH(E284, ""Sharpen Your Sentences""), concatenate(E284, K284), concatenate(""Build Your Vocabulary"", K284)))"),"Build Your Vocabulary1252")</f>
        <v>Build Your Vocabulary1252</v>
      </c>
    </row>
    <row r="285" ht="43.5" customHeight="1">
      <c r="B285" s="92" t="s">
        <v>1329</v>
      </c>
      <c r="C285" s="90" t="s">
        <v>816</v>
      </c>
      <c r="D285" s="90"/>
      <c r="E285" s="93" t="s">
        <v>1330</v>
      </c>
      <c r="I285" s="82" t="s">
        <v>1331</v>
      </c>
      <c r="J285" s="82"/>
      <c r="K285" s="82">
        <v>1253.0</v>
      </c>
      <c r="L285" s="82" t="str">
        <f>IFERROR(__xludf.DUMMYFUNCTION("if(REGEXMATCH(E285, ""Write to Impress""), CONCATENATE(E285, K285), IF(REGEXMATCH(E285, ""Sharpen Your Sentences""), concatenate(E285, K285), concatenate(""Build Your Vocabulary"", K285)))"),"Build Your Vocabulary1253")</f>
        <v>Build Your Vocabulary1253</v>
      </c>
    </row>
    <row r="286">
      <c r="A286" s="80"/>
      <c r="B286" s="80"/>
      <c r="C286" s="80" t="s">
        <v>743</v>
      </c>
      <c r="I286" s="80"/>
      <c r="J286" s="80"/>
      <c r="K286" s="80"/>
      <c r="L286" s="82" t="str">
        <f>IFERROR(__xludf.DUMMYFUNCTION("if(REGEXMATCH(E286, ""Write to Impress""), CONCATENATE(E286, K286), IF(REGEXMATCH(E286, ""Sharpen Your Sentences""), concatenate(E286, K286), concatenate(""Build Your Vocabulary"", K286)))"),"Build Your Vocabulary")</f>
        <v>Build Your Vocabulary</v>
      </c>
    </row>
    <row r="287">
      <c r="A287" s="83"/>
      <c r="B287" s="83"/>
      <c r="C287" s="83" t="s">
        <v>10</v>
      </c>
      <c r="D287" s="83" t="s">
        <v>715</v>
      </c>
      <c r="E287" s="83" t="s">
        <v>11</v>
      </c>
      <c r="F287" s="83" t="s">
        <v>716</v>
      </c>
      <c r="G287" s="83" t="s">
        <v>717</v>
      </c>
      <c r="H287" s="83" t="s">
        <v>718</v>
      </c>
      <c r="I287" s="83" t="s">
        <v>719</v>
      </c>
      <c r="J287" s="83"/>
      <c r="K287" s="83"/>
      <c r="L287" s="82" t="str">
        <f>IFERROR(__xludf.DUMMYFUNCTION("if(REGEXMATCH(E287, ""Write to Impress""), CONCATENATE(E287, K287), IF(REGEXMATCH(E287, ""Sharpen Your Sentences""), concatenate(E287, K287), concatenate(""Build Your Vocabulary"", K287)))"),"Build Your Vocabulary")</f>
        <v>Build Your Vocabulary</v>
      </c>
    </row>
    <row r="288" ht="67.5" customHeight="1">
      <c r="A288" s="84" t="s">
        <v>1332</v>
      </c>
      <c r="B288" s="92" t="s">
        <v>1333</v>
      </c>
      <c r="C288" s="96" t="s">
        <v>820</v>
      </c>
      <c r="D288" s="96"/>
      <c r="E288" s="93" t="s">
        <v>1022</v>
      </c>
      <c r="F288" s="87" t="s">
        <v>1334</v>
      </c>
      <c r="G288" s="88" t="s">
        <v>1335</v>
      </c>
      <c r="H288" s="88" t="s">
        <v>1336</v>
      </c>
      <c r="I288" s="82" t="s">
        <v>1258</v>
      </c>
      <c r="J288" s="82"/>
      <c r="K288" s="82">
        <v>1261.0</v>
      </c>
      <c r="L288" s="82" t="str">
        <f>IFERROR(__xludf.DUMMYFUNCTION("if(REGEXMATCH(E288, ""Write to Impress""), CONCATENATE(E288, K288), IF(REGEXMATCH(E288, ""Sharpen Your Sentences""), concatenate(E288, K288), concatenate(""Build Your Vocabulary"", K288)))"),"Build Your Vocabulary1261")</f>
        <v>Build Your Vocabulary1261</v>
      </c>
    </row>
    <row r="289" ht="73.5" customHeight="1">
      <c r="B289" s="92" t="s">
        <v>1337</v>
      </c>
      <c r="C289" s="90" t="s">
        <v>828</v>
      </c>
      <c r="D289" s="90" t="s">
        <v>813</v>
      </c>
      <c r="E289" s="93" t="s">
        <v>1260</v>
      </c>
      <c r="I289" s="82" t="s">
        <v>1261</v>
      </c>
      <c r="J289" s="82"/>
      <c r="K289" s="82">
        <v>1262.0</v>
      </c>
      <c r="L289" s="82" t="str">
        <f>IFERROR(__xludf.DUMMYFUNCTION("if(REGEXMATCH(E289, ""Write to Impress""), CONCATENATE(E289, K289), IF(REGEXMATCH(E289, ""Sharpen Your Sentences""), concatenate(E289, K289), concatenate(""Build Your Vocabulary"", K289)))"),"Build Your Vocabulary: Map a Word
Best Practices: Shades of Meaning
Write to Impress: Understand Word Nuances1262")</f>
        <v>Build Your Vocabulary: Map a Word
Best Practices: Shades of Meaning
Write to Impress: Understand Word Nuances1262</v>
      </c>
    </row>
    <row r="290" ht="61.5" customHeight="1">
      <c r="B290" s="92" t="s">
        <v>1338</v>
      </c>
      <c r="C290" s="90" t="s">
        <v>832</v>
      </c>
      <c r="D290" s="90"/>
      <c r="E290" s="93" t="s">
        <v>1339</v>
      </c>
      <c r="I290" s="82" t="s">
        <v>1340</v>
      </c>
      <c r="J290" s="82"/>
      <c r="K290" s="82">
        <v>1263.0</v>
      </c>
      <c r="L290" s="82" t="str">
        <f>IFERROR(__xludf.DUMMYFUNCTION("if(REGEXMATCH(E290, ""Write to Impress""), CONCATENATE(E290, K290), IF(REGEXMATCH(E290, ""Sharpen Your Sentences""), concatenate(E290, K290), concatenate(""Build Your Vocabulary"", K290)))"),"Build Your Vocabulary1263")</f>
        <v>Build Your Vocabulary1263</v>
      </c>
    </row>
    <row r="291" ht="78.0" customHeight="1">
      <c r="B291" s="92" t="s">
        <v>1341</v>
      </c>
      <c r="C291" s="90" t="s">
        <v>801</v>
      </c>
      <c r="D291" s="90"/>
      <c r="E291" s="93" t="s">
        <v>837</v>
      </c>
      <c r="I291" s="82" t="s">
        <v>1342</v>
      </c>
      <c r="J291" s="82"/>
      <c r="K291" s="82">
        <v>1264.0</v>
      </c>
      <c r="L291" s="82" t="str">
        <f>IFERROR(__xludf.DUMMYFUNCTION("if(REGEXMATCH(E291, ""Write to Impress""), CONCATENATE(E291, K291), IF(REGEXMATCH(E291, ""Sharpen Your Sentences""), concatenate(E291, K291), concatenate(""Build Your Vocabulary"", K291)))"),"Build Your Vocabulary1264")</f>
        <v>Build Your Vocabulary1264</v>
      </c>
    </row>
    <row r="292">
      <c r="A292" s="80"/>
      <c r="B292" s="80"/>
      <c r="C292" s="80" t="s">
        <v>743</v>
      </c>
      <c r="I292" s="80"/>
      <c r="J292" s="80"/>
      <c r="K292" s="80"/>
      <c r="L292" s="82" t="str">
        <f>IFERROR(__xludf.DUMMYFUNCTION("if(REGEXMATCH(E292, ""Write to Impress""), CONCATENATE(E292, K292), IF(REGEXMATCH(E292, ""Sharpen Your Sentences""), concatenate(E292, K292), concatenate(""Build Your Vocabulary"", K292)))"),"Build Your Vocabulary")</f>
        <v>Build Your Vocabulary</v>
      </c>
    </row>
    <row r="293">
      <c r="A293" s="83"/>
      <c r="B293" s="83"/>
      <c r="C293" s="83" t="s">
        <v>10</v>
      </c>
      <c r="D293" s="83" t="s">
        <v>715</v>
      </c>
      <c r="E293" s="83" t="s">
        <v>11</v>
      </c>
      <c r="F293" s="83" t="s">
        <v>716</v>
      </c>
      <c r="G293" s="83" t="s">
        <v>717</v>
      </c>
      <c r="H293" s="83" t="s">
        <v>718</v>
      </c>
      <c r="I293" s="83" t="s">
        <v>719</v>
      </c>
      <c r="J293" s="83"/>
      <c r="K293" s="83"/>
      <c r="L293" s="82" t="str">
        <f>IFERROR(__xludf.DUMMYFUNCTION("if(REGEXMATCH(E293, ""Write to Impress""), CONCATENATE(E293, K293), IF(REGEXMATCH(E293, ""Sharpen Your Sentences""), concatenate(E293, K293), concatenate(""Build Your Vocabulary"", K293)))"),"Build Your Vocabulary")</f>
        <v>Build Your Vocabulary</v>
      </c>
    </row>
    <row r="294" ht="48.0" customHeight="1">
      <c r="A294" s="84" t="s">
        <v>1343</v>
      </c>
      <c r="B294" s="92" t="s">
        <v>1344</v>
      </c>
      <c r="C294" s="96" t="s">
        <v>840</v>
      </c>
      <c r="D294" s="96" t="s">
        <v>851</v>
      </c>
      <c r="E294" s="93" t="s">
        <v>947</v>
      </c>
      <c r="F294" s="87" t="s">
        <v>1345</v>
      </c>
      <c r="G294" s="82" t="s">
        <v>1346</v>
      </c>
      <c r="H294" s="82" t="s">
        <v>1347</v>
      </c>
      <c r="I294" s="82" t="s">
        <v>1307</v>
      </c>
      <c r="J294" s="82"/>
      <c r="K294" s="82">
        <v>1271.0</v>
      </c>
      <c r="L294" s="82" t="str">
        <f>IFERROR(__xludf.DUMMYFUNCTION("if(REGEXMATCH(E294, ""Write to Impress""), CONCATENATE(E294, K294), IF(REGEXMATCH(E294, ""Sharpen Your Sentences""), concatenate(E294, K294), concatenate(""Build Your Vocabulary"", K294)))"),"Build Your Vocabulary: Map a Word
Best Practices: Using Conjunctions to Compare and Contrast
Write to Impress: Build Academic Vocabulary1271")</f>
        <v>Build Your Vocabulary: Map a Word
Best Practices: Using Conjunctions to Compare and Contrast
Write to Impress: Build Academic Vocabulary1271</v>
      </c>
    </row>
    <row r="295" ht="32.25" customHeight="1">
      <c r="B295" s="92" t="s">
        <v>1348</v>
      </c>
      <c r="C295" s="96" t="s">
        <v>846</v>
      </c>
      <c r="D295" s="90"/>
      <c r="E295" s="93" t="s">
        <v>847</v>
      </c>
      <c r="I295" s="82" t="s">
        <v>1285</v>
      </c>
      <c r="J295" s="82"/>
      <c r="K295" s="82">
        <v>1272.0</v>
      </c>
      <c r="L295" s="82" t="str">
        <f>IFERROR(__xludf.DUMMYFUNCTION("if(REGEXMATCH(E295, ""Write to Impress""), CONCATENATE(E295, K295), IF(REGEXMATCH(E295, ""Sharpen Your Sentences""), concatenate(E295, K295), concatenate(""Build Your Vocabulary"", K295)))"),"Build Your Vocabulary1272")</f>
        <v>Build Your Vocabulary1272</v>
      </c>
    </row>
    <row r="296" ht="45.0" customHeight="1">
      <c r="B296" s="92" t="s">
        <v>1349</v>
      </c>
      <c r="C296" s="96" t="s">
        <v>1350</v>
      </c>
      <c r="D296" s="90"/>
      <c r="E296" s="93" t="s">
        <v>734</v>
      </c>
      <c r="I296" s="82" t="s">
        <v>1275</v>
      </c>
      <c r="J296" s="82"/>
      <c r="K296" s="82">
        <v>1273.0</v>
      </c>
      <c r="L296" s="82" t="str">
        <f>IFERROR(__xludf.DUMMYFUNCTION("if(REGEXMATCH(E296, ""Write to Impress""), CONCATENATE(E296, K296), IF(REGEXMATCH(E296, ""Sharpen Your Sentences""), concatenate(E296, K296), concatenate(""Build Your Vocabulary"", K296)))"),"Build Your Vocabulary1273")</f>
        <v>Build Your Vocabulary1273</v>
      </c>
    </row>
    <row r="297" ht="46.5" customHeight="1">
      <c r="B297" s="92" t="s">
        <v>1351</v>
      </c>
      <c r="C297" s="90" t="s">
        <v>1277</v>
      </c>
      <c r="D297" s="90"/>
      <c r="E297" s="93" t="s">
        <v>855</v>
      </c>
      <c r="I297" s="82" t="s">
        <v>1287</v>
      </c>
      <c r="J297" s="82"/>
      <c r="K297" s="82">
        <v>1274.0</v>
      </c>
      <c r="L297" s="82" t="str">
        <f>IFERROR(__xludf.DUMMYFUNCTION("if(REGEXMATCH(E297, ""Write to Impress""), CONCATENATE(E297, K297), IF(REGEXMATCH(E297, ""Sharpen Your Sentences""), concatenate(E297, K297), concatenate(""Build Your Vocabulary"", K297)))"),"Build Your Vocabulary1274")</f>
        <v>Build Your Vocabulary1274</v>
      </c>
    </row>
    <row r="298" hidden="1">
      <c r="A298" s="101"/>
      <c r="B298" s="102" t="s">
        <v>1349</v>
      </c>
      <c r="C298" s="101"/>
      <c r="D298" s="101"/>
      <c r="E298" s="101"/>
      <c r="F298" s="101"/>
      <c r="G298" s="101"/>
      <c r="H298" s="101"/>
      <c r="I298" s="101"/>
      <c r="J298" s="101"/>
      <c r="K298" s="101"/>
      <c r="L298" s="82"/>
    </row>
    <row r="299" hidden="1">
      <c r="A299" s="101"/>
      <c r="B299" s="102" t="s">
        <v>1351</v>
      </c>
      <c r="C299" s="101"/>
      <c r="D299" s="101"/>
      <c r="E299" s="101"/>
      <c r="F299" s="101"/>
      <c r="G299" s="101"/>
      <c r="H299" s="101"/>
      <c r="I299" s="101"/>
      <c r="J299" s="101"/>
      <c r="K299" s="101"/>
      <c r="L299" s="82"/>
    </row>
    <row r="300" hidden="1">
      <c r="A300" s="101"/>
      <c r="B300" s="103"/>
      <c r="C300" s="101"/>
      <c r="D300" s="101"/>
      <c r="E300" s="101"/>
      <c r="F300" s="101"/>
      <c r="G300" s="101"/>
      <c r="H300" s="101"/>
      <c r="I300" s="101"/>
      <c r="J300" s="101"/>
      <c r="K300" s="101"/>
      <c r="L300" s="82"/>
    </row>
    <row r="301" hidden="1">
      <c r="A301" s="101"/>
      <c r="B301" s="103"/>
      <c r="C301" s="101"/>
      <c r="D301" s="101"/>
      <c r="E301" s="101"/>
      <c r="F301" s="101"/>
      <c r="G301" s="101"/>
      <c r="H301" s="101"/>
      <c r="I301" s="101"/>
      <c r="J301" s="101"/>
      <c r="K301" s="101"/>
      <c r="L301" s="82"/>
    </row>
    <row r="302" hidden="1">
      <c r="A302" s="101"/>
      <c r="B302" s="103"/>
      <c r="C302" s="101"/>
      <c r="D302" s="101"/>
      <c r="E302" s="101"/>
      <c r="F302" s="101"/>
      <c r="G302" s="101"/>
      <c r="H302" s="101"/>
      <c r="I302" s="101"/>
      <c r="J302" s="101"/>
      <c r="K302" s="101"/>
      <c r="L302" s="82"/>
    </row>
    <row r="303" hidden="1">
      <c r="A303" s="101"/>
      <c r="B303" s="103"/>
      <c r="C303" s="101"/>
      <c r="D303" s="101"/>
      <c r="E303" s="101"/>
      <c r="F303" s="101"/>
      <c r="G303" s="101"/>
      <c r="H303" s="101"/>
      <c r="I303" s="101"/>
      <c r="J303" s="101"/>
      <c r="K303" s="101"/>
      <c r="L303" s="82"/>
    </row>
    <row r="304" hidden="1">
      <c r="A304" s="101"/>
      <c r="B304" s="103"/>
      <c r="C304" s="101"/>
      <c r="D304" s="101"/>
      <c r="E304" s="101"/>
      <c r="F304" s="101"/>
      <c r="G304" s="101"/>
      <c r="H304" s="101"/>
      <c r="I304" s="101"/>
      <c r="J304" s="101"/>
      <c r="K304" s="101"/>
      <c r="L304" s="82"/>
    </row>
    <row r="305" hidden="1">
      <c r="A305" s="101"/>
      <c r="B305" s="103"/>
      <c r="C305" s="101"/>
      <c r="D305" s="101"/>
      <c r="E305" s="101"/>
      <c r="F305" s="101"/>
      <c r="G305" s="101"/>
      <c r="H305" s="101"/>
      <c r="I305" s="101"/>
      <c r="J305" s="101"/>
      <c r="K305" s="101"/>
      <c r="L305" s="82"/>
    </row>
    <row r="306" hidden="1">
      <c r="A306" s="101"/>
      <c r="B306" s="103"/>
      <c r="C306" s="101"/>
      <c r="D306" s="101"/>
      <c r="E306" s="101"/>
      <c r="F306" s="101"/>
      <c r="G306" s="101"/>
      <c r="H306" s="101"/>
      <c r="I306" s="101"/>
      <c r="J306" s="101"/>
      <c r="K306" s="101"/>
      <c r="L306" s="82"/>
    </row>
    <row r="307" hidden="1">
      <c r="A307" s="101"/>
      <c r="B307" s="103"/>
      <c r="C307" s="101"/>
      <c r="D307" s="101"/>
      <c r="E307" s="101"/>
      <c r="F307" s="101"/>
      <c r="G307" s="101"/>
      <c r="H307" s="101"/>
      <c r="I307" s="101"/>
      <c r="J307" s="101"/>
      <c r="K307" s="101"/>
      <c r="L307" s="82"/>
    </row>
    <row r="308" hidden="1">
      <c r="A308" s="101"/>
      <c r="B308" s="103"/>
      <c r="C308" s="101"/>
      <c r="D308" s="101"/>
      <c r="E308" s="101"/>
      <c r="F308" s="101"/>
      <c r="G308" s="101"/>
      <c r="H308" s="101"/>
      <c r="I308" s="101"/>
      <c r="J308" s="101"/>
      <c r="K308" s="101"/>
      <c r="L308" s="82"/>
    </row>
    <row r="309" hidden="1">
      <c r="A309" s="101"/>
      <c r="B309" s="103"/>
      <c r="C309" s="101"/>
      <c r="D309" s="101"/>
      <c r="E309" s="101"/>
      <c r="F309" s="101"/>
      <c r="G309" s="101"/>
      <c r="H309" s="101"/>
      <c r="I309" s="101"/>
      <c r="J309" s="101"/>
      <c r="K309" s="101"/>
      <c r="L309" s="82"/>
    </row>
    <row r="310" hidden="1">
      <c r="A310" s="101"/>
      <c r="B310" s="103"/>
      <c r="C310" s="101"/>
      <c r="D310" s="101"/>
      <c r="E310" s="101"/>
      <c r="F310" s="101"/>
      <c r="G310" s="101"/>
      <c r="H310" s="101"/>
      <c r="I310" s="101"/>
      <c r="J310" s="101"/>
      <c r="K310" s="101"/>
      <c r="L310" s="82"/>
    </row>
    <row r="311" hidden="1">
      <c r="A311" s="101"/>
      <c r="B311" s="103"/>
      <c r="C311" s="101"/>
      <c r="D311" s="101"/>
      <c r="E311" s="101"/>
      <c r="F311" s="101"/>
      <c r="G311" s="101"/>
      <c r="H311" s="101"/>
      <c r="I311" s="101"/>
      <c r="J311" s="101"/>
      <c r="K311" s="101"/>
      <c r="L311" s="82"/>
    </row>
    <row r="312" hidden="1">
      <c r="A312" s="101"/>
      <c r="B312" s="103"/>
      <c r="C312" s="101"/>
      <c r="D312" s="101"/>
      <c r="E312" s="101"/>
      <c r="F312" s="101"/>
      <c r="G312" s="101"/>
      <c r="H312" s="101"/>
      <c r="I312" s="101"/>
      <c r="J312" s="101"/>
      <c r="K312" s="101"/>
      <c r="L312" s="82"/>
    </row>
    <row r="313" hidden="1">
      <c r="A313" s="101"/>
      <c r="B313" s="103"/>
      <c r="C313" s="101"/>
      <c r="D313" s="101"/>
      <c r="E313" s="101"/>
      <c r="F313" s="101"/>
      <c r="G313" s="101"/>
      <c r="H313" s="101"/>
      <c r="I313" s="101"/>
      <c r="J313" s="101"/>
      <c r="K313" s="101"/>
      <c r="L313" s="82"/>
    </row>
    <row r="314" hidden="1">
      <c r="A314" s="101"/>
      <c r="B314" s="103"/>
      <c r="C314" s="101"/>
      <c r="D314" s="101"/>
      <c r="E314" s="101"/>
      <c r="F314" s="101"/>
      <c r="G314" s="101"/>
      <c r="H314" s="101"/>
      <c r="I314" s="101"/>
      <c r="J314" s="101"/>
      <c r="K314" s="101"/>
      <c r="L314" s="82"/>
    </row>
    <row r="315" hidden="1">
      <c r="A315" s="101"/>
      <c r="B315" s="103"/>
      <c r="C315" s="101"/>
      <c r="D315" s="101"/>
      <c r="E315" s="101"/>
      <c r="F315" s="101"/>
      <c r="G315" s="101"/>
      <c r="H315" s="101"/>
      <c r="I315" s="101"/>
      <c r="J315" s="101"/>
      <c r="K315" s="101"/>
      <c r="L315" s="82"/>
    </row>
    <row r="316" hidden="1">
      <c r="A316" s="101"/>
      <c r="B316" s="103"/>
      <c r="C316" s="101"/>
      <c r="D316" s="101"/>
      <c r="E316" s="101"/>
      <c r="F316" s="101"/>
      <c r="G316" s="101"/>
      <c r="H316" s="101"/>
      <c r="I316" s="101"/>
      <c r="J316" s="101"/>
      <c r="K316" s="101"/>
      <c r="L316" s="82"/>
    </row>
    <row r="317" hidden="1">
      <c r="A317" s="101"/>
      <c r="B317" s="103"/>
      <c r="C317" s="101"/>
      <c r="D317" s="101"/>
      <c r="E317" s="101"/>
      <c r="F317" s="101"/>
      <c r="G317" s="101"/>
      <c r="H317" s="101"/>
      <c r="I317" s="101"/>
      <c r="J317" s="101"/>
      <c r="K317" s="101"/>
      <c r="L317" s="82"/>
    </row>
    <row r="318" hidden="1">
      <c r="A318" s="101"/>
      <c r="B318" s="103"/>
      <c r="C318" s="101"/>
      <c r="D318" s="101"/>
      <c r="E318" s="101"/>
      <c r="F318" s="101"/>
      <c r="G318" s="101"/>
      <c r="H318" s="101"/>
      <c r="I318" s="101"/>
      <c r="J318" s="101"/>
      <c r="K318" s="101"/>
      <c r="L318" s="82"/>
    </row>
    <row r="319" hidden="1">
      <c r="A319" s="101"/>
      <c r="B319" s="103"/>
      <c r="C319" s="101"/>
      <c r="D319" s="101"/>
      <c r="E319" s="101"/>
      <c r="F319" s="101"/>
      <c r="G319" s="101"/>
      <c r="H319" s="101"/>
      <c r="I319" s="101"/>
      <c r="J319" s="101"/>
      <c r="K319" s="101"/>
      <c r="L319" s="82"/>
    </row>
    <row r="320" hidden="1">
      <c r="A320" s="101"/>
      <c r="B320" s="103"/>
      <c r="C320" s="101"/>
      <c r="D320" s="101"/>
      <c r="E320" s="101"/>
      <c r="F320" s="101"/>
      <c r="G320" s="101"/>
      <c r="H320" s="101"/>
      <c r="I320" s="101"/>
      <c r="J320" s="101"/>
      <c r="K320" s="101"/>
      <c r="L320" s="82"/>
    </row>
    <row r="321" hidden="1">
      <c r="A321" s="101"/>
      <c r="B321" s="103"/>
      <c r="C321" s="101"/>
      <c r="D321" s="101"/>
      <c r="E321" s="101"/>
      <c r="F321" s="101"/>
      <c r="G321" s="101"/>
      <c r="H321" s="101"/>
      <c r="I321" s="101"/>
      <c r="J321" s="101"/>
      <c r="K321" s="101"/>
      <c r="L321" s="82"/>
    </row>
    <row r="322" hidden="1">
      <c r="A322" s="101"/>
      <c r="B322" s="103"/>
      <c r="C322" s="101"/>
      <c r="D322" s="101"/>
      <c r="E322" s="101"/>
      <c r="F322" s="101"/>
      <c r="G322" s="101"/>
      <c r="H322" s="101"/>
      <c r="I322" s="101"/>
      <c r="J322" s="101"/>
      <c r="K322" s="101"/>
      <c r="L322" s="82"/>
    </row>
    <row r="323" hidden="1">
      <c r="A323" s="101"/>
      <c r="B323" s="103"/>
      <c r="C323" s="101"/>
      <c r="D323" s="101"/>
      <c r="E323" s="101"/>
      <c r="F323" s="101"/>
      <c r="G323" s="101"/>
      <c r="H323" s="101"/>
      <c r="I323" s="101"/>
      <c r="J323" s="101"/>
      <c r="K323" s="101"/>
      <c r="L323" s="82"/>
    </row>
    <row r="324" hidden="1">
      <c r="A324" s="101"/>
      <c r="B324" s="103"/>
      <c r="C324" s="101"/>
      <c r="D324" s="101"/>
      <c r="E324" s="101"/>
      <c r="F324" s="101"/>
      <c r="G324" s="101"/>
      <c r="H324" s="101"/>
      <c r="I324" s="101"/>
      <c r="J324" s="101"/>
      <c r="K324" s="101"/>
      <c r="L324" s="82"/>
    </row>
    <row r="325" hidden="1">
      <c r="A325" s="101"/>
      <c r="B325" s="103"/>
      <c r="C325" s="101"/>
      <c r="D325" s="101"/>
      <c r="E325" s="101"/>
      <c r="F325" s="101"/>
      <c r="G325" s="101"/>
      <c r="H325" s="101"/>
      <c r="I325" s="101"/>
      <c r="J325" s="101"/>
      <c r="K325" s="101"/>
      <c r="L325" s="82"/>
    </row>
    <row r="326" hidden="1">
      <c r="A326" s="101"/>
      <c r="B326" s="103"/>
      <c r="C326" s="101"/>
      <c r="D326" s="101"/>
      <c r="E326" s="101"/>
      <c r="F326" s="101"/>
      <c r="G326" s="101"/>
      <c r="H326" s="101"/>
      <c r="I326" s="101"/>
      <c r="J326" s="101"/>
      <c r="K326" s="101"/>
      <c r="L326" s="82"/>
    </row>
    <row r="327" hidden="1">
      <c r="A327" s="101"/>
      <c r="B327" s="103"/>
      <c r="C327" s="101"/>
      <c r="D327" s="101"/>
      <c r="E327" s="101"/>
      <c r="F327" s="101"/>
      <c r="G327" s="101"/>
      <c r="H327" s="101"/>
      <c r="I327" s="101"/>
      <c r="J327" s="101"/>
      <c r="K327" s="101"/>
      <c r="L327" s="82"/>
    </row>
    <row r="328" hidden="1">
      <c r="A328" s="101"/>
      <c r="B328" s="103"/>
      <c r="C328" s="101"/>
      <c r="D328" s="101"/>
      <c r="E328" s="101"/>
      <c r="F328" s="101"/>
      <c r="G328" s="101"/>
      <c r="H328" s="101"/>
      <c r="I328" s="101"/>
      <c r="J328" s="101"/>
      <c r="K328" s="101"/>
      <c r="L328" s="82"/>
    </row>
    <row r="329" hidden="1">
      <c r="A329" s="101"/>
      <c r="B329" s="103"/>
      <c r="C329" s="101"/>
      <c r="D329" s="101"/>
      <c r="E329" s="101"/>
      <c r="F329" s="101"/>
      <c r="G329" s="101"/>
      <c r="H329" s="101"/>
      <c r="I329" s="101"/>
      <c r="J329" s="101"/>
      <c r="K329" s="101"/>
      <c r="L329" s="82"/>
    </row>
    <row r="330" hidden="1">
      <c r="A330" s="101"/>
      <c r="B330" s="103"/>
      <c r="C330" s="101"/>
      <c r="D330" s="101"/>
      <c r="E330" s="101"/>
      <c r="F330" s="101"/>
      <c r="G330" s="101"/>
      <c r="H330" s="101"/>
      <c r="I330" s="101"/>
      <c r="J330" s="101"/>
      <c r="K330" s="101"/>
      <c r="L330" s="82"/>
    </row>
    <row r="331" hidden="1">
      <c r="A331" s="101"/>
      <c r="B331" s="103"/>
      <c r="C331" s="101"/>
      <c r="D331" s="101"/>
      <c r="E331" s="101"/>
      <c r="F331" s="101"/>
      <c r="G331" s="101"/>
      <c r="H331" s="101"/>
      <c r="I331" s="101"/>
      <c r="J331" s="101"/>
      <c r="K331" s="101"/>
      <c r="L331" s="82"/>
    </row>
    <row r="332" hidden="1">
      <c r="A332" s="101"/>
      <c r="B332" s="103"/>
      <c r="C332" s="101"/>
      <c r="D332" s="101"/>
      <c r="E332" s="101"/>
      <c r="F332" s="101"/>
      <c r="G332" s="101"/>
      <c r="H332" s="101"/>
      <c r="I332" s="101"/>
      <c r="J332" s="101"/>
      <c r="K332" s="101"/>
      <c r="L332" s="82"/>
    </row>
    <row r="333" hidden="1">
      <c r="A333" s="101"/>
      <c r="B333" s="103"/>
      <c r="C333" s="101"/>
      <c r="D333" s="101"/>
      <c r="E333" s="101"/>
      <c r="F333" s="101"/>
      <c r="G333" s="101"/>
      <c r="H333" s="101"/>
      <c r="I333" s="101"/>
      <c r="J333" s="101"/>
      <c r="K333" s="101"/>
      <c r="L333" s="82"/>
    </row>
    <row r="334" hidden="1">
      <c r="A334" s="101"/>
      <c r="B334" s="103"/>
      <c r="C334" s="101"/>
      <c r="D334" s="101"/>
      <c r="E334" s="101"/>
      <c r="F334" s="101"/>
      <c r="G334" s="101"/>
      <c r="H334" s="101"/>
      <c r="I334" s="101"/>
      <c r="J334" s="101"/>
      <c r="K334" s="101"/>
      <c r="L334" s="82"/>
    </row>
    <row r="335" hidden="1">
      <c r="A335" s="101"/>
      <c r="B335" s="103"/>
      <c r="C335" s="101"/>
      <c r="D335" s="101"/>
      <c r="E335" s="101"/>
      <c r="F335" s="101"/>
      <c r="G335" s="101"/>
      <c r="H335" s="101"/>
      <c r="I335" s="101"/>
      <c r="J335" s="101"/>
      <c r="K335" s="101"/>
      <c r="L335" s="82"/>
    </row>
    <row r="336" hidden="1">
      <c r="A336" s="101"/>
      <c r="B336" s="103"/>
      <c r="C336" s="101"/>
      <c r="D336" s="101"/>
      <c r="E336" s="101"/>
      <c r="F336" s="101"/>
      <c r="G336" s="101"/>
      <c r="H336" s="101"/>
      <c r="I336" s="101"/>
      <c r="J336" s="101"/>
      <c r="K336" s="101"/>
      <c r="L336" s="82"/>
    </row>
    <row r="337" hidden="1">
      <c r="A337" s="101"/>
      <c r="B337" s="103"/>
      <c r="C337" s="101"/>
      <c r="D337" s="101"/>
      <c r="E337" s="101"/>
      <c r="F337" s="101"/>
      <c r="G337" s="101"/>
      <c r="H337" s="101"/>
      <c r="I337" s="101"/>
      <c r="J337" s="101"/>
      <c r="K337" s="101"/>
      <c r="L337" s="82"/>
    </row>
    <row r="338" hidden="1">
      <c r="A338" s="101"/>
      <c r="B338" s="103"/>
      <c r="C338" s="101"/>
      <c r="D338" s="101"/>
      <c r="E338" s="101"/>
      <c r="F338" s="101"/>
      <c r="G338" s="101"/>
      <c r="H338" s="101"/>
      <c r="I338" s="101"/>
      <c r="J338" s="101"/>
      <c r="K338" s="101"/>
      <c r="L338" s="82"/>
    </row>
    <row r="339" hidden="1">
      <c r="A339" s="101"/>
      <c r="B339" s="103"/>
      <c r="C339" s="101"/>
      <c r="D339" s="101"/>
      <c r="E339" s="101"/>
      <c r="F339" s="101"/>
      <c r="G339" s="101"/>
      <c r="H339" s="101"/>
      <c r="I339" s="101"/>
      <c r="J339" s="101"/>
      <c r="K339" s="101"/>
      <c r="L339" s="82"/>
    </row>
    <row r="340" hidden="1">
      <c r="A340" s="101"/>
      <c r="B340" s="103"/>
      <c r="C340" s="101"/>
      <c r="D340" s="101"/>
      <c r="E340" s="101"/>
      <c r="F340" s="101"/>
      <c r="G340" s="101"/>
      <c r="H340" s="101"/>
      <c r="I340" s="101"/>
      <c r="J340" s="101"/>
      <c r="K340" s="101"/>
      <c r="L340" s="82"/>
    </row>
    <row r="341" hidden="1">
      <c r="A341" s="101"/>
      <c r="B341" s="103"/>
      <c r="C341" s="101"/>
      <c r="D341" s="101"/>
      <c r="E341" s="101"/>
      <c r="F341" s="101"/>
      <c r="G341" s="101"/>
      <c r="H341" s="101"/>
      <c r="I341" s="101"/>
      <c r="J341" s="101"/>
      <c r="K341" s="101"/>
      <c r="L341" s="82"/>
    </row>
    <row r="342" hidden="1">
      <c r="A342" s="101"/>
      <c r="B342" s="103"/>
      <c r="C342" s="101"/>
      <c r="D342" s="101"/>
      <c r="E342" s="101"/>
      <c r="F342" s="101"/>
      <c r="G342" s="101"/>
      <c r="H342" s="101"/>
      <c r="I342" s="101"/>
      <c r="J342" s="101"/>
      <c r="K342" s="101"/>
      <c r="L342" s="82"/>
    </row>
    <row r="343" hidden="1">
      <c r="A343" s="101"/>
      <c r="B343" s="103"/>
      <c r="C343" s="101"/>
      <c r="D343" s="101"/>
      <c r="E343" s="101"/>
      <c r="F343" s="101"/>
      <c r="G343" s="101"/>
      <c r="H343" s="101"/>
      <c r="I343" s="101"/>
      <c r="J343" s="101"/>
      <c r="K343" s="101"/>
      <c r="L343" s="82"/>
    </row>
    <row r="344" hidden="1">
      <c r="A344" s="101"/>
      <c r="B344" s="103"/>
      <c r="C344" s="101"/>
      <c r="D344" s="101"/>
      <c r="E344" s="101"/>
      <c r="F344" s="101"/>
      <c r="G344" s="101"/>
      <c r="H344" s="101"/>
      <c r="I344" s="101"/>
      <c r="J344" s="101"/>
      <c r="K344" s="101"/>
      <c r="L344" s="82"/>
    </row>
    <row r="345" hidden="1">
      <c r="A345" s="101"/>
      <c r="B345" s="103"/>
      <c r="C345" s="101"/>
      <c r="D345" s="101"/>
      <c r="E345" s="101"/>
      <c r="F345" s="101"/>
      <c r="G345" s="101"/>
      <c r="H345" s="101"/>
      <c r="I345" s="101"/>
      <c r="J345" s="101"/>
      <c r="K345" s="101"/>
      <c r="L345" s="82"/>
    </row>
    <row r="346" hidden="1">
      <c r="A346" s="101"/>
      <c r="B346" s="103"/>
      <c r="C346" s="101"/>
      <c r="D346" s="101"/>
      <c r="E346" s="101"/>
      <c r="F346" s="101"/>
      <c r="G346" s="101"/>
      <c r="H346" s="101"/>
      <c r="I346" s="101"/>
      <c r="J346" s="101"/>
      <c r="K346" s="101"/>
      <c r="L346" s="82"/>
    </row>
    <row r="347" hidden="1">
      <c r="A347" s="101"/>
      <c r="B347" s="103"/>
      <c r="C347" s="101"/>
      <c r="D347" s="101"/>
      <c r="E347" s="101"/>
      <c r="F347" s="101"/>
      <c r="G347" s="101"/>
      <c r="H347" s="101"/>
      <c r="I347" s="101"/>
      <c r="J347" s="101"/>
      <c r="K347" s="101"/>
      <c r="L347" s="82"/>
    </row>
    <row r="348" hidden="1">
      <c r="A348" s="101"/>
      <c r="B348" s="103"/>
      <c r="C348" s="101"/>
      <c r="D348" s="101"/>
      <c r="E348" s="101"/>
      <c r="F348" s="101"/>
      <c r="G348" s="101"/>
      <c r="H348" s="101"/>
      <c r="I348" s="101"/>
      <c r="J348" s="101"/>
      <c r="K348" s="101"/>
      <c r="L348" s="82"/>
    </row>
    <row r="349" hidden="1">
      <c r="A349" s="101"/>
      <c r="B349" s="103"/>
      <c r="C349" s="101"/>
      <c r="D349" s="101"/>
      <c r="E349" s="101"/>
      <c r="F349" s="101"/>
      <c r="G349" s="101"/>
      <c r="H349" s="101"/>
      <c r="I349" s="101"/>
      <c r="J349" s="101"/>
      <c r="K349" s="101"/>
      <c r="L349" s="82"/>
    </row>
    <row r="350" hidden="1">
      <c r="A350" s="101"/>
      <c r="B350" s="103"/>
      <c r="C350" s="101"/>
      <c r="D350" s="101"/>
      <c r="E350" s="101"/>
      <c r="F350" s="101"/>
      <c r="G350" s="101"/>
      <c r="H350" s="101"/>
      <c r="I350" s="101"/>
      <c r="J350" s="101"/>
      <c r="K350" s="101"/>
      <c r="L350" s="82"/>
    </row>
    <row r="351" hidden="1">
      <c r="A351" s="101"/>
      <c r="B351" s="103"/>
      <c r="C351" s="101"/>
      <c r="D351" s="101"/>
      <c r="E351" s="101"/>
      <c r="F351" s="101"/>
      <c r="G351" s="101"/>
      <c r="H351" s="101"/>
      <c r="I351" s="101"/>
      <c r="J351" s="101"/>
      <c r="K351" s="101"/>
      <c r="L351" s="82"/>
    </row>
    <row r="352" hidden="1">
      <c r="A352" s="101"/>
      <c r="B352" s="103"/>
      <c r="C352" s="101"/>
      <c r="D352" s="101"/>
      <c r="E352" s="101"/>
      <c r="F352" s="101"/>
      <c r="G352" s="101"/>
      <c r="H352" s="101"/>
      <c r="I352" s="101"/>
      <c r="J352" s="101"/>
      <c r="K352" s="101"/>
      <c r="L352" s="82"/>
    </row>
    <row r="353" hidden="1">
      <c r="A353" s="101"/>
      <c r="B353" s="103"/>
      <c r="C353" s="101"/>
      <c r="D353" s="101"/>
      <c r="E353" s="101"/>
      <c r="F353" s="101"/>
      <c r="G353" s="101"/>
      <c r="H353" s="101"/>
      <c r="I353" s="101"/>
      <c r="J353" s="101"/>
      <c r="K353" s="101"/>
      <c r="L353" s="82"/>
    </row>
    <row r="354" hidden="1">
      <c r="A354" s="101"/>
      <c r="B354" s="103"/>
      <c r="C354" s="101"/>
      <c r="D354" s="101"/>
      <c r="E354" s="101"/>
      <c r="F354" s="101"/>
      <c r="G354" s="101"/>
      <c r="H354" s="101"/>
      <c r="I354" s="101"/>
      <c r="J354" s="101"/>
      <c r="K354" s="101"/>
      <c r="L354" s="82"/>
    </row>
    <row r="355" hidden="1">
      <c r="A355" s="101"/>
      <c r="B355" s="103"/>
      <c r="C355" s="101"/>
      <c r="D355" s="101"/>
      <c r="E355" s="101"/>
      <c r="F355" s="101"/>
      <c r="G355" s="101"/>
      <c r="H355" s="101"/>
      <c r="I355" s="101"/>
      <c r="J355" s="101"/>
      <c r="K355" s="101"/>
      <c r="L355" s="82"/>
    </row>
    <row r="356" hidden="1">
      <c r="A356" s="101"/>
      <c r="B356" s="103"/>
      <c r="C356" s="101"/>
      <c r="D356" s="101"/>
      <c r="E356" s="101"/>
      <c r="F356" s="101"/>
      <c r="G356" s="101"/>
      <c r="H356" s="101"/>
      <c r="I356" s="101"/>
      <c r="J356" s="101"/>
      <c r="K356" s="101"/>
      <c r="L356" s="82"/>
    </row>
    <row r="357" hidden="1">
      <c r="A357" s="101"/>
      <c r="B357" s="103"/>
      <c r="C357" s="101"/>
      <c r="D357" s="101"/>
      <c r="E357" s="101"/>
      <c r="F357" s="101"/>
      <c r="G357" s="101"/>
      <c r="H357" s="101"/>
      <c r="I357" s="101"/>
      <c r="J357" s="101"/>
      <c r="K357" s="101"/>
      <c r="L357" s="82"/>
    </row>
    <row r="358" hidden="1">
      <c r="A358" s="101"/>
      <c r="B358" s="103"/>
      <c r="C358" s="101"/>
      <c r="D358" s="101"/>
      <c r="E358" s="101"/>
      <c r="F358" s="101"/>
      <c r="G358" s="101"/>
      <c r="H358" s="101"/>
      <c r="I358" s="101"/>
      <c r="J358" s="101"/>
      <c r="K358" s="101"/>
      <c r="L358" s="82"/>
    </row>
    <row r="359" hidden="1">
      <c r="A359" s="101"/>
      <c r="B359" s="103"/>
      <c r="C359" s="101"/>
      <c r="D359" s="101"/>
      <c r="E359" s="101"/>
      <c r="F359" s="101"/>
      <c r="G359" s="101"/>
      <c r="H359" s="101"/>
      <c r="I359" s="101"/>
      <c r="J359" s="101"/>
      <c r="K359" s="101"/>
      <c r="L359" s="82"/>
    </row>
    <row r="360" hidden="1">
      <c r="A360" s="101"/>
      <c r="B360" s="103"/>
      <c r="C360" s="101"/>
      <c r="D360" s="101"/>
      <c r="E360" s="101"/>
      <c r="F360" s="101"/>
      <c r="G360" s="101"/>
      <c r="H360" s="101"/>
      <c r="I360" s="101"/>
      <c r="J360" s="101"/>
      <c r="K360" s="101"/>
      <c r="L360" s="82"/>
    </row>
    <row r="361" hidden="1">
      <c r="A361" s="101"/>
      <c r="B361" s="103"/>
      <c r="C361" s="101"/>
      <c r="D361" s="101"/>
      <c r="E361" s="101"/>
      <c r="F361" s="101"/>
      <c r="G361" s="101"/>
      <c r="H361" s="101"/>
      <c r="I361" s="101"/>
      <c r="J361" s="101"/>
      <c r="K361" s="101"/>
      <c r="L361" s="82"/>
    </row>
    <row r="362" hidden="1">
      <c r="A362" s="101"/>
      <c r="B362" s="103"/>
      <c r="C362" s="101"/>
      <c r="D362" s="101"/>
      <c r="E362" s="101"/>
      <c r="F362" s="101"/>
      <c r="G362" s="101"/>
      <c r="H362" s="101"/>
      <c r="I362" s="101"/>
      <c r="J362" s="101"/>
      <c r="K362" s="101"/>
      <c r="L362" s="82"/>
    </row>
    <row r="363" hidden="1">
      <c r="A363" s="101"/>
      <c r="B363" s="103"/>
      <c r="C363" s="101"/>
      <c r="D363" s="101"/>
      <c r="E363" s="101"/>
      <c r="F363" s="101"/>
      <c r="G363" s="101"/>
      <c r="H363" s="101"/>
      <c r="I363" s="101"/>
      <c r="J363" s="101"/>
      <c r="K363" s="101"/>
      <c r="L363" s="82"/>
    </row>
    <row r="364" hidden="1">
      <c r="A364" s="101"/>
      <c r="B364" s="103"/>
      <c r="C364" s="101"/>
      <c r="D364" s="101"/>
      <c r="E364" s="101"/>
      <c r="F364" s="101"/>
      <c r="G364" s="101"/>
      <c r="H364" s="101"/>
      <c r="I364" s="101"/>
      <c r="J364" s="101"/>
      <c r="K364" s="101"/>
      <c r="L364" s="82"/>
    </row>
    <row r="365" hidden="1">
      <c r="A365" s="101"/>
      <c r="B365" s="103"/>
      <c r="C365" s="101"/>
      <c r="D365" s="101"/>
      <c r="E365" s="101"/>
      <c r="F365" s="101"/>
      <c r="G365" s="101"/>
      <c r="H365" s="101"/>
      <c r="I365" s="101"/>
      <c r="J365" s="101"/>
      <c r="K365" s="101"/>
      <c r="L365" s="82"/>
    </row>
    <row r="366" hidden="1">
      <c r="A366" s="101"/>
      <c r="B366" s="103"/>
      <c r="C366" s="101"/>
      <c r="D366" s="101"/>
      <c r="E366" s="101"/>
      <c r="F366" s="101"/>
      <c r="G366" s="101"/>
      <c r="H366" s="101"/>
      <c r="I366" s="101"/>
      <c r="J366" s="101"/>
      <c r="K366" s="101"/>
      <c r="L366" s="82"/>
    </row>
    <row r="367" hidden="1">
      <c r="A367" s="101"/>
      <c r="B367" s="103"/>
      <c r="C367" s="101"/>
      <c r="D367" s="101"/>
      <c r="E367" s="101"/>
      <c r="F367" s="101"/>
      <c r="G367" s="101"/>
      <c r="H367" s="101"/>
      <c r="I367" s="101"/>
      <c r="J367" s="101"/>
      <c r="K367" s="101"/>
      <c r="L367" s="82"/>
    </row>
    <row r="368" hidden="1">
      <c r="A368" s="101"/>
      <c r="B368" s="103"/>
      <c r="C368" s="101"/>
      <c r="D368" s="101"/>
      <c r="E368" s="101"/>
      <c r="F368" s="101"/>
      <c r="G368" s="101"/>
      <c r="H368" s="101"/>
      <c r="I368" s="101"/>
      <c r="J368" s="101"/>
      <c r="K368" s="101"/>
      <c r="L368" s="82"/>
    </row>
    <row r="369" hidden="1">
      <c r="A369" s="101"/>
      <c r="B369" s="103"/>
      <c r="C369" s="101"/>
      <c r="D369" s="101"/>
      <c r="E369" s="101"/>
      <c r="F369" s="101"/>
      <c r="G369" s="101"/>
      <c r="H369" s="101"/>
      <c r="I369" s="101"/>
      <c r="J369" s="101"/>
      <c r="K369" s="101"/>
      <c r="L369" s="82"/>
    </row>
    <row r="370" hidden="1">
      <c r="A370" s="101"/>
      <c r="B370" s="103"/>
      <c r="C370" s="101"/>
      <c r="D370" s="101"/>
      <c r="E370" s="101"/>
      <c r="F370" s="101"/>
      <c r="G370" s="101"/>
      <c r="H370" s="101"/>
      <c r="I370" s="101"/>
      <c r="J370" s="101"/>
      <c r="K370" s="101"/>
      <c r="L370" s="82"/>
    </row>
    <row r="371" hidden="1">
      <c r="A371" s="101"/>
      <c r="B371" s="103"/>
      <c r="C371" s="101"/>
      <c r="D371" s="101"/>
      <c r="E371" s="101"/>
      <c r="F371" s="101"/>
      <c r="G371" s="101"/>
      <c r="H371" s="101"/>
      <c r="I371" s="101"/>
      <c r="J371" s="101"/>
      <c r="K371" s="101"/>
      <c r="L371" s="82"/>
    </row>
    <row r="372" hidden="1">
      <c r="A372" s="101"/>
      <c r="B372" s="103"/>
      <c r="C372" s="101"/>
      <c r="D372" s="101"/>
      <c r="E372" s="101"/>
      <c r="F372" s="101"/>
      <c r="G372" s="101"/>
      <c r="H372" s="101"/>
      <c r="I372" s="101"/>
      <c r="J372" s="101"/>
      <c r="K372" s="101"/>
      <c r="L372" s="82"/>
    </row>
    <row r="373" hidden="1">
      <c r="A373" s="101"/>
      <c r="B373" s="103"/>
      <c r="C373" s="101"/>
      <c r="D373" s="101"/>
      <c r="E373" s="101"/>
      <c r="F373" s="101"/>
      <c r="G373" s="101"/>
      <c r="H373" s="101"/>
      <c r="I373" s="101"/>
      <c r="J373" s="101"/>
      <c r="K373" s="101"/>
      <c r="L373" s="82"/>
    </row>
    <row r="374" hidden="1">
      <c r="A374" s="101"/>
      <c r="B374" s="103"/>
      <c r="C374" s="101"/>
      <c r="D374" s="101"/>
      <c r="E374" s="101"/>
      <c r="F374" s="101"/>
      <c r="G374" s="101"/>
      <c r="H374" s="101"/>
      <c r="I374" s="101"/>
      <c r="J374" s="101"/>
      <c r="K374" s="101"/>
      <c r="L374" s="82"/>
    </row>
    <row r="375" hidden="1">
      <c r="A375" s="101"/>
      <c r="B375" s="103"/>
      <c r="C375" s="101"/>
      <c r="D375" s="101"/>
      <c r="E375" s="101"/>
      <c r="F375" s="101"/>
      <c r="G375" s="101"/>
      <c r="H375" s="101"/>
      <c r="I375" s="101"/>
      <c r="J375" s="101"/>
      <c r="K375" s="101"/>
      <c r="L375" s="82"/>
    </row>
    <row r="376" hidden="1">
      <c r="A376" s="101"/>
      <c r="B376" s="103"/>
      <c r="C376" s="101"/>
      <c r="D376" s="101"/>
      <c r="E376" s="101"/>
      <c r="F376" s="101"/>
      <c r="G376" s="101"/>
      <c r="H376" s="101"/>
      <c r="I376" s="101"/>
      <c r="J376" s="101"/>
      <c r="K376" s="101"/>
      <c r="L376" s="82"/>
    </row>
    <row r="377" hidden="1">
      <c r="A377" s="101"/>
      <c r="B377" s="103"/>
      <c r="C377" s="101"/>
      <c r="D377" s="101"/>
      <c r="E377" s="101"/>
      <c r="F377" s="101"/>
      <c r="G377" s="101"/>
      <c r="H377" s="101"/>
      <c r="I377" s="101"/>
      <c r="J377" s="101"/>
      <c r="K377" s="101"/>
      <c r="L377" s="82"/>
    </row>
    <row r="378" hidden="1">
      <c r="A378" s="101"/>
      <c r="B378" s="103"/>
      <c r="C378" s="101"/>
      <c r="D378" s="101"/>
      <c r="E378" s="101"/>
      <c r="F378" s="101"/>
      <c r="G378" s="101"/>
      <c r="H378" s="101"/>
      <c r="I378" s="101"/>
      <c r="J378" s="101"/>
      <c r="K378" s="101"/>
      <c r="L378" s="82"/>
    </row>
    <row r="379" hidden="1">
      <c r="A379" s="101"/>
      <c r="B379" s="103"/>
      <c r="C379" s="101"/>
      <c r="D379" s="101"/>
      <c r="E379" s="101"/>
      <c r="F379" s="101"/>
      <c r="G379" s="101"/>
      <c r="H379" s="101"/>
      <c r="I379" s="101"/>
      <c r="J379" s="101"/>
      <c r="K379" s="101"/>
      <c r="L379" s="82"/>
    </row>
    <row r="380" hidden="1">
      <c r="A380" s="101"/>
      <c r="B380" s="103"/>
      <c r="C380" s="101"/>
      <c r="D380" s="101"/>
      <c r="E380" s="101"/>
      <c r="F380" s="101"/>
      <c r="G380" s="101"/>
      <c r="H380" s="101"/>
      <c r="I380" s="101"/>
      <c r="J380" s="101"/>
      <c r="K380" s="101"/>
      <c r="L380" s="82"/>
    </row>
    <row r="381" hidden="1">
      <c r="A381" s="101"/>
      <c r="B381" s="103"/>
      <c r="C381" s="101"/>
      <c r="D381" s="101"/>
      <c r="E381" s="101"/>
      <c r="F381" s="101"/>
      <c r="G381" s="101"/>
      <c r="H381" s="101"/>
      <c r="I381" s="101"/>
      <c r="J381" s="101"/>
      <c r="K381" s="101"/>
      <c r="L381" s="82"/>
    </row>
    <row r="382" hidden="1">
      <c r="A382" s="101"/>
      <c r="B382" s="103"/>
      <c r="C382" s="101"/>
      <c r="D382" s="101"/>
      <c r="E382" s="101"/>
      <c r="F382" s="101"/>
      <c r="G382" s="101"/>
      <c r="H382" s="101"/>
      <c r="I382" s="101"/>
      <c r="J382" s="101"/>
      <c r="K382" s="101"/>
      <c r="L382" s="82"/>
    </row>
    <row r="383" hidden="1">
      <c r="A383" s="101"/>
      <c r="B383" s="103"/>
      <c r="C383" s="101"/>
      <c r="D383" s="101"/>
      <c r="E383" s="101"/>
      <c r="F383" s="101"/>
      <c r="G383" s="101"/>
      <c r="H383" s="101"/>
      <c r="I383" s="101"/>
      <c r="J383" s="101"/>
      <c r="K383" s="101"/>
      <c r="L383" s="82"/>
    </row>
    <row r="384" hidden="1">
      <c r="A384" s="101"/>
      <c r="B384" s="103"/>
      <c r="C384" s="101"/>
      <c r="D384" s="101"/>
      <c r="E384" s="101"/>
      <c r="F384" s="101"/>
      <c r="G384" s="101"/>
      <c r="H384" s="101"/>
      <c r="I384" s="101"/>
      <c r="J384" s="101"/>
      <c r="K384" s="101"/>
      <c r="L384" s="82"/>
    </row>
    <row r="385" hidden="1">
      <c r="A385" s="101"/>
      <c r="B385" s="103"/>
      <c r="C385" s="101"/>
      <c r="D385" s="101"/>
      <c r="E385" s="101"/>
      <c r="F385" s="101"/>
      <c r="G385" s="101"/>
      <c r="H385" s="101"/>
      <c r="I385" s="101"/>
      <c r="J385" s="101"/>
      <c r="K385" s="101"/>
      <c r="L385" s="82"/>
    </row>
    <row r="386" hidden="1">
      <c r="A386" s="101"/>
      <c r="B386" s="103"/>
      <c r="C386" s="101"/>
      <c r="D386" s="101"/>
      <c r="E386" s="101"/>
      <c r="F386" s="101"/>
      <c r="G386" s="101"/>
      <c r="H386" s="101"/>
      <c r="I386" s="101"/>
      <c r="J386" s="101"/>
      <c r="K386" s="101"/>
      <c r="L386" s="82"/>
    </row>
    <row r="387" hidden="1">
      <c r="A387" s="101"/>
      <c r="B387" s="103"/>
      <c r="C387" s="101"/>
      <c r="D387" s="101"/>
      <c r="E387" s="101"/>
      <c r="F387" s="101"/>
      <c r="G387" s="101"/>
      <c r="H387" s="101"/>
      <c r="I387" s="101"/>
      <c r="J387" s="101"/>
      <c r="K387" s="101"/>
      <c r="L387" s="82"/>
    </row>
    <row r="388" hidden="1">
      <c r="A388" s="101"/>
      <c r="B388" s="103"/>
      <c r="C388" s="101"/>
      <c r="D388" s="101"/>
      <c r="E388" s="101"/>
      <c r="F388" s="101"/>
      <c r="G388" s="101"/>
      <c r="H388" s="101"/>
      <c r="I388" s="101"/>
      <c r="J388" s="101"/>
      <c r="K388" s="101"/>
      <c r="L388" s="82"/>
    </row>
    <row r="389" hidden="1">
      <c r="A389" s="101"/>
      <c r="B389" s="103"/>
      <c r="C389" s="101"/>
      <c r="D389" s="101"/>
      <c r="E389" s="101"/>
      <c r="F389" s="101"/>
      <c r="G389" s="101"/>
      <c r="H389" s="101"/>
      <c r="I389" s="101"/>
      <c r="J389" s="101"/>
      <c r="K389" s="101"/>
      <c r="L389" s="82"/>
    </row>
    <row r="390" hidden="1">
      <c r="A390" s="101"/>
      <c r="B390" s="103"/>
      <c r="C390" s="101"/>
      <c r="D390" s="101"/>
      <c r="E390" s="101"/>
      <c r="F390" s="101"/>
      <c r="G390" s="101"/>
      <c r="H390" s="101"/>
      <c r="I390" s="101"/>
      <c r="J390" s="101"/>
      <c r="K390" s="101"/>
      <c r="L390" s="82"/>
    </row>
    <row r="391" hidden="1">
      <c r="A391" s="101"/>
      <c r="B391" s="103"/>
      <c r="C391" s="101"/>
      <c r="D391" s="101"/>
      <c r="E391" s="101"/>
      <c r="F391" s="101"/>
      <c r="G391" s="101"/>
      <c r="H391" s="101"/>
      <c r="I391" s="101"/>
      <c r="J391" s="101"/>
      <c r="K391" s="101"/>
      <c r="L391" s="82"/>
    </row>
    <row r="392" hidden="1">
      <c r="A392" s="101"/>
      <c r="B392" s="103"/>
      <c r="C392" s="101"/>
      <c r="D392" s="101"/>
      <c r="E392" s="101"/>
      <c r="F392" s="101"/>
      <c r="G392" s="101"/>
      <c r="H392" s="101"/>
      <c r="I392" s="101"/>
      <c r="J392" s="101"/>
      <c r="K392" s="101"/>
      <c r="L392" s="82"/>
    </row>
    <row r="393" hidden="1">
      <c r="A393" s="101"/>
      <c r="B393" s="103"/>
      <c r="C393" s="101"/>
      <c r="D393" s="101"/>
      <c r="E393" s="101"/>
      <c r="F393" s="101"/>
      <c r="G393" s="101"/>
      <c r="H393" s="101"/>
      <c r="I393" s="101"/>
      <c r="J393" s="101"/>
      <c r="K393" s="101"/>
      <c r="L393" s="82"/>
    </row>
    <row r="394" hidden="1">
      <c r="A394" s="101"/>
      <c r="B394" s="103"/>
      <c r="C394" s="101"/>
      <c r="D394" s="101"/>
      <c r="E394" s="101"/>
      <c r="F394" s="101"/>
      <c r="G394" s="101"/>
      <c r="H394" s="101"/>
      <c r="I394" s="101"/>
      <c r="J394" s="101"/>
      <c r="K394" s="101"/>
      <c r="L394" s="82"/>
    </row>
    <row r="395" hidden="1">
      <c r="A395" s="101"/>
      <c r="B395" s="103"/>
      <c r="C395" s="101"/>
      <c r="D395" s="101"/>
      <c r="E395" s="101"/>
      <c r="F395" s="101"/>
      <c r="G395" s="101"/>
      <c r="H395" s="101"/>
      <c r="I395" s="101"/>
      <c r="J395" s="101"/>
      <c r="K395" s="101"/>
      <c r="L395" s="82"/>
    </row>
    <row r="396" hidden="1">
      <c r="A396" s="101"/>
      <c r="B396" s="103"/>
      <c r="C396" s="101"/>
      <c r="D396" s="101"/>
      <c r="E396" s="101"/>
      <c r="F396" s="101"/>
      <c r="G396" s="101"/>
      <c r="H396" s="101"/>
      <c r="I396" s="101"/>
      <c r="J396" s="101"/>
      <c r="K396" s="101"/>
      <c r="L396" s="82"/>
    </row>
    <row r="397" hidden="1">
      <c r="A397" s="101"/>
      <c r="B397" s="103"/>
      <c r="C397" s="101"/>
      <c r="D397" s="101"/>
      <c r="E397" s="101"/>
      <c r="F397" s="101"/>
      <c r="G397" s="101"/>
      <c r="H397" s="101"/>
      <c r="I397" s="101"/>
      <c r="J397" s="101"/>
      <c r="K397" s="101"/>
      <c r="L397" s="82"/>
    </row>
    <row r="398" hidden="1">
      <c r="A398" s="101"/>
      <c r="B398" s="103"/>
      <c r="C398" s="101"/>
      <c r="D398" s="101"/>
      <c r="E398" s="101"/>
      <c r="F398" s="101"/>
      <c r="G398" s="101"/>
      <c r="H398" s="101"/>
      <c r="I398" s="101"/>
      <c r="J398" s="101"/>
      <c r="K398" s="101"/>
      <c r="L398" s="82"/>
    </row>
    <row r="399" hidden="1">
      <c r="A399" s="101"/>
      <c r="B399" s="103"/>
      <c r="C399" s="101"/>
      <c r="D399" s="101"/>
      <c r="E399" s="101"/>
      <c r="F399" s="101"/>
      <c r="G399" s="101"/>
      <c r="H399" s="101"/>
      <c r="I399" s="101"/>
      <c r="J399" s="101"/>
      <c r="K399" s="101"/>
      <c r="L399" s="82"/>
    </row>
    <row r="400" hidden="1">
      <c r="A400" s="101"/>
      <c r="B400" s="103"/>
      <c r="C400" s="101"/>
      <c r="D400" s="101"/>
      <c r="E400" s="101"/>
      <c r="F400" s="101"/>
      <c r="G400" s="101"/>
      <c r="H400" s="101"/>
      <c r="I400" s="101"/>
      <c r="J400" s="101"/>
      <c r="K400" s="101"/>
      <c r="L400" s="82"/>
    </row>
    <row r="401" hidden="1">
      <c r="A401" s="101"/>
      <c r="B401" s="103"/>
      <c r="C401" s="101"/>
      <c r="D401" s="101"/>
      <c r="E401" s="101"/>
      <c r="F401" s="101"/>
      <c r="G401" s="101"/>
      <c r="H401" s="101"/>
      <c r="I401" s="101"/>
      <c r="J401" s="101"/>
      <c r="K401" s="101"/>
      <c r="L401" s="82"/>
    </row>
    <row r="402" hidden="1">
      <c r="A402" s="101"/>
      <c r="B402" s="103"/>
      <c r="C402" s="101"/>
      <c r="D402" s="101"/>
      <c r="E402" s="101"/>
      <c r="F402" s="101"/>
      <c r="G402" s="101"/>
      <c r="H402" s="101"/>
      <c r="I402" s="101"/>
      <c r="J402" s="101"/>
      <c r="K402" s="101"/>
      <c r="L402" s="82"/>
    </row>
    <row r="403" hidden="1">
      <c r="A403" s="101"/>
      <c r="B403" s="103"/>
      <c r="C403" s="101"/>
      <c r="D403" s="101"/>
      <c r="E403" s="101"/>
      <c r="F403" s="101"/>
      <c r="G403" s="101"/>
      <c r="H403" s="101"/>
      <c r="I403" s="101"/>
      <c r="J403" s="101"/>
      <c r="K403" s="101"/>
      <c r="L403" s="82"/>
    </row>
    <row r="404" hidden="1">
      <c r="A404" s="101"/>
      <c r="B404" s="103"/>
      <c r="C404" s="101"/>
      <c r="D404" s="101"/>
      <c r="E404" s="101"/>
      <c r="F404" s="101"/>
      <c r="G404" s="101"/>
      <c r="H404" s="101"/>
      <c r="I404" s="101"/>
      <c r="J404" s="101"/>
      <c r="K404" s="101"/>
      <c r="L404" s="82"/>
    </row>
    <row r="405" hidden="1">
      <c r="A405" s="101"/>
      <c r="B405" s="103"/>
      <c r="C405" s="101"/>
      <c r="D405" s="101"/>
      <c r="E405" s="101"/>
      <c r="F405" s="101"/>
      <c r="G405" s="101"/>
      <c r="H405" s="101"/>
      <c r="I405" s="101"/>
      <c r="J405" s="101"/>
      <c r="K405" s="101"/>
      <c r="L405" s="82"/>
    </row>
    <row r="406" hidden="1">
      <c r="A406" s="101"/>
      <c r="B406" s="103"/>
      <c r="C406" s="101"/>
      <c r="D406" s="101"/>
      <c r="E406" s="101"/>
      <c r="F406" s="101"/>
      <c r="G406" s="101"/>
      <c r="H406" s="101"/>
      <c r="I406" s="101"/>
      <c r="J406" s="101"/>
      <c r="K406" s="101"/>
      <c r="L406" s="82"/>
    </row>
    <row r="407" hidden="1">
      <c r="A407" s="101"/>
      <c r="B407" s="103"/>
      <c r="C407" s="101"/>
      <c r="D407" s="101"/>
      <c r="E407" s="101"/>
      <c r="F407" s="101"/>
      <c r="G407" s="101"/>
      <c r="H407" s="101"/>
      <c r="I407" s="101"/>
      <c r="J407" s="101"/>
      <c r="K407" s="101"/>
      <c r="L407" s="82"/>
    </row>
    <row r="408" hidden="1">
      <c r="A408" s="101"/>
      <c r="B408" s="103"/>
      <c r="C408" s="101"/>
      <c r="D408" s="101"/>
      <c r="E408" s="101"/>
      <c r="F408" s="101"/>
      <c r="G408" s="101"/>
      <c r="H408" s="101"/>
      <c r="I408" s="101"/>
      <c r="J408" s="101"/>
      <c r="K408" s="101"/>
      <c r="L408" s="82"/>
    </row>
    <row r="409" hidden="1">
      <c r="A409" s="101"/>
      <c r="B409" s="103"/>
      <c r="C409" s="101"/>
      <c r="D409" s="101"/>
      <c r="E409" s="101"/>
      <c r="F409" s="101"/>
      <c r="G409" s="101"/>
      <c r="H409" s="101"/>
      <c r="I409" s="101"/>
      <c r="J409" s="101"/>
      <c r="K409" s="101"/>
      <c r="L409" s="82"/>
    </row>
    <row r="410" hidden="1">
      <c r="A410" s="101"/>
      <c r="B410" s="103"/>
      <c r="C410" s="101"/>
      <c r="D410" s="101"/>
      <c r="E410" s="101"/>
      <c r="F410" s="101"/>
      <c r="G410" s="101"/>
      <c r="H410" s="101"/>
      <c r="I410" s="101"/>
      <c r="J410" s="101"/>
      <c r="K410" s="101"/>
      <c r="L410" s="82"/>
    </row>
    <row r="411" hidden="1">
      <c r="A411" s="101"/>
      <c r="B411" s="103"/>
      <c r="C411" s="101"/>
      <c r="D411" s="101"/>
      <c r="E411" s="101"/>
      <c r="F411" s="101"/>
      <c r="G411" s="101"/>
      <c r="H411" s="101"/>
      <c r="I411" s="101"/>
      <c r="J411" s="101"/>
      <c r="K411" s="101"/>
      <c r="L411" s="82"/>
    </row>
    <row r="412" hidden="1">
      <c r="A412" s="101"/>
      <c r="B412" s="103"/>
      <c r="C412" s="101"/>
      <c r="D412" s="101"/>
      <c r="E412" s="101"/>
      <c r="F412" s="101"/>
      <c r="G412" s="101"/>
      <c r="H412" s="101"/>
      <c r="I412" s="101"/>
      <c r="J412" s="101"/>
      <c r="K412" s="101"/>
      <c r="L412" s="82"/>
    </row>
    <row r="413" hidden="1">
      <c r="A413" s="101"/>
      <c r="B413" s="103"/>
      <c r="C413" s="101"/>
      <c r="D413" s="101"/>
      <c r="E413" s="101"/>
      <c r="F413" s="101"/>
      <c r="G413" s="101"/>
      <c r="H413" s="101"/>
      <c r="I413" s="101"/>
      <c r="J413" s="101"/>
      <c r="K413" s="101"/>
      <c r="L413" s="82"/>
    </row>
    <row r="414" hidden="1">
      <c r="A414" s="101"/>
      <c r="B414" s="103"/>
      <c r="C414" s="101"/>
      <c r="D414" s="101"/>
      <c r="E414" s="101"/>
      <c r="F414" s="101"/>
      <c r="G414" s="101"/>
      <c r="H414" s="101"/>
      <c r="I414" s="101"/>
      <c r="J414" s="101"/>
      <c r="K414" s="101"/>
      <c r="L414" s="82"/>
    </row>
    <row r="415" hidden="1">
      <c r="A415" s="101"/>
      <c r="B415" s="103"/>
      <c r="C415" s="101"/>
      <c r="D415" s="101"/>
      <c r="E415" s="101"/>
      <c r="F415" s="101"/>
      <c r="G415" s="101"/>
      <c r="H415" s="101"/>
      <c r="I415" s="101"/>
      <c r="J415" s="101"/>
      <c r="K415" s="101"/>
      <c r="L415" s="82"/>
    </row>
    <row r="416" hidden="1">
      <c r="A416" s="101"/>
      <c r="B416" s="103"/>
      <c r="C416" s="101"/>
      <c r="D416" s="101"/>
      <c r="E416" s="101"/>
      <c r="F416" s="101"/>
      <c r="G416" s="101"/>
      <c r="H416" s="101"/>
      <c r="I416" s="101"/>
      <c r="J416" s="101"/>
      <c r="K416" s="101"/>
      <c r="L416" s="82"/>
    </row>
    <row r="417" hidden="1">
      <c r="A417" s="101"/>
      <c r="B417" s="103"/>
      <c r="C417" s="101"/>
      <c r="D417" s="101"/>
      <c r="E417" s="101"/>
      <c r="F417" s="101"/>
      <c r="G417" s="101"/>
      <c r="H417" s="101"/>
      <c r="I417" s="101"/>
      <c r="J417" s="101"/>
      <c r="K417" s="101"/>
      <c r="L417" s="82"/>
    </row>
    <row r="418" hidden="1">
      <c r="A418" s="101"/>
      <c r="B418" s="103"/>
      <c r="C418" s="101"/>
      <c r="D418" s="101"/>
      <c r="E418" s="101"/>
      <c r="F418" s="101"/>
      <c r="G418" s="101"/>
      <c r="H418" s="101"/>
      <c r="I418" s="101"/>
      <c r="J418" s="101"/>
      <c r="K418" s="101"/>
      <c r="L418" s="82"/>
    </row>
    <row r="419" hidden="1">
      <c r="A419" s="101"/>
      <c r="B419" s="103"/>
      <c r="C419" s="101"/>
      <c r="D419" s="101"/>
      <c r="E419" s="101"/>
      <c r="F419" s="101"/>
      <c r="G419" s="101"/>
      <c r="H419" s="101"/>
      <c r="I419" s="101"/>
      <c r="J419" s="101"/>
      <c r="K419" s="101"/>
      <c r="L419" s="82"/>
    </row>
    <row r="420" hidden="1">
      <c r="A420" s="101"/>
      <c r="B420" s="103"/>
      <c r="C420" s="101"/>
      <c r="D420" s="101"/>
      <c r="E420" s="101"/>
      <c r="F420" s="101"/>
      <c r="G420" s="101"/>
      <c r="H420" s="101"/>
      <c r="I420" s="101"/>
      <c r="J420" s="101"/>
      <c r="K420" s="101"/>
      <c r="L420" s="82"/>
    </row>
    <row r="421" hidden="1">
      <c r="A421" s="101"/>
      <c r="B421" s="103"/>
      <c r="C421" s="101"/>
      <c r="D421" s="101"/>
      <c r="E421" s="101"/>
      <c r="F421" s="101"/>
      <c r="G421" s="101"/>
      <c r="H421" s="101"/>
      <c r="I421" s="101"/>
      <c r="J421" s="101"/>
      <c r="K421" s="101"/>
      <c r="L421" s="82"/>
    </row>
    <row r="422" hidden="1">
      <c r="A422" s="101"/>
      <c r="B422" s="103"/>
      <c r="C422" s="101"/>
      <c r="D422" s="101"/>
      <c r="E422" s="101"/>
      <c r="F422" s="101"/>
      <c r="G422" s="101"/>
      <c r="H422" s="101"/>
      <c r="I422" s="101"/>
      <c r="J422" s="101"/>
      <c r="K422" s="101"/>
      <c r="L422" s="82"/>
    </row>
    <row r="423" hidden="1">
      <c r="A423" s="101"/>
      <c r="B423" s="103"/>
      <c r="C423" s="101"/>
      <c r="D423" s="101"/>
      <c r="E423" s="101"/>
      <c r="F423" s="101"/>
      <c r="G423" s="101"/>
      <c r="H423" s="101"/>
      <c r="I423" s="101"/>
      <c r="J423" s="101"/>
      <c r="K423" s="101"/>
      <c r="L423" s="82"/>
    </row>
    <row r="424" hidden="1">
      <c r="A424" s="101"/>
      <c r="B424" s="103"/>
      <c r="C424" s="101"/>
      <c r="D424" s="101"/>
      <c r="E424" s="101"/>
      <c r="F424" s="101"/>
      <c r="G424" s="101"/>
      <c r="H424" s="101"/>
      <c r="I424" s="101"/>
      <c r="J424" s="101"/>
      <c r="K424" s="101"/>
      <c r="L424" s="82"/>
    </row>
    <row r="425" hidden="1">
      <c r="A425" s="101"/>
      <c r="B425" s="103"/>
      <c r="C425" s="101"/>
      <c r="D425" s="101"/>
      <c r="E425" s="101"/>
      <c r="F425" s="101"/>
      <c r="G425" s="101"/>
      <c r="H425" s="101"/>
      <c r="I425" s="101"/>
      <c r="J425" s="101"/>
      <c r="K425" s="101"/>
      <c r="L425" s="82"/>
    </row>
    <row r="426" hidden="1">
      <c r="A426" s="101"/>
      <c r="B426" s="103"/>
      <c r="C426" s="101"/>
      <c r="D426" s="101"/>
      <c r="E426" s="101"/>
      <c r="F426" s="101"/>
      <c r="G426" s="101"/>
      <c r="H426" s="101"/>
      <c r="I426" s="101"/>
      <c r="J426" s="101"/>
      <c r="K426" s="101"/>
      <c r="L426" s="82"/>
    </row>
    <row r="427" hidden="1">
      <c r="A427" s="101"/>
      <c r="B427" s="103"/>
      <c r="C427" s="101"/>
      <c r="D427" s="101"/>
      <c r="E427" s="101"/>
      <c r="F427" s="101"/>
      <c r="G427" s="101"/>
      <c r="H427" s="101"/>
      <c r="I427" s="101"/>
      <c r="J427" s="101"/>
      <c r="K427" s="101"/>
      <c r="L427" s="82"/>
    </row>
    <row r="428" hidden="1">
      <c r="A428" s="101"/>
      <c r="B428" s="103"/>
      <c r="C428" s="101"/>
      <c r="D428" s="101"/>
      <c r="E428" s="101"/>
      <c r="F428" s="101"/>
      <c r="G428" s="101"/>
      <c r="H428" s="101"/>
      <c r="I428" s="101"/>
      <c r="J428" s="101"/>
      <c r="K428" s="101"/>
      <c r="L428" s="82"/>
    </row>
    <row r="429" hidden="1">
      <c r="A429" s="101"/>
      <c r="B429" s="103"/>
      <c r="C429" s="101"/>
      <c r="D429" s="101"/>
      <c r="E429" s="101"/>
      <c r="F429" s="101"/>
      <c r="G429" s="101"/>
      <c r="H429" s="101"/>
      <c r="I429" s="101"/>
      <c r="J429" s="101"/>
      <c r="K429" s="101"/>
      <c r="L429" s="82"/>
    </row>
    <row r="430" hidden="1">
      <c r="A430" s="101"/>
      <c r="B430" s="103"/>
      <c r="C430" s="101"/>
      <c r="D430" s="101"/>
      <c r="E430" s="101"/>
      <c r="F430" s="101"/>
      <c r="G430" s="101"/>
      <c r="H430" s="101"/>
      <c r="I430" s="101"/>
      <c r="J430" s="101"/>
      <c r="K430" s="101"/>
      <c r="L430" s="82"/>
    </row>
    <row r="431" hidden="1">
      <c r="A431" s="101"/>
      <c r="B431" s="103"/>
      <c r="C431" s="101"/>
      <c r="D431" s="101"/>
      <c r="E431" s="101"/>
      <c r="F431" s="101"/>
      <c r="G431" s="101"/>
      <c r="H431" s="101"/>
      <c r="I431" s="101"/>
      <c r="J431" s="101"/>
      <c r="K431" s="101"/>
      <c r="L431" s="82"/>
    </row>
    <row r="432" hidden="1">
      <c r="A432" s="101"/>
      <c r="B432" s="103"/>
      <c r="C432" s="101"/>
      <c r="D432" s="101"/>
      <c r="E432" s="101"/>
      <c r="F432" s="101"/>
      <c r="G432" s="101"/>
      <c r="H432" s="101"/>
      <c r="I432" s="101"/>
      <c r="J432" s="101"/>
      <c r="K432" s="101"/>
      <c r="L432" s="82"/>
    </row>
    <row r="433" hidden="1">
      <c r="A433" s="101"/>
      <c r="B433" s="103"/>
      <c r="C433" s="101"/>
      <c r="D433" s="101"/>
      <c r="E433" s="101"/>
      <c r="F433" s="101"/>
      <c r="G433" s="101"/>
      <c r="H433" s="101"/>
      <c r="I433" s="101"/>
      <c r="J433" s="101"/>
      <c r="K433" s="101"/>
      <c r="L433" s="82"/>
    </row>
    <row r="434" hidden="1">
      <c r="A434" s="101"/>
      <c r="B434" s="103"/>
      <c r="C434" s="101"/>
      <c r="D434" s="101"/>
      <c r="E434" s="101"/>
      <c r="F434" s="101"/>
      <c r="G434" s="101"/>
      <c r="H434" s="101"/>
      <c r="I434" s="101"/>
      <c r="J434" s="101"/>
      <c r="K434" s="101"/>
      <c r="L434" s="82"/>
    </row>
    <row r="435" hidden="1">
      <c r="A435" s="101"/>
      <c r="B435" s="103"/>
      <c r="C435" s="101"/>
      <c r="D435" s="101"/>
      <c r="E435" s="101"/>
      <c r="F435" s="101"/>
      <c r="G435" s="101"/>
      <c r="H435" s="101"/>
      <c r="I435" s="101"/>
      <c r="J435" s="101"/>
      <c r="K435" s="101"/>
      <c r="L435" s="82"/>
    </row>
    <row r="436" hidden="1">
      <c r="A436" s="101"/>
      <c r="B436" s="103"/>
      <c r="C436" s="101"/>
      <c r="D436" s="101"/>
      <c r="E436" s="101"/>
      <c r="F436" s="101"/>
      <c r="G436" s="101"/>
      <c r="H436" s="101"/>
      <c r="I436" s="101"/>
      <c r="J436" s="101"/>
      <c r="K436" s="101"/>
      <c r="L436" s="82"/>
    </row>
    <row r="437" hidden="1">
      <c r="A437" s="101"/>
      <c r="B437" s="103"/>
      <c r="C437" s="101"/>
      <c r="D437" s="101"/>
      <c r="E437" s="101"/>
      <c r="F437" s="101"/>
      <c r="G437" s="101"/>
      <c r="H437" s="101"/>
      <c r="I437" s="101"/>
      <c r="J437" s="101"/>
      <c r="K437" s="101"/>
      <c r="L437" s="82"/>
    </row>
    <row r="438" hidden="1">
      <c r="A438" s="101"/>
      <c r="B438" s="103"/>
      <c r="C438" s="101"/>
      <c r="D438" s="101"/>
      <c r="E438" s="101"/>
      <c r="F438" s="101"/>
      <c r="G438" s="101"/>
      <c r="H438" s="101"/>
      <c r="I438" s="101"/>
      <c r="J438" s="101"/>
      <c r="K438" s="101"/>
      <c r="L438" s="82"/>
    </row>
    <row r="439" hidden="1">
      <c r="A439" s="101"/>
      <c r="B439" s="103"/>
      <c r="C439" s="101"/>
      <c r="D439" s="101"/>
      <c r="E439" s="101"/>
      <c r="F439" s="101"/>
      <c r="G439" s="101"/>
      <c r="H439" s="101"/>
      <c r="I439" s="101"/>
      <c r="J439" s="101"/>
      <c r="K439" s="101"/>
      <c r="L439" s="82"/>
    </row>
    <row r="440" hidden="1">
      <c r="A440" s="101"/>
      <c r="B440" s="103"/>
      <c r="C440" s="101"/>
      <c r="D440" s="101"/>
      <c r="E440" s="101"/>
      <c r="F440" s="101"/>
      <c r="G440" s="101"/>
      <c r="H440" s="101"/>
      <c r="I440" s="101"/>
      <c r="J440" s="101"/>
      <c r="K440" s="101"/>
      <c r="L440" s="82"/>
    </row>
    <row r="441" hidden="1">
      <c r="A441" s="101"/>
      <c r="B441" s="103"/>
      <c r="C441" s="101"/>
      <c r="D441" s="101"/>
      <c r="E441" s="101"/>
      <c r="F441" s="101"/>
      <c r="G441" s="101"/>
      <c r="H441" s="101"/>
      <c r="I441" s="101"/>
      <c r="J441" s="101"/>
      <c r="K441" s="101"/>
      <c r="L441" s="82"/>
    </row>
    <row r="442" hidden="1">
      <c r="A442" s="101"/>
      <c r="B442" s="103"/>
      <c r="C442" s="101"/>
      <c r="D442" s="101"/>
      <c r="E442" s="101"/>
      <c r="F442" s="101"/>
      <c r="G442" s="101"/>
      <c r="H442" s="101"/>
      <c r="I442" s="101"/>
      <c r="J442" s="101"/>
      <c r="K442" s="101"/>
      <c r="L442" s="82"/>
    </row>
    <row r="443" hidden="1">
      <c r="A443" s="101"/>
      <c r="B443" s="103"/>
      <c r="C443" s="101"/>
      <c r="D443" s="101"/>
      <c r="E443" s="101"/>
      <c r="F443" s="101"/>
      <c r="G443" s="101"/>
      <c r="H443" s="101"/>
      <c r="I443" s="101"/>
      <c r="J443" s="101"/>
      <c r="K443" s="101"/>
      <c r="L443" s="82"/>
    </row>
    <row r="444" hidden="1">
      <c r="A444" s="101"/>
      <c r="B444" s="103"/>
      <c r="C444" s="101"/>
      <c r="D444" s="101"/>
      <c r="E444" s="101"/>
      <c r="F444" s="101"/>
      <c r="G444" s="101"/>
      <c r="H444" s="101"/>
      <c r="I444" s="101"/>
      <c r="J444" s="101"/>
      <c r="K444" s="101"/>
      <c r="L444" s="82"/>
    </row>
    <row r="445" hidden="1">
      <c r="A445" s="101"/>
      <c r="B445" s="103"/>
      <c r="C445" s="101"/>
      <c r="D445" s="101"/>
      <c r="E445" s="101"/>
      <c r="F445" s="101"/>
      <c r="G445" s="101"/>
      <c r="H445" s="101"/>
      <c r="I445" s="101"/>
      <c r="J445" s="101"/>
      <c r="K445" s="101"/>
      <c r="L445" s="82"/>
    </row>
    <row r="446" hidden="1">
      <c r="A446" s="101"/>
      <c r="B446" s="103"/>
      <c r="C446" s="101"/>
      <c r="D446" s="101"/>
      <c r="E446" s="101"/>
      <c r="F446" s="101"/>
      <c r="G446" s="101"/>
      <c r="H446" s="101"/>
      <c r="I446" s="101"/>
      <c r="J446" s="101"/>
      <c r="K446" s="101"/>
      <c r="L446" s="82"/>
    </row>
    <row r="447" hidden="1">
      <c r="A447" s="101"/>
      <c r="B447" s="103"/>
      <c r="C447" s="101"/>
      <c r="D447" s="101"/>
      <c r="E447" s="101"/>
      <c r="F447" s="101"/>
      <c r="G447" s="101"/>
      <c r="H447" s="101"/>
      <c r="I447" s="101"/>
      <c r="J447" s="101"/>
      <c r="K447" s="101"/>
      <c r="L447" s="82"/>
    </row>
    <row r="448" hidden="1">
      <c r="A448" s="101"/>
      <c r="B448" s="103"/>
      <c r="C448" s="101"/>
      <c r="D448" s="101"/>
      <c r="E448" s="101"/>
      <c r="F448" s="101"/>
      <c r="G448" s="101"/>
      <c r="H448" s="101"/>
      <c r="I448" s="101"/>
      <c r="J448" s="101"/>
      <c r="K448" s="101"/>
      <c r="L448" s="82"/>
    </row>
    <row r="449" hidden="1">
      <c r="A449" s="101"/>
      <c r="B449" s="103"/>
      <c r="C449" s="101"/>
      <c r="D449" s="101"/>
      <c r="E449" s="101"/>
      <c r="F449" s="101"/>
      <c r="G449" s="101"/>
      <c r="H449" s="101"/>
      <c r="I449" s="101"/>
      <c r="J449" s="101"/>
      <c r="K449" s="101"/>
      <c r="L449" s="82"/>
    </row>
    <row r="450" hidden="1">
      <c r="A450" s="101"/>
      <c r="B450" s="103"/>
      <c r="C450" s="101"/>
      <c r="D450" s="101"/>
      <c r="E450" s="101"/>
      <c r="F450" s="101"/>
      <c r="G450" s="101"/>
      <c r="H450" s="101"/>
      <c r="I450" s="101"/>
      <c r="J450" s="101"/>
      <c r="K450" s="101"/>
      <c r="L450" s="82"/>
    </row>
    <row r="451" hidden="1">
      <c r="A451" s="101"/>
      <c r="B451" s="103"/>
      <c r="C451" s="101"/>
      <c r="D451" s="101"/>
      <c r="E451" s="101"/>
      <c r="F451" s="101"/>
      <c r="G451" s="101"/>
      <c r="H451" s="101"/>
      <c r="I451" s="101"/>
      <c r="J451" s="101"/>
      <c r="K451" s="101"/>
      <c r="L451" s="82"/>
    </row>
    <row r="452" hidden="1">
      <c r="A452" s="101"/>
      <c r="B452" s="103"/>
      <c r="C452" s="101"/>
      <c r="D452" s="101"/>
      <c r="E452" s="101"/>
      <c r="F452" s="101"/>
      <c r="G452" s="101"/>
      <c r="H452" s="101"/>
      <c r="I452" s="101"/>
      <c r="J452" s="101"/>
      <c r="K452" s="101"/>
      <c r="L452" s="82"/>
    </row>
    <row r="453" hidden="1">
      <c r="A453" s="101"/>
      <c r="B453" s="103"/>
      <c r="C453" s="101"/>
      <c r="D453" s="101"/>
      <c r="E453" s="101"/>
      <c r="F453" s="101"/>
      <c r="G453" s="101"/>
      <c r="H453" s="101"/>
      <c r="I453" s="101"/>
      <c r="J453" s="101"/>
      <c r="K453" s="101"/>
      <c r="L453" s="82"/>
    </row>
    <row r="454" hidden="1">
      <c r="A454" s="101"/>
      <c r="B454" s="103"/>
      <c r="C454" s="101"/>
      <c r="D454" s="101"/>
      <c r="E454" s="101"/>
      <c r="F454" s="101"/>
      <c r="G454" s="101"/>
      <c r="H454" s="101"/>
      <c r="I454" s="101"/>
      <c r="J454" s="101"/>
      <c r="K454" s="101"/>
      <c r="L454" s="82"/>
    </row>
    <row r="455" hidden="1">
      <c r="A455" s="101"/>
      <c r="B455" s="103"/>
      <c r="C455" s="101"/>
      <c r="D455" s="101"/>
      <c r="E455" s="101"/>
      <c r="F455" s="101"/>
      <c r="G455" s="101"/>
      <c r="H455" s="101"/>
      <c r="I455" s="101"/>
      <c r="J455" s="101"/>
      <c r="K455" s="101"/>
      <c r="L455" s="82"/>
    </row>
    <row r="456" hidden="1">
      <c r="A456" s="101"/>
      <c r="B456" s="103"/>
      <c r="C456" s="101"/>
      <c r="D456" s="101"/>
      <c r="E456" s="101"/>
      <c r="F456" s="101"/>
      <c r="G456" s="101"/>
      <c r="H456" s="101"/>
      <c r="I456" s="101"/>
      <c r="J456" s="101"/>
      <c r="K456" s="101"/>
      <c r="L456" s="82"/>
    </row>
    <row r="457" hidden="1">
      <c r="A457" s="101"/>
      <c r="B457" s="103"/>
      <c r="C457" s="101"/>
      <c r="D457" s="101"/>
      <c r="E457" s="101"/>
      <c r="F457" s="101"/>
      <c r="G457" s="101"/>
      <c r="H457" s="101"/>
      <c r="I457" s="101"/>
      <c r="J457" s="101"/>
      <c r="K457" s="101"/>
      <c r="L457" s="82"/>
    </row>
    <row r="458" hidden="1">
      <c r="A458" s="101"/>
      <c r="B458" s="103"/>
      <c r="C458" s="101"/>
      <c r="D458" s="101"/>
      <c r="E458" s="101"/>
      <c r="F458" s="101"/>
      <c r="G458" s="101"/>
      <c r="H458" s="101"/>
      <c r="I458" s="101"/>
      <c r="J458" s="101"/>
      <c r="K458" s="101"/>
      <c r="L458" s="82"/>
    </row>
    <row r="459" hidden="1">
      <c r="A459" s="101"/>
      <c r="B459" s="103"/>
      <c r="C459" s="101"/>
      <c r="D459" s="101"/>
      <c r="E459" s="101"/>
      <c r="F459" s="101"/>
      <c r="G459" s="101"/>
      <c r="H459" s="101"/>
      <c r="I459" s="101"/>
      <c r="J459" s="101"/>
      <c r="K459" s="101"/>
      <c r="L459" s="82"/>
    </row>
    <row r="460" hidden="1">
      <c r="A460" s="101"/>
      <c r="B460" s="103"/>
      <c r="C460" s="101"/>
      <c r="D460" s="101"/>
      <c r="E460" s="101"/>
      <c r="F460" s="101"/>
      <c r="G460" s="101"/>
      <c r="H460" s="101"/>
      <c r="I460" s="101"/>
      <c r="J460" s="101"/>
      <c r="K460" s="101"/>
      <c r="L460" s="82"/>
    </row>
    <row r="461" hidden="1">
      <c r="A461" s="101"/>
      <c r="B461" s="103"/>
      <c r="C461" s="101"/>
      <c r="D461" s="101"/>
      <c r="E461" s="101"/>
      <c r="F461" s="101"/>
      <c r="G461" s="101"/>
      <c r="H461" s="101"/>
      <c r="I461" s="101"/>
      <c r="J461" s="101"/>
      <c r="K461" s="101"/>
      <c r="L461" s="82"/>
    </row>
    <row r="462" hidden="1">
      <c r="A462" s="101"/>
      <c r="B462" s="103"/>
      <c r="C462" s="101"/>
      <c r="D462" s="101"/>
      <c r="E462" s="101"/>
      <c r="F462" s="101"/>
      <c r="G462" s="101"/>
      <c r="H462" s="101"/>
      <c r="I462" s="101"/>
      <c r="J462" s="101"/>
      <c r="K462" s="101"/>
      <c r="L462" s="82"/>
    </row>
    <row r="463" hidden="1">
      <c r="A463" s="101"/>
      <c r="B463" s="103"/>
      <c r="C463" s="101"/>
      <c r="D463" s="101"/>
      <c r="E463" s="101"/>
      <c r="F463" s="101"/>
      <c r="G463" s="101"/>
      <c r="H463" s="101"/>
      <c r="I463" s="101"/>
      <c r="J463" s="101"/>
      <c r="K463" s="101"/>
      <c r="L463" s="82"/>
    </row>
    <row r="464" hidden="1">
      <c r="A464" s="101"/>
      <c r="B464" s="103"/>
      <c r="C464" s="101"/>
      <c r="D464" s="101"/>
      <c r="E464" s="101"/>
      <c r="F464" s="101"/>
      <c r="G464" s="101"/>
      <c r="H464" s="101"/>
      <c r="I464" s="101"/>
      <c r="J464" s="101"/>
      <c r="K464" s="101"/>
      <c r="L464" s="82"/>
    </row>
    <row r="465" hidden="1">
      <c r="A465" s="101"/>
      <c r="B465" s="103"/>
      <c r="C465" s="101"/>
      <c r="D465" s="101"/>
      <c r="E465" s="101"/>
      <c r="F465" s="101"/>
      <c r="G465" s="101"/>
      <c r="H465" s="101"/>
      <c r="I465" s="101"/>
      <c r="J465" s="101"/>
      <c r="K465" s="101"/>
      <c r="L465" s="82"/>
    </row>
    <row r="466" hidden="1">
      <c r="A466" s="101"/>
      <c r="B466" s="103"/>
      <c r="C466" s="101"/>
      <c r="D466" s="101"/>
      <c r="E466" s="101"/>
      <c r="F466" s="101"/>
      <c r="G466" s="101"/>
      <c r="H466" s="101"/>
      <c r="I466" s="101"/>
      <c r="J466" s="101"/>
      <c r="K466" s="101"/>
      <c r="L466" s="82"/>
    </row>
    <row r="467" hidden="1">
      <c r="A467" s="101"/>
      <c r="B467" s="103"/>
      <c r="C467" s="101"/>
      <c r="D467" s="101"/>
      <c r="E467" s="101"/>
      <c r="F467" s="101"/>
      <c r="G467" s="101"/>
      <c r="H467" s="101"/>
      <c r="I467" s="101"/>
      <c r="J467" s="101"/>
      <c r="K467" s="101"/>
      <c r="L467" s="82"/>
    </row>
    <row r="468" hidden="1">
      <c r="A468" s="101"/>
      <c r="B468" s="103"/>
      <c r="C468" s="101"/>
      <c r="D468" s="101"/>
      <c r="E468" s="101"/>
      <c r="F468" s="101"/>
      <c r="G468" s="101"/>
      <c r="H468" s="101"/>
      <c r="I468" s="101"/>
      <c r="J468" s="101"/>
      <c r="K468" s="101"/>
      <c r="L468" s="82"/>
    </row>
    <row r="469" hidden="1">
      <c r="A469" s="101"/>
      <c r="B469" s="103"/>
      <c r="C469" s="101"/>
      <c r="D469" s="101"/>
      <c r="E469" s="101"/>
      <c r="F469" s="101"/>
      <c r="G469" s="101"/>
      <c r="H469" s="101"/>
      <c r="I469" s="101"/>
      <c r="J469" s="101"/>
      <c r="K469" s="101"/>
      <c r="L469" s="82"/>
    </row>
    <row r="470" hidden="1">
      <c r="A470" s="101"/>
      <c r="B470" s="103"/>
      <c r="C470" s="101"/>
      <c r="D470" s="101"/>
      <c r="E470" s="101"/>
      <c r="F470" s="101"/>
      <c r="G470" s="101"/>
      <c r="H470" s="101"/>
      <c r="I470" s="101"/>
      <c r="J470" s="101"/>
      <c r="K470" s="101"/>
      <c r="L470" s="82"/>
    </row>
    <row r="471" hidden="1">
      <c r="A471" s="101"/>
      <c r="B471" s="103"/>
      <c r="C471" s="101"/>
      <c r="D471" s="101"/>
      <c r="E471" s="101"/>
      <c r="F471" s="101"/>
      <c r="G471" s="101"/>
      <c r="H471" s="101"/>
      <c r="I471" s="101"/>
      <c r="J471" s="101"/>
      <c r="K471" s="101"/>
      <c r="L471" s="82"/>
    </row>
    <row r="472" hidden="1">
      <c r="A472" s="101"/>
      <c r="B472" s="103"/>
      <c r="C472" s="101"/>
      <c r="D472" s="101"/>
      <c r="E472" s="101"/>
      <c r="F472" s="101"/>
      <c r="G472" s="101"/>
      <c r="H472" s="101"/>
      <c r="I472" s="101"/>
      <c r="J472" s="101"/>
      <c r="K472" s="101"/>
      <c r="L472" s="82"/>
    </row>
    <row r="473" hidden="1">
      <c r="A473" s="101"/>
      <c r="B473" s="103"/>
      <c r="C473" s="101"/>
      <c r="D473" s="101"/>
      <c r="E473" s="101"/>
      <c r="F473" s="101"/>
      <c r="G473" s="101"/>
      <c r="H473" s="101"/>
      <c r="I473" s="101"/>
      <c r="J473" s="101"/>
      <c r="K473" s="101"/>
      <c r="L473" s="82"/>
    </row>
    <row r="474" hidden="1">
      <c r="A474" s="101"/>
      <c r="B474" s="103"/>
      <c r="C474" s="101"/>
      <c r="D474" s="101"/>
      <c r="E474" s="101"/>
      <c r="F474" s="101"/>
      <c r="G474" s="101"/>
      <c r="H474" s="101"/>
      <c r="I474" s="101"/>
      <c r="J474" s="101"/>
      <c r="K474" s="101"/>
      <c r="L474" s="82"/>
    </row>
    <row r="475" hidden="1">
      <c r="A475" s="101"/>
      <c r="B475" s="103"/>
      <c r="C475" s="101"/>
      <c r="D475" s="101"/>
      <c r="E475" s="101"/>
      <c r="F475" s="101"/>
      <c r="G475" s="101"/>
      <c r="H475" s="101"/>
      <c r="I475" s="101"/>
      <c r="J475" s="101"/>
      <c r="K475" s="101"/>
      <c r="L475" s="82"/>
    </row>
    <row r="476" hidden="1">
      <c r="A476" s="101"/>
      <c r="B476" s="103"/>
      <c r="C476" s="101"/>
      <c r="D476" s="101"/>
      <c r="E476" s="101"/>
      <c r="F476" s="101"/>
      <c r="G476" s="101"/>
      <c r="H476" s="101"/>
      <c r="I476" s="101"/>
      <c r="J476" s="101"/>
      <c r="K476" s="101"/>
      <c r="L476" s="82"/>
    </row>
    <row r="477" hidden="1">
      <c r="A477" s="101"/>
      <c r="B477" s="103"/>
      <c r="C477" s="101"/>
      <c r="D477" s="101"/>
      <c r="E477" s="101"/>
      <c r="F477" s="101"/>
      <c r="G477" s="101"/>
      <c r="H477" s="101"/>
      <c r="I477" s="101"/>
      <c r="J477" s="101"/>
      <c r="K477" s="101"/>
      <c r="L477" s="82"/>
    </row>
    <row r="478" hidden="1">
      <c r="A478" s="101"/>
      <c r="B478" s="103"/>
      <c r="C478" s="101"/>
      <c r="D478" s="101"/>
      <c r="E478" s="101"/>
      <c r="F478" s="101"/>
      <c r="G478" s="101"/>
      <c r="H478" s="101"/>
      <c r="I478" s="101"/>
      <c r="J478" s="101"/>
      <c r="K478" s="101"/>
      <c r="L478" s="82"/>
    </row>
    <row r="479" hidden="1">
      <c r="A479" s="101"/>
      <c r="B479" s="103"/>
      <c r="C479" s="101"/>
      <c r="D479" s="101"/>
      <c r="E479" s="101"/>
      <c r="F479" s="101"/>
      <c r="G479" s="101"/>
      <c r="H479" s="101"/>
      <c r="I479" s="101"/>
      <c r="J479" s="101"/>
      <c r="K479" s="101"/>
      <c r="L479" s="82"/>
    </row>
    <row r="480" hidden="1">
      <c r="A480" s="101"/>
      <c r="B480" s="103"/>
      <c r="C480" s="101"/>
      <c r="D480" s="101"/>
      <c r="E480" s="101"/>
      <c r="F480" s="101"/>
      <c r="G480" s="101"/>
      <c r="H480" s="101"/>
      <c r="I480" s="101"/>
      <c r="J480" s="101"/>
      <c r="K480" s="101"/>
      <c r="L480" s="82"/>
    </row>
    <row r="481" hidden="1">
      <c r="A481" s="101"/>
      <c r="B481" s="103"/>
      <c r="C481" s="101"/>
      <c r="D481" s="101"/>
      <c r="E481" s="101"/>
      <c r="F481" s="101"/>
      <c r="G481" s="101"/>
      <c r="H481" s="101"/>
      <c r="I481" s="101"/>
      <c r="J481" s="101"/>
      <c r="K481" s="101"/>
      <c r="L481" s="82"/>
    </row>
    <row r="482" hidden="1">
      <c r="A482" s="101"/>
      <c r="B482" s="103"/>
      <c r="C482" s="101"/>
      <c r="D482" s="101"/>
      <c r="E482" s="101"/>
      <c r="F482" s="101"/>
      <c r="G482" s="101"/>
      <c r="H482" s="101"/>
      <c r="I482" s="101"/>
      <c r="J482" s="101"/>
      <c r="K482" s="101"/>
      <c r="L482" s="82"/>
    </row>
    <row r="483" hidden="1">
      <c r="A483" s="101"/>
      <c r="B483" s="103"/>
      <c r="C483" s="101"/>
      <c r="D483" s="101"/>
      <c r="E483" s="101"/>
      <c r="F483" s="101"/>
      <c r="G483" s="101"/>
      <c r="H483" s="101"/>
      <c r="I483" s="101"/>
      <c r="J483" s="101"/>
      <c r="K483" s="101"/>
      <c r="L483" s="82"/>
    </row>
    <row r="484" hidden="1">
      <c r="A484" s="101"/>
      <c r="B484" s="103"/>
      <c r="C484" s="101"/>
      <c r="D484" s="101"/>
      <c r="E484" s="101"/>
      <c r="F484" s="101"/>
      <c r="G484" s="101"/>
      <c r="H484" s="101"/>
      <c r="I484" s="101"/>
      <c r="J484" s="101"/>
      <c r="K484" s="101"/>
      <c r="L484" s="82"/>
    </row>
    <row r="485" hidden="1">
      <c r="A485" s="101"/>
      <c r="B485" s="103"/>
      <c r="C485" s="101"/>
      <c r="D485" s="101"/>
      <c r="E485" s="101"/>
      <c r="F485" s="101"/>
      <c r="G485" s="101"/>
      <c r="H485" s="101"/>
      <c r="I485" s="101"/>
      <c r="J485" s="101"/>
      <c r="K485" s="101"/>
      <c r="L485" s="82"/>
    </row>
    <row r="486" hidden="1">
      <c r="A486" s="101"/>
      <c r="B486" s="103"/>
      <c r="C486" s="101"/>
      <c r="D486" s="101"/>
      <c r="E486" s="101"/>
      <c r="F486" s="101"/>
      <c r="G486" s="101"/>
      <c r="H486" s="101"/>
      <c r="I486" s="101"/>
      <c r="J486" s="101"/>
      <c r="K486" s="101"/>
      <c r="L486" s="82"/>
    </row>
    <row r="487" hidden="1">
      <c r="A487" s="101"/>
      <c r="B487" s="103"/>
      <c r="C487" s="101"/>
      <c r="D487" s="101"/>
      <c r="E487" s="101"/>
      <c r="F487" s="101"/>
      <c r="G487" s="101"/>
      <c r="H487" s="101"/>
      <c r="I487" s="101"/>
      <c r="J487" s="101"/>
      <c r="K487" s="101"/>
      <c r="L487" s="82"/>
    </row>
    <row r="488" hidden="1">
      <c r="A488" s="101"/>
      <c r="B488" s="103"/>
      <c r="C488" s="101"/>
      <c r="D488" s="101"/>
      <c r="E488" s="101"/>
      <c r="F488" s="101"/>
      <c r="G488" s="101"/>
      <c r="H488" s="101"/>
      <c r="I488" s="101"/>
      <c r="J488" s="101"/>
      <c r="K488" s="101"/>
      <c r="L488" s="82"/>
    </row>
    <row r="489" hidden="1">
      <c r="A489" s="101"/>
      <c r="B489" s="103"/>
      <c r="C489" s="101"/>
      <c r="D489" s="101"/>
      <c r="E489" s="101"/>
      <c r="F489" s="101"/>
      <c r="G489" s="101"/>
      <c r="H489" s="101"/>
      <c r="I489" s="101"/>
      <c r="J489" s="101"/>
      <c r="K489" s="101"/>
      <c r="L489" s="82"/>
    </row>
    <row r="490" hidden="1">
      <c r="A490" s="101"/>
      <c r="B490" s="103"/>
      <c r="C490" s="101"/>
      <c r="D490" s="101"/>
      <c r="E490" s="101"/>
      <c r="F490" s="101"/>
      <c r="G490" s="101"/>
      <c r="H490" s="101"/>
      <c r="I490" s="101"/>
      <c r="J490" s="101"/>
      <c r="K490" s="101"/>
      <c r="L490" s="82"/>
    </row>
    <row r="491" hidden="1">
      <c r="A491" s="101"/>
      <c r="B491" s="103"/>
      <c r="C491" s="101"/>
      <c r="D491" s="101"/>
      <c r="E491" s="101"/>
      <c r="F491" s="101"/>
      <c r="G491" s="101"/>
      <c r="H491" s="101"/>
      <c r="I491" s="101"/>
      <c r="J491" s="101"/>
      <c r="K491" s="101"/>
      <c r="L491" s="82"/>
    </row>
    <row r="492" hidden="1">
      <c r="A492" s="101"/>
      <c r="B492" s="103"/>
      <c r="C492" s="101"/>
      <c r="D492" s="101"/>
      <c r="E492" s="101"/>
      <c r="F492" s="101"/>
      <c r="G492" s="101"/>
      <c r="H492" s="101"/>
      <c r="I492" s="101"/>
      <c r="J492" s="101"/>
      <c r="K492" s="101"/>
      <c r="L492" s="82"/>
    </row>
    <row r="493" hidden="1">
      <c r="A493" s="101"/>
      <c r="B493" s="103"/>
      <c r="C493" s="101"/>
      <c r="D493" s="101"/>
      <c r="E493" s="101"/>
      <c r="F493" s="101"/>
      <c r="G493" s="101"/>
      <c r="H493" s="101"/>
      <c r="I493" s="101"/>
      <c r="J493" s="101"/>
      <c r="K493" s="101"/>
      <c r="L493" s="82"/>
    </row>
    <row r="494" hidden="1">
      <c r="A494" s="101"/>
      <c r="B494" s="103"/>
      <c r="C494" s="101"/>
      <c r="D494" s="101"/>
      <c r="E494" s="101"/>
      <c r="F494" s="101"/>
      <c r="G494" s="101"/>
      <c r="H494" s="101"/>
      <c r="I494" s="101"/>
      <c r="J494" s="101"/>
      <c r="K494" s="101"/>
      <c r="L494" s="82"/>
    </row>
    <row r="495" hidden="1">
      <c r="A495" s="101"/>
      <c r="B495" s="103"/>
      <c r="C495" s="101"/>
      <c r="D495" s="101"/>
      <c r="E495" s="101"/>
      <c r="F495" s="101"/>
      <c r="G495" s="101"/>
      <c r="H495" s="101"/>
      <c r="I495" s="101"/>
      <c r="J495" s="101"/>
      <c r="K495" s="101"/>
      <c r="L495" s="82"/>
    </row>
    <row r="496" hidden="1">
      <c r="A496" s="101"/>
      <c r="B496" s="103"/>
      <c r="C496" s="101"/>
      <c r="D496" s="101"/>
      <c r="E496" s="101"/>
      <c r="F496" s="101"/>
      <c r="G496" s="101"/>
      <c r="H496" s="101"/>
      <c r="I496" s="101"/>
      <c r="J496" s="101"/>
      <c r="K496" s="101"/>
      <c r="L496" s="82"/>
    </row>
    <row r="497" hidden="1">
      <c r="A497" s="101"/>
      <c r="B497" s="103"/>
      <c r="C497" s="101"/>
      <c r="D497" s="101"/>
      <c r="E497" s="101"/>
      <c r="F497" s="101"/>
      <c r="G497" s="101"/>
      <c r="H497" s="101"/>
      <c r="I497" s="101"/>
      <c r="J497" s="101"/>
      <c r="K497" s="101"/>
      <c r="L497" s="82"/>
    </row>
    <row r="498" hidden="1">
      <c r="A498" s="101"/>
      <c r="B498" s="103"/>
      <c r="C498" s="101"/>
      <c r="D498" s="101"/>
      <c r="E498" s="101"/>
      <c r="F498" s="101"/>
      <c r="G498" s="101"/>
      <c r="H498" s="101"/>
      <c r="I498" s="101"/>
      <c r="J498" s="101"/>
      <c r="K498" s="101"/>
      <c r="L498" s="82"/>
    </row>
    <row r="499" hidden="1">
      <c r="A499" s="101"/>
      <c r="B499" s="103"/>
      <c r="C499" s="101"/>
      <c r="D499" s="101"/>
      <c r="E499" s="101"/>
      <c r="F499" s="101"/>
      <c r="G499" s="101"/>
      <c r="H499" s="101"/>
      <c r="I499" s="101"/>
      <c r="J499" s="101"/>
      <c r="K499" s="101"/>
      <c r="L499" s="82"/>
    </row>
    <row r="500" hidden="1">
      <c r="A500" s="101"/>
      <c r="B500" s="103"/>
      <c r="C500" s="101"/>
      <c r="D500" s="101"/>
      <c r="E500" s="101"/>
      <c r="F500" s="101"/>
      <c r="G500" s="101"/>
      <c r="H500" s="101"/>
      <c r="I500" s="101"/>
      <c r="J500" s="101"/>
      <c r="K500" s="101"/>
      <c r="L500" s="82"/>
    </row>
    <row r="501" hidden="1">
      <c r="A501" s="101"/>
      <c r="B501" s="103"/>
      <c r="C501" s="101"/>
      <c r="D501" s="101"/>
      <c r="E501" s="101"/>
      <c r="F501" s="101"/>
      <c r="G501" s="101"/>
      <c r="H501" s="101"/>
      <c r="I501" s="101"/>
      <c r="J501" s="101"/>
      <c r="K501" s="101"/>
      <c r="L501" s="82"/>
    </row>
    <row r="502" hidden="1">
      <c r="A502" s="101"/>
      <c r="B502" s="103"/>
      <c r="C502" s="101"/>
      <c r="D502" s="101"/>
      <c r="E502" s="101"/>
      <c r="F502" s="101"/>
      <c r="G502" s="101"/>
      <c r="H502" s="101"/>
      <c r="I502" s="101"/>
      <c r="J502" s="101"/>
      <c r="K502" s="101"/>
      <c r="L502" s="82"/>
    </row>
    <row r="503" hidden="1">
      <c r="A503" s="101"/>
      <c r="B503" s="103"/>
      <c r="C503" s="101"/>
      <c r="D503" s="101"/>
      <c r="E503" s="101"/>
      <c r="F503" s="101"/>
      <c r="G503" s="101"/>
      <c r="H503" s="101"/>
      <c r="I503" s="101"/>
      <c r="J503" s="101"/>
      <c r="K503" s="101"/>
      <c r="L503" s="82"/>
    </row>
    <row r="504" hidden="1">
      <c r="A504" s="101"/>
      <c r="B504" s="103"/>
      <c r="C504" s="101"/>
      <c r="D504" s="101"/>
      <c r="E504" s="101"/>
      <c r="F504" s="101"/>
      <c r="G504" s="101"/>
      <c r="H504" s="101"/>
      <c r="I504" s="101"/>
      <c r="J504" s="101"/>
      <c r="K504" s="101"/>
      <c r="L504" s="82"/>
    </row>
    <row r="505" hidden="1">
      <c r="A505" s="101"/>
      <c r="B505" s="103"/>
      <c r="C505" s="101"/>
      <c r="D505" s="101"/>
      <c r="E505" s="101"/>
      <c r="F505" s="101"/>
      <c r="G505" s="101"/>
      <c r="H505" s="101"/>
      <c r="I505" s="101"/>
      <c r="J505" s="101"/>
      <c r="K505" s="101"/>
      <c r="L505" s="82"/>
    </row>
    <row r="506" hidden="1">
      <c r="A506" s="101"/>
      <c r="B506" s="103"/>
      <c r="C506" s="101"/>
      <c r="D506" s="101"/>
      <c r="E506" s="101"/>
      <c r="F506" s="101"/>
      <c r="G506" s="101"/>
      <c r="H506" s="101"/>
      <c r="I506" s="101"/>
      <c r="J506" s="101"/>
      <c r="K506" s="101"/>
      <c r="L506" s="82"/>
    </row>
    <row r="507" hidden="1">
      <c r="A507" s="101"/>
      <c r="B507" s="103"/>
      <c r="C507" s="101"/>
      <c r="D507" s="101"/>
      <c r="E507" s="101"/>
      <c r="F507" s="101"/>
      <c r="G507" s="101"/>
      <c r="H507" s="101"/>
      <c r="I507" s="101"/>
      <c r="J507" s="101"/>
      <c r="K507" s="101"/>
      <c r="L507" s="82"/>
    </row>
    <row r="508" hidden="1">
      <c r="A508" s="101"/>
      <c r="B508" s="103"/>
      <c r="C508" s="101"/>
      <c r="D508" s="101"/>
      <c r="E508" s="101"/>
      <c r="F508" s="101"/>
      <c r="G508" s="101"/>
      <c r="H508" s="101"/>
      <c r="I508" s="101"/>
      <c r="J508" s="101"/>
      <c r="K508" s="101"/>
      <c r="L508" s="82"/>
    </row>
    <row r="509" hidden="1">
      <c r="A509" s="101"/>
      <c r="B509" s="103"/>
      <c r="C509" s="101"/>
      <c r="D509" s="101"/>
      <c r="E509" s="101"/>
      <c r="F509" s="101"/>
      <c r="G509" s="101"/>
      <c r="H509" s="101"/>
      <c r="I509" s="101"/>
      <c r="J509" s="101"/>
      <c r="K509" s="101"/>
      <c r="L509" s="82"/>
    </row>
    <row r="510" hidden="1">
      <c r="A510" s="101"/>
      <c r="B510" s="103"/>
      <c r="C510" s="101"/>
      <c r="D510" s="101"/>
      <c r="E510" s="101"/>
      <c r="F510" s="101"/>
      <c r="G510" s="101"/>
      <c r="H510" s="101"/>
      <c r="I510" s="101"/>
      <c r="J510" s="101"/>
      <c r="K510" s="101"/>
      <c r="L510" s="82"/>
    </row>
    <row r="511" hidden="1">
      <c r="A511" s="101"/>
      <c r="B511" s="103"/>
      <c r="C511" s="101"/>
      <c r="D511" s="101"/>
      <c r="E511" s="101"/>
      <c r="F511" s="101"/>
      <c r="G511" s="101"/>
      <c r="H511" s="101"/>
      <c r="I511" s="101"/>
      <c r="J511" s="101"/>
      <c r="K511" s="101"/>
      <c r="L511" s="82"/>
    </row>
    <row r="512" hidden="1">
      <c r="A512" s="101"/>
      <c r="B512" s="103"/>
      <c r="C512" s="101"/>
      <c r="D512" s="101"/>
      <c r="E512" s="101"/>
      <c r="F512" s="101"/>
      <c r="G512" s="101"/>
      <c r="H512" s="101"/>
      <c r="I512" s="101"/>
      <c r="J512" s="101"/>
      <c r="K512" s="101"/>
      <c r="L512" s="82"/>
    </row>
    <row r="513" hidden="1">
      <c r="A513" s="101"/>
      <c r="B513" s="103"/>
      <c r="C513" s="101"/>
      <c r="D513" s="101"/>
      <c r="E513" s="101"/>
      <c r="F513" s="101"/>
      <c r="G513" s="101"/>
      <c r="H513" s="101"/>
      <c r="I513" s="101"/>
      <c r="J513" s="101"/>
      <c r="K513" s="101"/>
      <c r="L513" s="82"/>
    </row>
    <row r="514" hidden="1">
      <c r="A514" s="101"/>
      <c r="B514" s="103"/>
      <c r="C514" s="101"/>
      <c r="D514" s="101"/>
      <c r="E514" s="101"/>
      <c r="F514" s="101"/>
      <c r="G514" s="101"/>
      <c r="H514" s="101"/>
      <c r="I514" s="101"/>
      <c r="J514" s="101"/>
      <c r="K514" s="101"/>
      <c r="L514" s="82"/>
    </row>
    <row r="515" hidden="1">
      <c r="A515" s="101"/>
      <c r="B515" s="103"/>
      <c r="C515" s="101"/>
      <c r="D515" s="101"/>
      <c r="E515" s="101"/>
      <c r="F515" s="101"/>
      <c r="G515" s="101"/>
      <c r="H515" s="101"/>
      <c r="I515" s="101"/>
      <c r="J515" s="101"/>
      <c r="K515" s="101"/>
      <c r="L515" s="82"/>
    </row>
    <row r="516" hidden="1">
      <c r="A516" s="101"/>
      <c r="B516" s="103"/>
      <c r="C516" s="101"/>
      <c r="D516" s="101"/>
      <c r="E516" s="101"/>
      <c r="F516" s="101"/>
      <c r="G516" s="101"/>
      <c r="H516" s="101"/>
      <c r="I516" s="101"/>
      <c r="J516" s="101"/>
      <c r="K516" s="101"/>
      <c r="L516" s="82"/>
    </row>
    <row r="517" hidden="1">
      <c r="A517" s="101"/>
      <c r="B517" s="103"/>
      <c r="C517" s="101"/>
      <c r="D517" s="101"/>
      <c r="E517" s="101"/>
      <c r="F517" s="101"/>
      <c r="G517" s="101"/>
      <c r="H517" s="101"/>
      <c r="I517" s="101"/>
      <c r="J517" s="101"/>
      <c r="K517" s="101"/>
      <c r="L517" s="82"/>
    </row>
    <row r="518" hidden="1">
      <c r="A518" s="101"/>
      <c r="B518" s="103"/>
      <c r="C518" s="101"/>
      <c r="D518" s="101"/>
      <c r="E518" s="101"/>
      <c r="F518" s="101"/>
      <c r="G518" s="101"/>
      <c r="H518" s="101"/>
      <c r="I518" s="101"/>
      <c r="J518" s="101"/>
      <c r="K518" s="101"/>
      <c r="L518" s="82"/>
    </row>
    <row r="519" hidden="1">
      <c r="A519" s="101"/>
      <c r="B519" s="103"/>
      <c r="C519" s="101"/>
      <c r="D519" s="101"/>
      <c r="E519" s="101"/>
      <c r="F519" s="101"/>
      <c r="G519" s="101"/>
      <c r="H519" s="101"/>
      <c r="I519" s="101"/>
      <c r="J519" s="101"/>
      <c r="K519" s="101"/>
      <c r="L519" s="82"/>
    </row>
    <row r="520" hidden="1">
      <c r="A520" s="101"/>
      <c r="B520" s="103"/>
      <c r="C520" s="101"/>
      <c r="D520" s="101"/>
      <c r="E520" s="101"/>
      <c r="F520" s="101"/>
      <c r="G520" s="101"/>
      <c r="H520" s="101"/>
      <c r="I520" s="101"/>
      <c r="J520" s="101"/>
      <c r="K520" s="101"/>
      <c r="L520" s="82"/>
    </row>
    <row r="521" hidden="1">
      <c r="A521" s="101"/>
      <c r="B521" s="103"/>
      <c r="C521" s="101"/>
      <c r="D521" s="101"/>
      <c r="E521" s="101"/>
      <c r="F521" s="101"/>
      <c r="G521" s="101"/>
      <c r="H521" s="101"/>
      <c r="I521" s="101"/>
      <c r="J521" s="101"/>
      <c r="K521" s="101"/>
      <c r="L521" s="82"/>
    </row>
    <row r="522" hidden="1">
      <c r="A522" s="101"/>
      <c r="B522" s="103"/>
      <c r="C522" s="101"/>
      <c r="D522" s="101"/>
      <c r="E522" s="101"/>
      <c r="F522" s="101"/>
      <c r="G522" s="101"/>
      <c r="H522" s="101"/>
      <c r="I522" s="101"/>
      <c r="J522" s="101"/>
      <c r="K522" s="101"/>
      <c r="L522" s="82"/>
    </row>
    <row r="523" hidden="1">
      <c r="A523" s="101"/>
      <c r="B523" s="103"/>
      <c r="C523" s="101"/>
      <c r="D523" s="101"/>
      <c r="E523" s="101"/>
      <c r="F523" s="101"/>
      <c r="G523" s="101"/>
      <c r="H523" s="101"/>
      <c r="I523" s="101"/>
      <c r="J523" s="101"/>
      <c r="K523" s="101"/>
      <c r="L523" s="82"/>
    </row>
    <row r="524" hidden="1">
      <c r="A524" s="101"/>
      <c r="B524" s="103"/>
      <c r="C524" s="101"/>
      <c r="D524" s="101"/>
      <c r="E524" s="101"/>
      <c r="F524" s="101"/>
      <c r="G524" s="101"/>
      <c r="H524" s="101"/>
      <c r="I524" s="101"/>
      <c r="J524" s="101"/>
      <c r="K524" s="101"/>
      <c r="L524" s="82"/>
    </row>
    <row r="525" hidden="1">
      <c r="A525" s="101"/>
      <c r="B525" s="103"/>
      <c r="C525" s="101"/>
      <c r="D525" s="101"/>
      <c r="E525" s="101"/>
      <c r="F525" s="101"/>
      <c r="G525" s="101"/>
      <c r="H525" s="101"/>
      <c r="I525" s="101"/>
      <c r="J525" s="101"/>
      <c r="K525" s="101"/>
      <c r="L525" s="82"/>
    </row>
    <row r="526" hidden="1">
      <c r="A526" s="101"/>
      <c r="B526" s="103"/>
      <c r="C526" s="101"/>
      <c r="D526" s="101"/>
      <c r="E526" s="101"/>
      <c r="F526" s="101"/>
      <c r="G526" s="101"/>
      <c r="H526" s="101"/>
      <c r="I526" s="101"/>
      <c r="J526" s="101"/>
      <c r="K526" s="101"/>
      <c r="L526" s="82"/>
    </row>
    <row r="527" hidden="1">
      <c r="A527" s="101"/>
      <c r="B527" s="103"/>
      <c r="C527" s="101"/>
      <c r="D527" s="101"/>
      <c r="E527" s="101"/>
      <c r="F527" s="101"/>
      <c r="G527" s="101"/>
      <c r="H527" s="101"/>
      <c r="I527" s="101"/>
      <c r="J527" s="101"/>
      <c r="K527" s="101"/>
      <c r="L527" s="82"/>
    </row>
    <row r="528" hidden="1">
      <c r="A528" s="101"/>
      <c r="B528" s="103"/>
      <c r="C528" s="101"/>
      <c r="D528" s="101"/>
      <c r="E528" s="101"/>
      <c r="F528" s="101"/>
      <c r="G528" s="101"/>
      <c r="H528" s="101"/>
      <c r="I528" s="101"/>
      <c r="J528" s="101"/>
      <c r="K528" s="101"/>
      <c r="L528" s="82"/>
    </row>
    <row r="529" hidden="1">
      <c r="A529" s="101"/>
      <c r="B529" s="103"/>
      <c r="C529" s="101"/>
      <c r="D529" s="101"/>
      <c r="E529" s="101"/>
      <c r="F529" s="101"/>
      <c r="G529" s="101"/>
      <c r="H529" s="101"/>
      <c r="I529" s="101"/>
      <c r="J529" s="101"/>
      <c r="K529" s="101"/>
      <c r="L529" s="82"/>
    </row>
    <row r="530" hidden="1">
      <c r="A530" s="101"/>
      <c r="B530" s="103"/>
      <c r="C530" s="101"/>
      <c r="D530" s="101"/>
      <c r="E530" s="101"/>
      <c r="F530" s="101"/>
      <c r="G530" s="101"/>
      <c r="H530" s="101"/>
      <c r="I530" s="101"/>
      <c r="J530" s="101"/>
      <c r="K530" s="101"/>
      <c r="L530" s="82"/>
    </row>
    <row r="531" hidden="1">
      <c r="A531" s="101"/>
      <c r="B531" s="103"/>
      <c r="C531" s="101"/>
      <c r="D531" s="101"/>
      <c r="E531" s="101"/>
      <c r="F531" s="101"/>
      <c r="G531" s="101"/>
      <c r="H531" s="101"/>
      <c r="I531" s="101"/>
      <c r="J531" s="101"/>
      <c r="K531" s="101"/>
      <c r="L531" s="82"/>
    </row>
    <row r="532" hidden="1">
      <c r="A532" s="101"/>
      <c r="B532" s="103"/>
      <c r="C532" s="101"/>
      <c r="D532" s="101"/>
      <c r="E532" s="101"/>
      <c r="F532" s="101"/>
      <c r="G532" s="101"/>
      <c r="H532" s="101"/>
      <c r="I532" s="101"/>
      <c r="J532" s="101"/>
      <c r="K532" s="101"/>
      <c r="L532" s="82"/>
    </row>
    <row r="533" hidden="1">
      <c r="A533" s="101"/>
      <c r="B533" s="103"/>
      <c r="C533" s="101"/>
      <c r="D533" s="101"/>
      <c r="E533" s="101"/>
      <c r="F533" s="101"/>
      <c r="G533" s="101"/>
      <c r="H533" s="101"/>
      <c r="I533" s="101"/>
      <c r="J533" s="101"/>
      <c r="K533" s="101"/>
      <c r="L533" s="82"/>
    </row>
    <row r="534" hidden="1">
      <c r="A534" s="101"/>
      <c r="B534" s="103"/>
      <c r="C534" s="101"/>
      <c r="D534" s="101"/>
      <c r="E534" s="101"/>
      <c r="F534" s="101"/>
      <c r="G534" s="101"/>
      <c r="H534" s="101"/>
      <c r="I534" s="101"/>
      <c r="J534" s="101"/>
      <c r="K534" s="101"/>
      <c r="L534" s="82"/>
    </row>
    <row r="535" hidden="1">
      <c r="A535" s="101"/>
      <c r="B535" s="103"/>
      <c r="C535" s="101"/>
      <c r="D535" s="101"/>
      <c r="E535" s="101"/>
      <c r="F535" s="101"/>
      <c r="G535" s="101"/>
      <c r="H535" s="101"/>
      <c r="I535" s="101"/>
      <c r="J535" s="101"/>
      <c r="K535" s="101"/>
      <c r="L535" s="82"/>
    </row>
    <row r="536" hidden="1">
      <c r="A536" s="101"/>
      <c r="B536" s="103"/>
      <c r="C536" s="101"/>
      <c r="D536" s="101"/>
      <c r="E536" s="101"/>
      <c r="F536" s="101"/>
      <c r="G536" s="101"/>
      <c r="H536" s="101"/>
      <c r="I536" s="101"/>
      <c r="J536" s="101"/>
      <c r="K536" s="101"/>
      <c r="L536" s="82"/>
    </row>
    <row r="537" hidden="1">
      <c r="A537" s="101"/>
      <c r="B537" s="103"/>
      <c r="C537" s="101"/>
      <c r="D537" s="101"/>
      <c r="E537" s="101"/>
      <c r="F537" s="101"/>
      <c r="G537" s="101"/>
      <c r="H537" s="101"/>
      <c r="I537" s="101"/>
      <c r="J537" s="101"/>
      <c r="K537" s="101"/>
      <c r="L537" s="82"/>
    </row>
    <row r="538" hidden="1">
      <c r="A538" s="101"/>
      <c r="B538" s="103"/>
      <c r="C538" s="101"/>
      <c r="D538" s="101"/>
      <c r="E538" s="101"/>
      <c r="F538" s="101"/>
      <c r="G538" s="101"/>
      <c r="H538" s="101"/>
      <c r="I538" s="101"/>
      <c r="J538" s="101"/>
      <c r="K538" s="101"/>
      <c r="L538" s="82"/>
    </row>
    <row r="539" hidden="1">
      <c r="A539" s="101"/>
      <c r="B539" s="103"/>
      <c r="C539" s="101"/>
      <c r="D539" s="101"/>
      <c r="E539" s="101"/>
      <c r="F539" s="101"/>
      <c r="G539" s="101"/>
      <c r="H539" s="101"/>
      <c r="I539" s="101"/>
      <c r="J539" s="101"/>
      <c r="K539" s="101"/>
      <c r="L539" s="82"/>
    </row>
    <row r="540" hidden="1">
      <c r="A540" s="101"/>
      <c r="B540" s="103"/>
      <c r="C540" s="101"/>
      <c r="D540" s="101"/>
      <c r="E540" s="101"/>
      <c r="F540" s="101"/>
      <c r="G540" s="101"/>
      <c r="H540" s="101"/>
      <c r="I540" s="101"/>
      <c r="J540" s="101"/>
      <c r="K540" s="101"/>
      <c r="L540" s="82"/>
    </row>
    <row r="541" hidden="1">
      <c r="A541" s="101"/>
      <c r="B541" s="103"/>
      <c r="C541" s="101"/>
      <c r="D541" s="101"/>
      <c r="E541" s="101"/>
      <c r="F541" s="101"/>
      <c r="G541" s="101"/>
      <c r="H541" s="101"/>
      <c r="I541" s="101"/>
      <c r="J541" s="101"/>
      <c r="K541" s="101"/>
      <c r="L541" s="82"/>
    </row>
    <row r="542" hidden="1">
      <c r="A542" s="101"/>
      <c r="B542" s="103"/>
      <c r="C542" s="101"/>
      <c r="D542" s="101"/>
      <c r="E542" s="101"/>
      <c r="F542" s="101"/>
      <c r="G542" s="101"/>
      <c r="H542" s="101"/>
      <c r="I542" s="101"/>
      <c r="J542" s="101"/>
      <c r="K542" s="101"/>
      <c r="L542" s="82"/>
    </row>
    <row r="543" hidden="1">
      <c r="A543" s="101"/>
      <c r="B543" s="103"/>
      <c r="C543" s="101"/>
      <c r="D543" s="101"/>
      <c r="E543" s="101"/>
      <c r="F543" s="101"/>
      <c r="G543" s="101"/>
      <c r="H543" s="101"/>
      <c r="I543" s="101"/>
      <c r="J543" s="101"/>
      <c r="K543" s="101"/>
      <c r="L543" s="82"/>
    </row>
    <row r="544" hidden="1">
      <c r="A544" s="101"/>
      <c r="B544" s="103"/>
      <c r="C544" s="101"/>
      <c r="D544" s="101"/>
      <c r="E544" s="101"/>
      <c r="F544" s="101"/>
      <c r="G544" s="101"/>
      <c r="H544" s="101"/>
      <c r="I544" s="101"/>
      <c r="J544" s="101"/>
      <c r="K544" s="101"/>
      <c r="L544" s="82"/>
    </row>
    <row r="545" hidden="1">
      <c r="A545" s="101"/>
      <c r="B545" s="103"/>
      <c r="C545" s="101"/>
      <c r="D545" s="101"/>
      <c r="E545" s="101"/>
      <c r="F545" s="101"/>
      <c r="G545" s="101"/>
      <c r="H545" s="101"/>
      <c r="I545" s="101"/>
      <c r="J545" s="101"/>
      <c r="K545" s="101"/>
      <c r="L545" s="82"/>
    </row>
    <row r="546" hidden="1">
      <c r="A546" s="101"/>
      <c r="B546" s="103"/>
      <c r="C546" s="101"/>
      <c r="D546" s="101"/>
      <c r="E546" s="101"/>
      <c r="F546" s="101"/>
      <c r="G546" s="101"/>
      <c r="H546" s="101"/>
      <c r="I546" s="101"/>
      <c r="J546" s="101"/>
      <c r="K546" s="101"/>
      <c r="L546" s="82"/>
    </row>
    <row r="547" hidden="1">
      <c r="A547" s="101"/>
      <c r="B547" s="103"/>
      <c r="C547" s="101"/>
      <c r="D547" s="101"/>
      <c r="E547" s="101"/>
      <c r="F547" s="101"/>
      <c r="G547" s="101"/>
      <c r="H547" s="101"/>
      <c r="I547" s="101"/>
      <c r="J547" s="101"/>
      <c r="K547" s="101"/>
      <c r="L547" s="82"/>
    </row>
    <row r="548" hidden="1">
      <c r="A548" s="101"/>
      <c r="B548" s="103"/>
      <c r="C548" s="101"/>
      <c r="D548" s="101"/>
      <c r="E548" s="101"/>
      <c r="F548" s="101"/>
      <c r="G548" s="101"/>
      <c r="H548" s="101"/>
      <c r="I548" s="101"/>
      <c r="J548" s="101"/>
      <c r="K548" s="101"/>
      <c r="L548" s="82"/>
    </row>
    <row r="549" hidden="1">
      <c r="A549" s="101"/>
      <c r="B549" s="103"/>
      <c r="C549" s="101"/>
      <c r="D549" s="101"/>
      <c r="E549" s="101"/>
      <c r="F549" s="101"/>
      <c r="G549" s="101"/>
      <c r="H549" s="101"/>
      <c r="I549" s="101"/>
      <c r="J549" s="101"/>
      <c r="K549" s="101"/>
      <c r="L549" s="82"/>
    </row>
    <row r="550" hidden="1">
      <c r="A550" s="101"/>
      <c r="B550" s="103"/>
      <c r="C550" s="101"/>
      <c r="D550" s="101"/>
      <c r="E550" s="101"/>
      <c r="F550" s="101"/>
      <c r="G550" s="101"/>
      <c r="H550" s="101"/>
      <c r="I550" s="101"/>
      <c r="J550" s="101"/>
      <c r="K550" s="101"/>
      <c r="L550" s="82"/>
    </row>
    <row r="551" hidden="1">
      <c r="A551" s="101"/>
      <c r="B551" s="103"/>
      <c r="C551" s="101"/>
      <c r="D551" s="101"/>
      <c r="E551" s="101"/>
      <c r="F551" s="101"/>
      <c r="G551" s="101"/>
      <c r="H551" s="101"/>
      <c r="I551" s="101"/>
      <c r="J551" s="101"/>
      <c r="K551" s="101"/>
      <c r="L551" s="82"/>
    </row>
    <row r="552" hidden="1">
      <c r="A552" s="101"/>
      <c r="B552" s="103"/>
      <c r="C552" s="101"/>
      <c r="D552" s="101"/>
      <c r="E552" s="101"/>
      <c r="F552" s="101"/>
      <c r="G552" s="101"/>
      <c r="H552" s="101"/>
      <c r="I552" s="101"/>
      <c r="J552" s="101"/>
      <c r="K552" s="101"/>
      <c r="L552" s="82"/>
    </row>
    <row r="553" hidden="1">
      <c r="A553" s="101"/>
      <c r="B553" s="103"/>
      <c r="C553" s="101"/>
      <c r="D553" s="101"/>
      <c r="E553" s="101"/>
      <c r="F553" s="101"/>
      <c r="G553" s="101"/>
      <c r="H553" s="101"/>
      <c r="I553" s="101"/>
      <c r="J553" s="101"/>
      <c r="K553" s="101"/>
      <c r="L553" s="82"/>
    </row>
    <row r="554" hidden="1">
      <c r="A554" s="101"/>
      <c r="B554" s="103"/>
      <c r="C554" s="101"/>
      <c r="D554" s="101"/>
      <c r="E554" s="101"/>
      <c r="F554" s="101"/>
      <c r="G554" s="101"/>
      <c r="H554" s="101"/>
      <c r="I554" s="101"/>
      <c r="J554" s="101"/>
      <c r="K554" s="101"/>
      <c r="L554" s="82"/>
    </row>
    <row r="555" hidden="1">
      <c r="A555" s="101"/>
      <c r="B555" s="103"/>
      <c r="C555" s="101"/>
      <c r="D555" s="101"/>
      <c r="E555" s="101"/>
      <c r="F555" s="101"/>
      <c r="G555" s="101"/>
      <c r="H555" s="101"/>
      <c r="I555" s="101"/>
      <c r="J555" s="101"/>
      <c r="K555" s="101"/>
      <c r="L555" s="82"/>
    </row>
    <row r="556" hidden="1">
      <c r="A556" s="101"/>
      <c r="B556" s="103"/>
      <c r="C556" s="101"/>
      <c r="D556" s="101"/>
      <c r="E556" s="101"/>
      <c r="F556" s="101"/>
      <c r="G556" s="101"/>
      <c r="H556" s="101"/>
      <c r="I556" s="101"/>
      <c r="J556" s="101"/>
      <c r="K556" s="101"/>
      <c r="L556" s="82"/>
    </row>
    <row r="557" hidden="1">
      <c r="A557" s="101"/>
      <c r="B557" s="103"/>
      <c r="C557" s="101"/>
      <c r="D557" s="101"/>
      <c r="E557" s="101"/>
      <c r="F557" s="101"/>
      <c r="G557" s="101"/>
      <c r="H557" s="101"/>
      <c r="I557" s="101"/>
      <c r="J557" s="101"/>
      <c r="K557" s="101"/>
      <c r="L557" s="82"/>
    </row>
    <row r="558" hidden="1">
      <c r="A558" s="101"/>
      <c r="B558" s="103"/>
      <c r="C558" s="101"/>
      <c r="D558" s="101"/>
      <c r="E558" s="101"/>
      <c r="F558" s="101"/>
      <c r="G558" s="101"/>
      <c r="H558" s="101"/>
      <c r="I558" s="101"/>
      <c r="J558" s="101"/>
      <c r="K558" s="101"/>
      <c r="L558" s="82"/>
    </row>
    <row r="559" hidden="1">
      <c r="A559" s="101"/>
      <c r="B559" s="103"/>
      <c r="C559" s="101"/>
      <c r="D559" s="101"/>
      <c r="E559" s="101"/>
      <c r="F559" s="101"/>
      <c r="G559" s="101"/>
      <c r="H559" s="101"/>
      <c r="I559" s="101"/>
      <c r="J559" s="101"/>
      <c r="K559" s="101"/>
      <c r="L559" s="82"/>
    </row>
    <row r="560" hidden="1">
      <c r="A560" s="101"/>
      <c r="B560" s="103"/>
      <c r="C560" s="101"/>
      <c r="D560" s="101"/>
      <c r="E560" s="101"/>
      <c r="F560" s="101"/>
      <c r="G560" s="101"/>
      <c r="H560" s="101"/>
      <c r="I560" s="101"/>
      <c r="J560" s="101"/>
      <c r="K560" s="101"/>
      <c r="L560" s="82"/>
    </row>
    <row r="561" hidden="1">
      <c r="A561" s="101"/>
      <c r="B561" s="103"/>
      <c r="C561" s="101"/>
      <c r="D561" s="101"/>
      <c r="E561" s="101"/>
      <c r="F561" s="101"/>
      <c r="G561" s="101"/>
      <c r="H561" s="101"/>
      <c r="I561" s="101"/>
      <c r="J561" s="101"/>
      <c r="K561" s="101"/>
      <c r="L561" s="82"/>
    </row>
    <row r="562" hidden="1">
      <c r="A562" s="101"/>
      <c r="B562" s="103"/>
      <c r="C562" s="101"/>
      <c r="D562" s="101"/>
      <c r="E562" s="101"/>
      <c r="F562" s="101"/>
      <c r="G562" s="101"/>
      <c r="H562" s="101"/>
      <c r="I562" s="101"/>
      <c r="J562" s="101"/>
      <c r="K562" s="101"/>
      <c r="L562" s="82"/>
    </row>
    <row r="563" hidden="1">
      <c r="A563" s="101"/>
      <c r="B563" s="103"/>
      <c r="C563" s="101"/>
      <c r="D563" s="101"/>
      <c r="E563" s="101"/>
      <c r="F563" s="101"/>
      <c r="G563" s="101"/>
      <c r="H563" s="101"/>
      <c r="I563" s="101"/>
      <c r="J563" s="101"/>
      <c r="K563" s="101"/>
      <c r="L563" s="82"/>
    </row>
    <row r="564" hidden="1">
      <c r="A564" s="101"/>
      <c r="B564" s="103"/>
      <c r="C564" s="101"/>
      <c r="D564" s="101"/>
      <c r="E564" s="101"/>
      <c r="F564" s="101"/>
      <c r="G564" s="101"/>
      <c r="H564" s="101"/>
      <c r="I564" s="101"/>
      <c r="J564" s="101"/>
      <c r="K564" s="101"/>
      <c r="L564" s="82"/>
    </row>
    <row r="565" hidden="1">
      <c r="A565" s="101"/>
      <c r="B565" s="103"/>
      <c r="C565" s="101"/>
      <c r="D565" s="101"/>
      <c r="E565" s="101"/>
      <c r="F565" s="101"/>
      <c r="G565" s="101"/>
      <c r="H565" s="101"/>
      <c r="I565" s="101"/>
      <c r="J565" s="101"/>
      <c r="K565" s="101"/>
      <c r="L565" s="82"/>
    </row>
    <row r="566" hidden="1">
      <c r="A566" s="101"/>
      <c r="B566" s="103"/>
      <c r="C566" s="101"/>
      <c r="D566" s="101"/>
      <c r="E566" s="101"/>
      <c r="F566" s="101"/>
      <c r="G566" s="101"/>
      <c r="H566" s="101"/>
      <c r="I566" s="101"/>
      <c r="J566" s="101"/>
      <c r="K566" s="101"/>
      <c r="L566" s="82"/>
    </row>
    <row r="567" hidden="1">
      <c r="A567" s="101"/>
      <c r="B567" s="103"/>
      <c r="C567" s="101"/>
      <c r="D567" s="101"/>
      <c r="E567" s="101"/>
      <c r="F567" s="101"/>
      <c r="G567" s="101"/>
      <c r="H567" s="101"/>
      <c r="I567" s="101"/>
      <c r="J567" s="101"/>
      <c r="K567" s="101"/>
      <c r="L567" s="82"/>
    </row>
    <row r="568" hidden="1">
      <c r="A568" s="101"/>
      <c r="B568" s="103"/>
      <c r="C568" s="101"/>
      <c r="D568" s="101"/>
      <c r="E568" s="101"/>
      <c r="F568" s="101"/>
      <c r="G568" s="101"/>
      <c r="H568" s="101"/>
      <c r="I568" s="101"/>
      <c r="J568" s="101"/>
      <c r="K568" s="101"/>
      <c r="L568" s="82"/>
    </row>
    <row r="569" hidden="1">
      <c r="A569" s="101"/>
      <c r="B569" s="103"/>
      <c r="C569" s="101"/>
      <c r="D569" s="101"/>
      <c r="E569" s="101"/>
      <c r="F569" s="101"/>
      <c r="G569" s="101"/>
      <c r="H569" s="101"/>
      <c r="I569" s="101"/>
      <c r="J569" s="101"/>
      <c r="K569" s="101"/>
      <c r="L569" s="82"/>
    </row>
    <row r="570" hidden="1">
      <c r="A570" s="101"/>
      <c r="B570" s="103"/>
      <c r="C570" s="101"/>
      <c r="D570" s="101"/>
      <c r="E570" s="101"/>
      <c r="F570" s="101"/>
      <c r="G570" s="101"/>
      <c r="H570" s="101"/>
      <c r="I570" s="101"/>
      <c r="J570" s="101"/>
      <c r="K570" s="101"/>
      <c r="L570" s="82"/>
    </row>
    <row r="571" hidden="1">
      <c r="A571" s="101"/>
      <c r="B571" s="103"/>
      <c r="C571" s="101"/>
      <c r="D571" s="101"/>
      <c r="E571" s="101"/>
      <c r="F571" s="101"/>
      <c r="G571" s="101"/>
      <c r="H571" s="101"/>
      <c r="I571" s="101"/>
      <c r="J571" s="101"/>
      <c r="K571" s="101"/>
      <c r="L571" s="82"/>
    </row>
    <row r="572" hidden="1">
      <c r="A572" s="101"/>
      <c r="B572" s="103"/>
      <c r="C572" s="101"/>
      <c r="D572" s="101"/>
      <c r="E572" s="101"/>
      <c r="F572" s="101"/>
      <c r="G572" s="101"/>
      <c r="H572" s="101"/>
      <c r="I572" s="101"/>
      <c r="J572" s="101"/>
      <c r="K572" s="101"/>
      <c r="L572" s="82"/>
    </row>
    <row r="573" hidden="1">
      <c r="A573" s="101"/>
      <c r="B573" s="103"/>
      <c r="C573" s="101"/>
      <c r="D573" s="101"/>
      <c r="E573" s="101"/>
      <c r="F573" s="101"/>
      <c r="G573" s="101"/>
      <c r="H573" s="101"/>
      <c r="I573" s="101"/>
      <c r="J573" s="101"/>
      <c r="K573" s="101"/>
      <c r="L573" s="82"/>
    </row>
    <row r="574" hidden="1">
      <c r="A574" s="101"/>
      <c r="B574" s="103"/>
      <c r="C574" s="101"/>
      <c r="D574" s="101"/>
      <c r="E574" s="101"/>
      <c r="F574" s="101"/>
      <c r="G574" s="101"/>
      <c r="H574" s="101"/>
      <c r="I574" s="101"/>
      <c r="J574" s="101"/>
      <c r="K574" s="101"/>
      <c r="L574" s="82"/>
    </row>
    <row r="575" hidden="1">
      <c r="A575" s="101"/>
      <c r="B575" s="103"/>
      <c r="C575" s="101"/>
      <c r="D575" s="101"/>
      <c r="E575" s="101"/>
      <c r="F575" s="101"/>
      <c r="G575" s="101"/>
      <c r="H575" s="101"/>
      <c r="I575" s="101"/>
      <c r="J575" s="101"/>
      <c r="K575" s="101"/>
      <c r="L575" s="82"/>
    </row>
    <row r="576" hidden="1">
      <c r="A576" s="101"/>
      <c r="B576" s="103"/>
      <c r="C576" s="101"/>
      <c r="D576" s="101"/>
      <c r="E576" s="101"/>
      <c r="F576" s="101"/>
      <c r="G576" s="101"/>
      <c r="H576" s="101"/>
      <c r="I576" s="101"/>
      <c r="J576" s="101"/>
      <c r="K576" s="101"/>
      <c r="L576" s="82"/>
    </row>
    <row r="577" hidden="1">
      <c r="A577" s="101"/>
      <c r="B577" s="103"/>
      <c r="C577" s="101"/>
      <c r="D577" s="101"/>
      <c r="E577" s="101"/>
      <c r="F577" s="101"/>
      <c r="G577" s="101"/>
      <c r="H577" s="101"/>
      <c r="I577" s="101"/>
      <c r="J577" s="101"/>
      <c r="K577" s="101"/>
      <c r="L577" s="82"/>
    </row>
    <row r="578" hidden="1">
      <c r="A578" s="101"/>
      <c r="B578" s="103"/>
      <c r="C578" s="101"/>
      <c r="D578" s="101"/>
      <c r="E578" s="101"/>
      <c r="F578" s="101"/>
      <c r="G578" s="101"/>
      <c r="H578" s="101"/>
      <c r="I578" s="101"/>
      <c r="J578" s="101"/>
      <c r="K578" s="101"/>
      <c r="L578" s="82"/>
    </row>
    <row r="579" hidden="1">
      <c r="A579" s="101"/>
      <c r="B579" s="103"/>
      <c r="C579" s="101"/>
      <c r="D579" s="101"/>
      <c r="E579" s="101"/>
      <c r="F579" s="101"/>
      <c r="G579" s="101"/>
      <c r="H579" s="101"/>
      <c r="I579" s="101"/>
      <c r="J579" s="101"/>
      <c r="K579" s="101"/>
      <c r="L579" s="82"/>
    </row>
    <row r="580" hidden="1">
      <c r="A580" s="101"/>
      <c r="B580" s="103"/>
      <c r="C580" s="101"/>
      <c r="D580" s="101"/>
      <c r="E580" s="101"/>
      <c r="F580" s="101"/>
      <c r="G580" s="101"/>
      <c r="H580" s="101"/>
      <c r="I580" s="101"/>
      <c r="J580" s="101"/>
      <c r="K580" s="101"/>
      <c r="L580" s="82"/>
    </row>
    <row r="581" hidden="1">
      <c r="A581" s="101"/>
      <c r="B581" s="103"/>
      <c r="C581" s="101"/>
      <c r="D581" s="101"/>
      <c r="E581" s="101"/>
      <c r="F581" s="101"/>
      <c r="G581" s="101"/>
      <c r="H581" s="101"/>
      <c r="I581" s="101"/>
      <c r="J581" s="101"/>
      <c r="K581" s="101"/>
      <c r="L581" s="82"/>
    </row>
    <row r="582" hidden="1">
      <c r="A582" s="101"/>
      <c r="B582" s="103"/>
      <c r="C582" s="101"/>
      <c r="D582" s="101"/>
      <c r="E582" s="101"/>
      <c r="F582" s="101"/>
      <c r="G582" s="101"/>
      <c r="H582" s="101"/>
      <c r="I582" s="101"/>
      <c r="J582" s="101"/>
      <c r="K582" s="101"/>
      <c r="L582" s="82"/>
    </row>
    <row r="583" hidden="1">
      <c r="A583" s="101"/>
      <c r="B583" s="103"/>
      <c r="C583" s="101"/>
      <c r="D583" s="101"/>
      <c r="E583" s="101"/>
      <c r="F583" s="101"/>
      <c r="G583" s="101"/>
      <c r="H583" s="101"/>
      <c r="I583" s="101"/>
      <c r="J583" s="101"/>
      <c r="K583" s="101"/>
      <c r="L583" s="82"/>
    </row>
    <row r="584" hidden="1">
      <c r="A584" s="101"/>
      <c r="B584" s="103"/>
      <c r="C584" s="101"/>
      <c r="D584" s="101"/>
      <c r="E584" s="101"/>
      <c r="F584" s="101"/>
      <c r="G584" s="101"/>
      <c r="H584" s="101"/>
      <c r="I584" s="101"/>
      <c r="J584" s="101"/>
      <c r="K584" s="101"/>
      <c r="L584" s="82"/>
    </row>
    <row r="585" hidden="1">
      <c r="A585" s="101"/>
      <c r="B585" s="103"/>
      <c r="C585" s="101"/>
      <c r="D585" s="101"/>
      <c r="E585" s="101"/>
      <c r="F585" s="101"/>
      <c r="G585" s="101"/>
      <c r="H585" s="101"/>
      <c r="I585" s="101"/>
      <c r="J585" s="101"/>
      <c r="K585" s="101"/>
      <c r="L585" s="82"/>
    </row>
    <row r="586" hidden="1">
      <c r="A586" s="101"/>
      <c r="B586" s="103"/>
      <c r="C586" s="101"/>
      <c r="D586" s="101"/>
      <c r="E586" s="101"/>
      <c r="F586" s="101"/>
      <c r="G586" s="101"/>
      <c r="H586" s="101"/>
      <c r="I586" s="101"/>
      <c r="J586" s="101"/>
      <c r="K586" s="101"/>
      <c r="L586" s="82"/>
    </row>
    <row r="587" hidden="1">
      <c r="A587" s="101"/>
      <c r="B587" s="103"/>
      <c r="C587" s="101"/>
      <c r="D587" s="101"/>
      <c r="E587" s="101"/>
      <c r="F587" s="101"/>
      <c r="G587" s="101"/>
      <c r="H587" s="101"/>
      <c r="I587" s="101"/>
      <c r="J587" s="101"/>
      <c r="K587" s="101"/>
      <c r="L587" s="82"/>
    </row>
    <row r="588" hidden="1">
      <c r="A588" s="101"/>
      <c r="B588" s="103"/>
      <c r="C588" s="101"/>
      <c r="D588" s="101"/>
      <c r="E588" s="101"/>
      <c r="F588" s="101"/>
      <c r="G588" s="101"/>
      <c r="H588" s="101"/>
      <c r="I588" s="101"/>
      <c r="J588" s="101"/>
      <c r="K588" s="101"/>
      <c r="L588" s="82"/>
    </row>
    <row r="589" hidden="1">
      <c r="A589" s="101"/>
      <c r="B589" s="103"/>
      <c r="C589" s="101"/>
      <c r="D589" s="101"/>
      <c r="E589" s="101"/>
      <c r="F589" s="101"/>
      <c r="G589" s="101"/>
      <c r="H589" s="101"/>
      <c r="I589" s="101"/>
      <c r="J589" s="101"/>
      <c r="K589" s="101"/>
      <c r="L589" s="82"/>
    </row>
    <row r="590" hidden="1">
      <c r="A590" s="101"/>
      <c r="B590" s="103"/>
      <c r="C590" s="101"/>
      <c r="D590" s="101"/>
      <c r="E590" s="101"/>
      <c r="F590" s="101"/>
      <c r="G590" s="101"/>
      <c r="H590" s="101"/>
      <c r="I590" s="101"/>
      <c r="J590" s="101"/>
      <c r="K590" s="101"/>
      <c r="L590" s="82"/>
    </row>
    <row r="591" hidden="1">
      <c r="A591" s="101"/>
      <c r="B591" s="103"/>
      <c r="C591" s="101"/>
      <c r="D591" s="101"/>
      <c r="E591" s="101"/>
      <c r="F591" s="101"/>
      <c r="G591" s="101"/>
      <c r="H591" s="101"/>
      <c r="I591" s="101"/>
      <c r="J591" s="101"/>
      <c r="K591" s="101"/>
      <c r="L591" s="82"/>
    </row>
    <row r="592" hidden="1">
      <c r="A592" s="101"/>
      <c r="B592" s="103"/>
      <c r="C592" s="101"/>
      <c r="D592" s="101"/>
      <c r="E592" s="101"/>
      <c r="F592" s="101"/>
      <c r="G592" s="101"/>
      <c r="H592" s="101"/>
      <c r="I592" s="101"/>
      <c r="J592" s="101"/>
      <c r="K592" s="101"/>
      <c r="L592" s="82"/>
    </row>
    <row r="593" hidden="1">
      <c r="A593" s="101"/>
      <c r="B593" s="103"/>
      <c r="C593" s="101"/>
      <c r="D593" s="101"/>
      <c r="E593" s="101"/>
      <c r="F593" s="101"/>
      <c r="G593" s="101"/>
      <c r="H593" s="101"/>
      <c r="I593" s="101"/>
      <c r="J593" s="101"/>
      <c r="K593" s="101"/>
      <c r="L593" s="82"/>
    </row>
    <row r="594" hidden="1">
      <c r="A594" s="101"/>
      <c r="B594" s="103"/>
      <c r="C594" s="101"/>
      <c r="D594" s="101"/>
      <c r="E594" s="101"/>
      <c r="F594" s="101"/>
      <c r="G594" s="101"/>
      <c r="H594" s="101"/>
      <c r="I594" s="101"/>
      <c r="J594" s="101"/>
      <c r="K594" s="101"/>
      <c r="L594" s="82"/>
    </row>
    <row r="595" hidden="1">
      <c r="A595" s="101"/>
      <c r="B595" s="103"/>
      <c r="C595" s="101"/>
      <c r="D595" s="101"/>
      <c r="E595" s="101"/>
      <c r="F595" s="101"/>
      <c r="G595" s="101"/>
      <c r="H595" s="101"/>
      <c r="I595" s="101"/>
      <c r="J595" s="101"/>
      <c r="K595" s="101"/>
      <c r="L595" s="82"/>
    </row>
    <row r="596" hidden="1">
      <c r="A596" s="101"/>
      <c r="B596" s="103"/>
      <c r="C596" s="101"/>
      <c r="D596" s="101"/>
      <c r="E596" s="101"/>
      <c r="F596" s="101"/>
      <c r="G596" s="101"/>
      <c r="H596" s="101"/>
      <c r="I596" s="101"/>
      <c r="J596" s="101"/>
      <c r="K596" s="101"/>
      <c r="L596" s="82"/>
    </row>
    <row r="597" hidden="1">
      <c r="A597" s="101"/>
      <c r="B597" s="103"/>
      <c r="C597" s="101"/>
      <c r="D597" s="101"/>
      <c r="E597" s="101"/>
      <c r="F597" s="101"/>
      <c r="G597" s="101"/>
      <c r="H597" s="101"/>
      <c r="I597" s="101"/>
      <c r="J597" s="101"/>
      <c r="K597" s="101"/>
      <c r="L597" s="82"/>
    </row>
    <row r="598" hidden="1">
      <c r="A598" s="101"/>
      <c r="B598" s="103"/>
      <c r="C598" s="101"/>
      <c r="D598" s="101"/>
      <c r="E598" s="101"/>
      <c r="F598" s="101"/>
      <c r="G598" s="101"/>
      <c r="H598" s="101"/>
      <c r="I598" s="101"/>
      <c r="J598" s="101"/>
      <c r="K598" s="101"/>
      <c r="L598" s="82"/>
    </row>
    <row r="599" hidden="1">
      <c r="A599" s="101"/>
      <c r="B599" s="103"/>
      <c r="C599" s="101"/>
      <c r="D599" s="101"/>
      <c r="E599" s="101"/>
      <c r="F599" s="101"/>
      <c r="G599" s="101"/>
      <c r="H599" s="101"/>
      <c r="I599" s="101"/>
      <c r="J599" s="101"/>
      <c r="K599" s="101"/>
      <c r="L599" s="82"/>
    </row>
    <row r="600" hidden="1">
      <c r="A600" s="101"/>
      <c r="B600" s="103"/>
      <c r="C600" s="101"/>
      <c r="D600" s="101"/>
      <c r="E600" s="101"/>
      <c r="F600" s="101"/>
      <c r="G600" s="101"/>
      <c r="H600" s="101"/>
      <c r="I600" s="101"/>
      <c r="J600" s="101"/>
      <c r="K600" s="101"/>
      <c r="L600" s="82"/>
    </row>
    <row r="601" hidden="1">
      <c r="A601" s="101"/>
      <c r="B601" s="103"/>
      <c r="C601" s="101"/>
      <c r="D601" s="101"/>
      <c r="E601" s="101"/>
      <c r="F601" s="101"/>
      <c r="G601" s="101"/>
      <c r="H601" s="101"/>
      <c r="I601" s="101"/>
      <c r="J601" s="101"/>
      <c r="K601" s="101"/>
      <c r="L601" s="82"/>
    </row>
    <row r="602" hidden="1">
      <c r="A602" s="101"/>
      <c r="B602" s="103"/>
      <c r="C602" s="101"/>
      <c r="D602" s="101"/>
      <c r="E602" s="101"/>
      <c r="F602" s="101"/>
      <c r="G602" s="101"/>
      <c r="H602" s="101"/>
      <c r="I602" s="101"/>
      <c r="J602" s="101"/>
      <c r="K602" s="101"/>
      <c r="L602" s="82"/>
    </row>
    <row r="603" hidden="1">
      <c r="A603" s="101"/>
      <c r="B603" s="103"/>
      <c r="C603" s="101"/>
      <c r="D603" s="101"/>
      <c r="E603" s="101"/>
      <c r="F603" s="101"/>
      <c r="G603" s="101"/>
      <c r="H603" s="101"/>
      <c r="I603" s="101"/>
      <c r="J603" s="101"/>
      <c r="K603" s="101"/>
      <c r="L603" s="82"/>
    </row>
    <row r="604" hidden="1">
      <c r="A604" s="101"/>
      <c r="B604" s="103"/>
      <c r="C604" s="101"/>
      <c r="D604" s="101"/>
      <c r="E604" s="101"/>
      <c r="F604" s="101"/>
      <c r="G604" s="101"/>
      <c r="H604" s="101"/>
      <c r="I604" s="101"/>
      <c r="J604" s="101"/>
      <c r="K604" s="101"/>
      <c r="L604" s="82"/>
    </row>
    <row r="605" hidden="1">
      <c r="A605" s="101"/>
      <c r="B605" s="103"/>
      <c r="C605" s="101"/>
      <c r="D605" s="101"/>
      <c r="E605" s="101"/>
      <c r="F605" s="101"/>
      <c r="G605" s="101"/>
      <c r="H605" s="101"/>
      <c r="I605" s="101"/>
      <c r="J605" s="101"/>
      <c r="K605" s="101"/>
      <c r="L605" s="82"/>
    </row>
    <row r="606" hidden="1">
      <c r="A606" s="101"/>
      <c r="B606" s="103"/>
      <c r="C606" s="101"/>
      <c r="D606" s="101"/>
      <c r="E606" s="101"/>
      <c r="F606" s="101"/>
      <c r="G606" s="101"/>
      <c r="H606" s="101"/>
      <c r="I606" s="101"/>
      <c r="J606" s="101"/>
      <c r="K606" s="101"/>
      <c r="L606" s="82"/>
    </row>
    <row r="607" hidden="1">
      <c r="A607" s="101"/>
      <c r="B607" s="103"/>
      <c r="C607" s="101"/>
      <c r="D607" s="101"/>
      <c r="E607" s="101"/>
      <c r="F607" s="101"/>
      <c r="G607" s="101"/>
      <c r="H607" s="101"/>
      <c r="I607" s="101"/>
      <c r="J607" s="101"/>
      <c r="K607" s="101"/>
      <c r="L607" s="82"/>
    </row>
    <row r="608" hidden="1">
      <c r="A608" s="101"/>
      <c r="B608" s="103"/>
      <c r="C608" s="101"/>
      <c r="D608" s="101"/>
      <c r="E608" s="101"/>
      <c r="F608" s="101"/>
      <c r="G608" s="101"/>
      <c r="H608" s="101"/>
      <c r="I608" s="101"/>
      <c r="J608" s="101"/>
      <c r="K608" s="101"/>
      <c r="L608" s="82"/>
    </row>
    <row r="609" hidden="1">
      <c r="A609" s="101"/>
      <c r="B609" s="103"/>
      <c r="C609" s="101"/>
      <c r="D609" s="101"/>
      <c r="E609" s="101"/>
      <c r="F609" s="101"/>
      <c r="G609" s="101"/>
      <c r="H609" s="101"/>
      <c r="I609" s="101"/>
      <c r="J609" s="101"/>
      <c r="K609" s="101"/>
      <c r="L609" s="82"/>
    </row>
    <row r="610" hidden="1">
      <c r="A610" s="101"/>
      <c r="B610" s="103"/>
      <c r="C610" s="101"/>
      <c r="D610" s="101"/>
      <c r="E610" s="101"/>
      <c r="F610" s="101"/>
      <c r="G610" s="101"/>
      <c r="H610" s="101"/>
      <c r="I610" s="101"/>
      <c r="J610" s="101"/>
      <c r="K610" s="101"/>
      <c r="L610" s="82"/>
    </row>
    <row r="611" hidden="1">
      <c r="A611" s="101"/>
      <c r="B611" s="103"/>
      <c r="C611" s="101"/>
      <c r="D611" s="101"/>
      <c r="E611" s="101"/>
      <c r="F611" s="101"/>
      <c r="G611" s="101"/>
      <c r="H611" s="101"/>
      <c r="I611" s="101"/>
      <c r="J611" s="101"/>
      <c r="K611" s="101"/>
      <c r="L611" s="82"/>
    </row>
    <row r="612" hidden="1">
      <c r="A612" s="101"/>
      <c r="B612" s="103"/>
      <c r="C612" s="101"/>
      <c r="D612" s="101"/>
      <c r="E612" s="101"/>
      <c r="F612" s="101"/>
      <c r="G612" s="101"/>
      <c r="H612" s="101"/>
      <c r="I612" s="101"/>
      <c r="J612" s="101"/>
      <c r="K612" s="101"/>
      <c r="L612" s="82"/>
    </row>
    <row r="613" hidden="1">
      <c r="A613" s="101"/>
      <c r="B613" s="103"/>
      <c r="C613" s="101"/>
      <c r="D613" s="101"/>
      <c r="E613" s="101"/>
      <c r="F613" s="101"/>
      <c r="G613" s="101"/>
      <c r="H613" s="101"/>
      <c r="I613" s="101"/>
      <c r="J613" s="101"/>
      <c r="K613" s="101"/>
      <c r="L613" s="82"/>
    </row>
    <row r="614" hidden="1">
      <c r="A614" s="101"/>
      <c r="B614" s="103"/>
      <c r="C614" s="101"/>
      <c r="D614" s="101"/>
      <c r="E614" s="101"/>
      <c r="F614" s="101"/>
      <c r="G614" s="101"/>
      <c r="H614" s="101"/>
      <c r="I614" s="101"/>
      <c r="J614" s="101"/>
      <c r="K614" s="101"/>
      <c r="L614" s="82"/>
    </row>
    <row r="615" hidden="1">
      <c r="A615" s="101"/>
      <c r="B615" s="103"/>
      <c r="C615" s="101"/>
      <c r="D615" s="101"/>
      <c r="E615" s="101"/>
      <c r="F615" s="101"/>
      <c r="G615" s="101"/>
      <c r="H615" s="101"/>
      <c r="I615" s="101"/>
      <c r="J615" s="101"/>
      <c r="K615" s="101"/>
      <c r="L615" s="82"/>
    </row>
    <row r="616" hidden="1">
      <c r="A616" s="101"/>
      <c r="B616" s="103"/>
      <c r="C616" s="101"/>
      <c r="D616" s="101"/>
      <c r="E616" s="101"/>
      <c r="F616" s="101"/>
      <c r="G616" s="101"/>
      <c r="H616" s="101"/>
      <c r="I616" s="101"/>
      <c r="J616" s="101"/>
      <c r="K616" s="101"/>
      <c r="L616" s="82"/>
    </row>
    <row r="617" hidden="1">
      <c r="A617" s="101"/>
      <c r="B617" s="103"/>
      <c r="C617" s="101"/>
      <c r="D617" s="101"/>
      <c r="E617" s="101"/>
      <c r="F617" s="101"/>
      <c r="G617" s="101"/>
      <c r="H617" s="101"/>
      <c r="I617" s="101"/>
      <c r="J617" s="101"/>
      <c r="K617" s="101"/>
      <c r="L617" s="82"/>
    </row>
    <row r="618" hidden="1">
      <c r="A618" s="101"/>
      <c r="B618" s="103"/>
      <c r="C618" s="101"/>
      <c r="D618" s="101"/>
      <c r="E618" s="101"/>
      <c r="F618" s="101"/>
      <c r="G618" s="101"/>
      <c r="H618" s="101"/>
      <c r="I618" s="101"/>
      <c r="J618" s="101"/>
      <c r="K618" s="101"/>
      <c r="L618" s="82"/>
    </row>
    <row r="619" hidden="1">
      <c r="A619" s="101"/>
      <c r="B619" s="103"/>
      <c r="C619" s="101"/>
      <c r="D619" s="101"/>
      <c r="E619" s="101"/>
      <c r="F619" s="101"/>
      <c r="G619" s="101"/>
      <c r="H619" s="101"/>
      <c r="I619" s="101"/>
      <c r="J619" s="101"/>
      <c r="K619" s="101"/>
      <c r="L619" s="82"/>
    </row>
    <row r="620" hidden="1">
      <c r="A620" s="101"/>
      <c r="B620" s="103"/>
      <c r="C620" s="101"/>
      <c r="D620" s="101"/>
      <c r="E620" s="101"/>
      <c r="F620" s="101"/>
      <c r="G620" s="101"/>
      <c r="H620" s="101"/>
      <c r="I620" s="101"/>
      <c r="J620" s="101"/>
      <c r="K620" s="101"/>
      <c r="L620" s="82"/>
    </row>
    <row r="621" hidden="1">
      <c r="A621" s="101"/>
      <c r="B621" s="103"/>
      <c r="C621" s="101"/>
      <c r="D621" s="101"/>
      <c r="E621" s="101"/>
      <c r="F621" s="101"/>
      <c r="G621" s="101"/>
      <c r="H621" s="101"/>
      <c r="I621" s="101"/>
      <c r="J621" s="101"/>
      <c r="K621" s="101"/>
      <c r="L621" s="82"/>
    </row>
    <row r="622" hidden="1">
      <c r="A622" s="101"/>
      <c r="B622" s="103"/>
      <c r="C622" s="101"/>
      <c r="D622" s="101"/>
      <c r="E622" s="101"/>
      <c r="F622" s="101"/>
      <c r="G622" s="101"/>
      <c r="H622" s="101"/>
      <c r="I622" s="101"/>
      <c r="J622" s="101"/>
      <c r="K622" s="101"/>
      <c r="L622" s="82"/>
    </row>
    <row r="623" hidden="1">
      <c r="A623" s="101"/>
      <c r="B623" s="103"/>
      <c r="C623" s="101"/>
      <c r="D623" s="101"/>
      <c r="E623" s="101"/>
      <c r="F623" s="101"/>
      <c r="G623" s="101"/>
      <c r="H623" s="101"/>
      <c r="I623" s="101"/>
      <c r="J623" s="101"/>
      <c r="K623" s="101"/>
      <c r="L623" s="82"/>
    </row>
    <row r="624" hidden="1">
      <c r="A624" s="101"/>
      <c r="B624" s="103"/>
      <c r="C624" s="101"/>
      <c r="D624" s="101"/>
      <c r="E624" s="101"/>
      <c r="F624" s="101"/>
      <c r="G624" s="101"/>
      <c r="H624" s="101"/>
      <c r="I624" s="101"/>
      <c r="J624" s="101"/>
      <c r="K624" s="101"/>
      <c r="L624" s="82"/>
    </row>
    <row r="625" hidden="1">
      <c r="A625" s="101"/>
      <c r="B625" s="103"/>
      <c r="C625" s="101"/>
      <c r="D625" s="101"/>
      <c r="E625" s="101"/>
      <c r="F625" s="101"/>
      <c r="G625" s="101"/>
      <c r="H625" s="101"/>
      <c r="I625" s="101"/>
      <c r="J625" s="101"/>
      <c r="K625" s="101"/>
      <c r="L625" s="82"/>
    </row>
    <row r="626" hidden="1">
      <c r="A626" s="101"/>
      <c r="B626" s="103"/>
      <c r="C626" s="101"/>
      <c r="D626" s="101"/>
      <c r="E626" s="101"/>
      <c r="F626" s="101"/>
      <c r="G626" s="101"/>
      <c r="H626" s="101"/>
      <c r="I626" s="101"/>
      <c r="J626" s="101"/>
      <c r="K626" s="101"/>
      <c r="L626" s="82"/>
    </row>
    <row r="627" hidden="1">
      <c r="A627" s="101"/>
      <c r="B627" s="103"/>
      <c r="C627" s="101"/>
      <c r="D627" s="101"/>
      <c r="E627" s="101"/>
      <c r="F627" s="101"/>
      <c r="G627" s="101"/>
      <c r="H627" s="101"/>
      <c r="I627" s="101"/>
      <c r="J627" s="101"/>
      <c r="K627" s="101"/>
      <c r="L627" s="82"/>
    </row>
    <row r="628" hidden="1">
      <c r="A628" s="101"/>
      <c r="B628" s="103"/>
      <c r="C628" s="101"/>
      <c r="D628" s="101"/>
      <c r="E628" s="101"/>
      <c r="F628" s="101"/>
      <c r="G628" s="101"/>
      <c r="H628" s="101"/>
      <c r="I628" s="101"/>
      <c r="J628" s="101"/>
      <c r="K628" s="101"/>
      <c r="L628" s="82"/>
    </row>
    <row r="629" hidden="1">
      <c r="A629" s="101"/>
      <c r="B629" s="103"/>
      <c r="C629" s="101"/>
      <c r="D629" s="101"/>
      <c r="E629" s="101"/>
      <c r="F629" s="101"/>
      <c r="G629" s="101"/>
      <c r="H629" s="101"/>
      <c r="I629" s="101"/>
      <c r="J629" s="101"/>
      <c r="K629" s="101"/>
      <c r="L629" s="82"/>
    </row>
    <row r="630" hidden="1">
      <c r="A630" s="101"/>
      <c r="B630" s="103"/>
      <c r="C630" s="101"/>
      <c r="D630" s="101"/>
      <c r="E630" s="101"/>
      <c r="F630" s="101"/>
      <c r="G630" s="101"/>
      <c r="H630" s="101"/>
      <c r="I630" s="101"/>
      <c r="J630" s="101"/>
      <c r="K630" s="101"/>
      <c r="L630" s="82"/>
    </row>
    <row r="631" hidden="1">
      <c r="A631" s="101"/>
      <c r="B631" s="103"/>
      <c r="C631" s="101"/>
      <c r="D631" s="101"/>
      <c r="E631" s="101"/>
      <c r="F631" s="101"/>
      <c r="G631" s="101"/>
      <c r="H631" s="101"/>
      <c r="I631" s="101"/>
      <c r="J631" s="101"/>
      <c r="K631" s="101"/>
      <c r="L631" s="82"/>
    </row>
    <row r="632" hidden="1">
      <c r="A632" s="101"/>
      <c r="B632" s="103"/>
      <c r="C632" s="101"/>
      <c r="D632" s="101"/>
      <c r="E632" s="101"/>
      <c r="F632" s="101"/>
      <c r="G632" s="101"/>
      <c r="H632" s="101"/>
      <c r="I632" s="101"/>
      <c r="J632" s="101"/>
      <c r="K632" s="101"/>
      <c r="L632" s="82"/>
    </row>
    <row r="633" hidden="1">
      <c r="A633" s="101"/>
      <c r="B633" s="103"/>
      <c r="C633" s="101"/>
      <c r="D633" s="101"/>
      <c r="E633" s="101"/>
      <c r="F633" s="101"/>
      <c r="G633" s="101"/>
      <c r="H633" s="101"/>
      <c r="I633" s="101"/>
      <c r="J633" s="101"/>
      <c r="K633" s="101"/>
      <c r="L633" s="82"/>
    </row>
    <row r="634" hidden="1">
      <c r="A634" s="101"/>
      <c r="B634" s="103"/>
      <c r="C634" s="101"/>
      <c r="D634" s="101"/>
      <c r="E634" s="101"/>
      <c r="F634" s="101"/>
      <c r="G634" s="101"/>
      <c r="H634" s="101"/>
      <c r="I634" s="101"/>
      <c r="J634" s="101"/>
      <c r="K634" s="101"/>
      <c r="L634" s="82"/>
    </row>
    <row r="635" hidden="1">
      <c r="A635" s="101"/>
      <c r="B635" s="103"/>
      <c r="C635" s="101"/>
      <c r="D635" s="101"/>
      <c r="E635" s="101"/>
      <c r="F635" s="101"/>
      <c r="G635" s="101"/>
      <c r="H635" s="101"/>
      <c r="I635" s="101"/>
      <c r="J635" s="101"/>
      <c r="K635" s="101"/>
      <c r="L635" s="82"/>
    </row>
    <row r="636" hidden="1">
      <c r="A636" s="101"/>
      <c r="B636" s="103"/>
      <c r="C636" s="101"/>
      <c r="D636" s="101"/>
      <c r="E636" s="101"/>
      <c r="F636" s="101"/>
      <c r="G636" s="101"/>
      <c r="H636" s="101"/>
      <c r="I636" s="101"/>
      <c r="J636" s="101"/>
      <c r="K636" s="101"/>
      <c r="L636" s="82"/>
    </row>
    <row r="637" hidden="1">
      <c r="A637" s="101"/>
      <c r="B637" s="103"/>
      <c r="C637" s="101"/>
      <c r="D637" s="101"/>
      <c r="E637" s="101"/>
      <c r="F637" s="101"/>
      <c r="G637" s="101"/>
      <c r="H637" s="101"/>
      <c r="I637" s="101"/>
      <c r="J637" s="101"/>
      <c r="K637" s="101"/>
      <c r="L637" s="82"/>
    </row>
    <row r="638" hidden="1">
      <c r="A638" s="101"/>
      <c r="B638" s="103"/>
      <c r="C638" s="101"/>
      <c r="D638" s="101"/>
      <c r="E638" s="101"/>
      <c r="F638" s="101"/>
      <c r="G638" s="101"/>
      <c r="H638" s="101"/>
      <c r="I638" s="101"/>
      <c r="J638" s="101"/>
      <c r="K638" s="101"/>
      <c r="L638" s="82"/>
    </row>
    <row r="639" hidden="1">
      <c r="A639" s="101"/>
      <c r="B639" s="103"/>
      <c r="C639" s="101"/>
      <c r="D639" s="101"/>
      <c r="E639" s="101"/>
      <c r="F639" s="101"/>
      <c r="G639" s="101"/>
      <c r="H639" s="101"/>
      <c r="I639" s="101"/>
      <c r="J639" s="101"/>
      <c r="K639" s="101"/>
      <c r="L639" s="82"/>
    </row>
    <row r="640" hidden="1">
      <c r="A640" s="101"/>
      <c r="B640" s="103"/>
      <c r="C640" s="101"/>
      <c r="D640" s="101"/>
      <c r="E640" s="101"/>
      <c r="F640" s="101"/>
      <c r="G640" s="101"/>
      <c r="H640" s="101"/>
      <c r="I640" s="101"/>
      <c r="J640" s="101"/>
      <c r="K640" s="101"/>
      <c r="L640" s="82"/>
    </row>
    <row r="641" hidden="1">
      <c r="A641" s="101"/>
      <c r="B641" s="103"/>
      <c r="C641" s="101"/>
      <c r="D641" s="101"/>
      <c r="E641" s="101"/>
      <c r="F641" s="101"/>
      <c r="G641" s="101"/>
      <c r="H641" s="101"/>
      <c r="I641" s="101"/>
      <c r="J641" s="101"/>
      <c r="K641" s="101"/>
      <c r="L641" s="82"/>
    </row>
    <row r="642" hidden="1">
      <c r="A642" s="101"/>
      <c r="B642" s="103"/>
      <c r="C642" s="101"/>
      <c r="D642" s="101"/>
      <c r="E642" s="101"/>
      <c r="F642" s="101"/>
      <c r="G642" s="101"/>
      <c r="H642" s="101"/>
      <c r="I642" s="101"/>
      <c r="J642" s="101"/>
      <c r="K642" s="101"/>
      <c r="L642" s="82"/>
    </row>
    <row r="643" hidden="1">
      <c r="A643" s="101"/>
      <c r="B643" s="103"/>
      <c r="C643" s="101"/>
      <c r="D643" s="101"/>
      <c r="E643" s="101"/>
      <c r="F643" s="101"/>
      <c r="G643" s="101"/>
      <c r="H643" s="101"/>
      <c r="I643" s="101"/>
      <c r="J643" s="101"/>
      <c r="K643" s="101"/>
      <c r="L643" s="82"/>
    </row>
    <row r="644" hidden="1">
      <c r="A644" s="101"/>
      <c r="B644" s="103"/>
      <c r="C644" s="101"/>
      <c r="D644" s="101"/>
      <c r="E644" s="101"/>
      <c r="F644" s="101"/>
      <c r="G644" s="101"/>
      <c r="H644" s="101"/>
      <c r="I644" s="101"/>
      <c r="J644" s="101"/>
      <c r="K644" s="101"/>
      <c r="L644" s="82"/>
    </row>
    <row r="645" hidden="1">
      <c r="A645" s="101"/>
      <c r="B645" s="103"/>
      <c r="C645" s="101"/>
      <c r="D645" s="101"/>
      <c r="E645" s="101"/>
      <c r="F645" s="101"/>
      <c r="G645" s="101"/>
      <c r="H645" s="101"/>
      <c r="I645" s="101"/>
      <c r="J645" s="101"/>
      <c r="K645" s="101"/>
      <c r="L645" s="82"/>
    </row>
    <row r="646" hidden="1">
      <c r="A646" s="101"/>
      <c r="B646" s="103"/>
      <c r="C646" s="101"/>
      <c r="D646" s="101"/>
      <c r="E646" s="101"/>
      <c r="F646" s="101"/>
      <c r="G646" s="101"/>
      <c r="H646" s="101"/>
      <c r="I646" s="101"/>
      <c r="J646" s="101"/>
      <c r="K646" s="101"/>
      <c r="L646" s="82"/>
    </row>
    <row r="647" hidden="1">
      <c r="A647" s="101"/>
      <c r="B647" s="103"/>
      <c r="C647" s="101"/>
      <c r="D647" s="101"/>
      <c r="E647" s="101"/>
      <c r="F647" s="101"/>
      <c r="G647" s="101"/>
      <c r="H647" s="101"/>
      <c r="I647" s="101"/>
      <c r="J647" s="101"/>
      <c r="K647" s="101"/>
      <c r="L647" s="82"/>
    </row>
    <row r="648" hidden="1">
      <c r="A648" s="101"/>
      <c r="B648" s="103"/>
      <c r="C648" s="101"/>
      <c r="D648" s="101"/>
      <c r="E648" s="101"/>
      <c r="F648" s="101"/>
      <c r="G648" s="101"/>
      <c r="H648" s="101"/>
      <c r="I648" s="101"/>
      <c r="J648" s="101"/>
      <c r="K648" s="101"/>
      <c r="L648" s="82"/>
    </row>
    <row r="649" hidden="1">
      <c r="A649" s="101"/>
      <c r="B649" s="103"/>
      <c r="C649" s="101"/>
      <c r="D649" s="101"/>
      <c r="E649" s="101"/>
      <c r="F649" s="101"/>
      <c r="G649" s="101"/>
      <c r="H649" s="101"/>
      <c r="I649" s="101"/>
      <c r="J649" s="101"/>
      <c r="K649" s="101"/>
      <c r="L649" s="82"/>
    </row>
    <row r="650" hidden="1">
      <c r="A650" s="101"/>
      <c r="B650" s="103"/>
      <c r="C650" s="101"/>
      <c r="D650" s="101"/>
      <c r="E650" s="101"/>
      <c r="F650" s="101"/>
      <c r="G650" s="101"/>
      <c r="H650" s="101"/>
      <c r="I650" s="101"/>
      <c r="J650" s="101"/>
      <c r="K650" s="101"/>
      <c r="L650" s="82"/>
    </row>
    <row r="651" hidden="1">
      <c r="A651" s="101"/>
      <c r="B651" s="103"/>
      <c r="C651" s="101"/>
      <c r="D651" s="101"/>
      <c r="E651" s="101"/>
      <c r="F651" s="101"/>
      <c r="G651" s="101"/>
      <c r="H651" s="101"/>
      <c r="I651" s="101"/>
      <c r="J651" s="101"/>
      <c r="K651" s="101"/>
      <c r="L651" s="82"/>
    </row>
    <row r="652" hidden="1">
      <c r="A652" s="101"/>
      <c r="B652" s="103"/>
      <c r="C652" s="101"/>
      <c r="D652" s="101"/>
      <c r="E652" s="101"/>
      <c r="F652" s="101"/>
      <c r="G652" s="101"/>
      <c r="H652" s="101"/>
      <c r="I652" s="101"/>
      <c r="J652" s="101"/>
      <c r="K652" s="101"/>
      <c r="L652" s="82"/>
    </row>
    <row r="653" hidden="1">
      <c r="A653" s="101"/>
      <c r="B653" s="103"/>
      <c r="C653" s="101"/>
      <c r="D653" s="101"/>
      <c r="E653" s="101"/>
      <c r="F653" s="101"/>
      <c r="G653" s="101"/>
      <c r="H653" s="101"/>
      <c r="I653" s="101"/>
      <c r="J653" s="101"/>
      <c r="K653" s="101"/>
      <c r="L653" s="82"/>
    </row>
    <row r="654" hidden="1">
      <c r="A654" s="101"/>
      <c r="B654" s="103"/>
      <c r="C654" s="101"/>
      <c r="D654" s="101"/>
      <c r="E654" s="101"/>
      <c r="F654" s="101"/>
      <c r="G654" s="101"/>
      <c r="H654" s="101"/>
      <c r="I654" s="101"/>
      <c r="J654" s="101"/>
      <c r="K654" s="101"/>
      <c r="L654" s="82"/>
    </row>
    <row r="655" hidden="1">
      <c r="A655" s="101"/>
      <c r="B655" s="103"/>
      <c r="C655" s="101"/>
      <c r="D655" s="101"/>
      <c r="E655" s="101"/>
      <c r="F655" s="101"/>
      <c r="G655" s="101"/>
      <c r="H655" s="101"/>
      <c r="I655" s="101"/>
      <c r="J655" s="101"/>
      <c r="K655" s="101"/>
      <c r="L655" s="82"/>
    </row>
    <row r="656" hidden="1">
      <c r="A656" s="101"/>
      <c r="B656" s="103"/>
      <c r="C656" s="101"/>
      <c r="D656" s="101"/>
      <c r="E656" s="101"/>
      <c r="F656" s="101"/>
      <c r="G656" s="101"/>
      <c r="H656" s="101"/>
      <c r="I656" s="101"/>
      <c r="J656" s="101"/>
      <c r="K656" s="101"/>
      <c r="L656" s="82"/>
    </row>
    <row r="657" hidden="1">
      <c r="A657" s="101"/>
      <c r="B657" s="103"/>
      <c r="C657" s="101"/>
      <c r="D657" s="101"/>
      <c r="E657" s="101"/>
      <c r="F657" s="101"/>
      <c r="G657" s="101"/>
      <c r="H657" s="101"/>
      <c r="I657" s="101"/>
      <c r="J657" s="101"/>
      <c r="K657" s="101"/>
      <c r="L657" s="82"/>
    </row>
    <row r="658" hidden="1">
      <c r="A658" s="101"/>
      <c r="B658" s="103"/>
      <c r="C658" s="101"/>
      <c r="D658" s="101"/>
      <c r="E658" s="101"/>
      <c r="F658" s="101"/>
      <c r="G658" s="101"/>
      <c r="H658" s="101"/>
      <c r="I658" s="101"/>
      <c r="J658" s="101"/>
      <c r="K658" s="101"/>
      <c r="L658" s="82"/>
    </row>
    <row r="659" hidden="1">
      <c r="A659" s="101"/>
      <c r="B659" s="103"/>
      <c r="C659" s="101"/>
      <c r="D659" s="101"/>
      <c r="E659" s="101"/>
      <c r="F659" s="101"/>
      <c r="G659" s="101"/>
      <c r="H659" s="101"/>
      <c r="I659" s="101"/>
      <c r="J659" s="101"/>
      <c r="K659" s="101"/>
      <c r="L659" s="82"/>
    </row>
    <row r="660" hidden="1">
      <c r="A660" s="101"/>
      <c r="B660" s="103"/>
      <c r="C660" s="101"/>
      <c r="D660" s="101"/>
      <c r="E660" s="101"/>
      <c r="F660" s="101"/>
      <c r="G660" s="101"/>
      <c r="H660" s="101"/>
      <c r="I660" s="101"/>
      <c r="J660" s="101"/>
      <c r="K660" s="101"/>
      <c r="L660" s="82"/>
    </row>
    <row r="661" hidden="1">
      <c r="A661" s="101"/>
      <c r="B661" s="103"/>
      <c r="C661" s="101"/>
      <c r="D661" s="101"/>
      <c r="E661" s="101"/>
      <c r="F661" s="101"/>
      <c r="G661" s="101"/>
      <c r="H661" s="101"/>
      <c r="I661" s="101"/>
      <c r="J661" s="101"/>
      <c r="K661" s="101"/>
      <c r="L661" s="82"/>
    </row>
    <row r="662" hidden="1">
      <c r="A662" s="101"/>
      <c r="B662" s="103"/>
      <c r="C662" s="101"/>
      <c r="D662" s="101"/>
      <c r="E662" s="101"/>
      <c r="F662" s="101"/>
      <c r="G662" s="101"/>
      <c r="H662" s="101"/>
      <c r="I662" s="101"/>
      <c r="J662" s="101"/>
      <c r="K662" s="101"/>
      <c r="L662" s="82"/>
    </row>
    <row r="663" hidden="1">
      <c r="A663" s="101"/>
      <c r="B663" s="103"/>
      <c r="C663" s="101"/>
      <c r="D663" s="101"/>
      <c r="E663" s="101"/>
      <c r="F663" s="101"/>
      <c r="G663" s="101"/>
      <c r="H663" s="101"/>
      <c r="I663" s="101"/>
      <c r="J663" s="101"/>
      <c r="K663" s="101"/>
      <c r="L663" s="82"/>
    </row>
    <row r="664" hidden="1">
      <c r="A664" s="101"/>
      <c r="B664" s="103"/>
      <c r="C664" s="101"/>
      <c r="D664" s="101"/>
      <c r="E664" s="101"/>
      <c r="F664" s="101"/>
      <c r="G664" s="101"/>
      <c r="H664" s="101"/>
      <c r="I664" s="101"/>
      <c r="J664" s="101"/>
      <c r="K664" s="101"/>
      <c r="L664" s="82"/>
    </row>
    <row r="665" hidden="1">
      <c r="A665" s="101"/>
      <c r="B665" s="103"/>
      <c r="C665" s="101"/>
      <c r="D665" s="101"/>
      <c r="E665" s="101"/>
      <c r="F665" s="101"/>
      <c r="G665" s="101"/>
      <c r="H665" s="101"/>
      <c r="I665" s="101"/>
      <c r="J665" s="101"/>
      <c r="K665" s="101"/>
      <c r="L665" s="82"/>
    </row>
    <row r="666" hidden="1">
      <c r="A666" s="101"/>
      <c r="B666" s="103"/>
      <c r="C666" s="101"/>
      <c r="D666" s="101"/>
      <c r="E666" s="101"/>
      <c r="F666" s="101"/>
      <c r="G666" s="101"/>
      <c r="H666" s="101"/>
      <c r="I666" s="101"/>
      <c r="J666" s="101"/>
      <c r="K666" s="101"/>
      <c r="L666" s="82"/>
    </row>
    <row r="667" hidden="1">
      <c r="A667" s="101"/>
      <c r="B667" s="103"/>
      <c r="C667" s="101"/>
      <c r="D667" s="101"/>
      <c r="E667" s="101"/>
      <c r="F667" s="101"/>
      <c r="G667" s="101"/>
      <c r="H667" s="101"/>
      <c r="I667" s="101"/>
      <c r="J667" s="101"/>
      <c r="K667" s="101"/>
      <c r="L667" s="82"/>
    </row>
    <row r="668" hidden="1">
      <c r="A668" s="101"/>
      <c r="B668" s="103"/>
      <c r="C668" s="101"/>
      <c r="D668" s="101"/>
      <c r="E668" s="101"/>
      <c r="F668" s="101"/>
      <c r="G668" s="101"/>
      <c r="H668" s="101"/>
      <c r="I668" s="101"/>
      <c r="J668" s="101"/>
      <c r="K668" s="101"/>
      <c r="L668" s="82"/>
    </row>
    <row r="669" hidden="1">
      <c r="A669" s="101"/>
      <c r="B669" s="103"/>
      <c r="C669" s="101"/>
      <c r="D669" s="101"/>
      <c r="E669" s="101"/>
      <c r="F669" s="101"/>
      <c r="G669" s="101"/>
      <c r="H669" s="101"/>
      <c r="I669" s="101"/>
      <c r="J669" s="101"/>
      <c r="K669" s="101"/>
      <c r="L669" s="82"/>
    </row>
    <row r="670" hidden="1">
      <c r="A670" s="101"/>
      <c r="B670" s="103"/>
      <c r="C670" s="101"/>
      <c r="D670" s="101"/>
      <c r="E670" s="101"/>
      <c r="F670" s="101"/>
      <c r="G670" s="101"/>
      <c r="H670" s="101"/>
      <c r="I670" s="101"/>
      <c r="J670" s="101"/>
      <c r="K670" s="101"/>
      <c r="L670" s="82"/>
    </row>
    <row r="671" hidden="1">
      <c r="A671" s="101"/>
      <c r="B671" s="103"/>
      <c r="C671" s="101"/>
      <c r="D671" s="101"/>
      <c r="E671" s="101"/>
      <c r="F671" s="101"/>
      <c r="G671" s="101"/>
      <c r="H671" s="101"/>
      <c r="I671" s="101"/>
      <c r="J671" s="101"/>
      <c r="K671" s="101"/>
      <c r="L671" s="82"/>
    </row>
    <row r="672" hidden="1">
      <c r="A672" s="101"/>
      <c r="B672" s="103"/>
      <c r="C672" s="101"/>
      <c r="D672" s="101"/>
      <c r="E672" s="101"/>
      <c r="F672" s="101"/>
      <c r="G672" s="101"/>
      <c r="H672" s="101"/>
      <c r="I672" s="101"/>
      <c r="J672" s="101"/>
      <c r="K672" s="101"/>
      <c r="L672" s="82"/>
    </row>
    <row r="673" hidden="1">
      <c r="A673" s="101"/>
      <c r="B673" s="103"/>
      <c r="C673" s="101"/>
      <c r="D673" s="101"/>
      <c r="E673" s="101"/>
      <c r="F673" s="101"/>
      <c r="G673" s="101"/>
      <c r="H673" s="101"/>
      <c r="I673" s="101"/>
      <c r="J673" s="101"/>
      <c r="K673" s="101"/>
      <c r="L673" s="82"/>
    </row>
    <row r="674" hidden="1">
      <c r="A674" s="101"/>
      <c r="B674" s="103"/>
      <c r="C674" s="101"/>
      <c r="D674" s="101"/>
      <c r="E674" s="101"/>
      <c r="F674" s="101"/>
      <c r="G674" s="101"/>
      <c r="H674" s="101"/>
      <c r="I674" s="101"/>
      <c r="J674" s="101"/>
      <c r="K674" s="101"/>
      <c r="L674" s="82"/>
    </row>
    <row r="675" hidden="1">
      <c r="A675" s="101"/>
      <c r="B675" s="103"/>
      <c r="C675" s="101"/>
      <c r="D675" s="101"/>
      <c r="E675" s="101"/>
      <c r="F675" s="101"/>
      <c r="G675" s="101"/>
      <c r="H675" s="101"/>
      <c r="I675" s="101"/>
      <c r="J675" s="101"/>
      <c r="K675" s="101"/>
      <c r="L675" s="82"/>
    </row>
    <row r="676" hidden="1">
      <c r="A676" s="101"/>
      <c r="B676" s="103"/>
      <c r="C676" s="101"/>
      <c r="D676" s="101"/>
      <c r="E676" s="101"/>
      <c r="F676" s="101"/>
      <c r="G676" s="101"/>
      <c r="H676" s="101"/>
      <c r="I676" s="101"/>
      <c r="J676" s="101"/>
      <c r="K676" s="101"/>
      <c r="L676" s="82"/>
    </row>
    <row r="677" hidden="1">
      <c r="A677" s="101"/>
      <c r="B677" s="103"/>
      <c r="C677" s="101"/>
      <c r="D677" s="101"/>
      <c r="E677" s="101"/>
      <c r="F677" s="101"/>
      <c r="G677" s="101"/>
      <c r="H677" s="101"/>
      <c r="I677" s="101"/>
      <c r="J677" s="101"/>
      <c r="K677" s="101"/>
      <c r="L677" s="82"/>
    </row>
    <row r="678" hidden="1">
      <c r="A678" s="101"/>
      <c r="B678" s="103"/>
      <c r="C678" s="101"/>
      <c r="D678" s="101"/>
      <c r="E678" s="101"/>
      <c r="F678" s="101"/>
      <c r="G678" s="101"/>
      <c r="H678" s="101"/>
      <c r="I678" s="101"/>
      <c r="J678" s="101"/>
      <c r="K678" s="101"/>
      <c r="L678" s="82"/>
    </row>
    <row r="679" hidden="1">
      <c r="A679" s="101"/>
      <c r="B679" s="103"/>
      <c r="C679" s="101"/>
      <c r="D679" s="101"/>
      <c r="E679" s="101"/>
      <c r="F679" s="101"/>
      <c r="G679" s="101"/>
      <c r="H679" s="101"/>
      <c r="I679" s="101"/>
      <c r="J679" s="101"/>
      <c r="K679" s="101"/>
      <c r="L679" s="82"/>
    </row>
    <row r="680" hidden="1">
      <c r="A680" s="101"/>
      <c r="B680" s="103"/>
      <c r="C680" s="101"/>
      <c r="D680" s="101"/>
      <c r="E680" s="101"/>
      <c r="F680" s="101"/>
      <c r="G680" s="101"/>
      <c r="H680" s="101"/>
      <c r="I680" s="101"/>
      <c r="J680" s="101"/>
      <c r="K680" s="101"/>
      <c r="L680" s="82"/>
    </row>
    <row r="681" hidden="1">
      <c r="A681" s="101"/>
      <c r="B681" s="103"/>
      <c r="C681" s="101"/>
      <c r="D681" s="101"/>
      <c r="E681" s="101"/>
      <c r="F681" s="101"/>
      <c r="G681" s="101"/>
      <c r="H681" s="101"/>
      <c r="I681" s="101"/>
      <c r="J681" s="101"/>
      <c r="K681" s="101"/>
      <c r="L681" s="82"/>
    </row>
    <row r="682" hidden="1">
      <c r="A682" s="101"/>
      <c r="B682" s="103"/>
      <c r="C682" s="101"/>
      <c r="D682" s="101"/>
      <c r="E682" s="101"/>
      <c r="F682" s="101"/>
      <c r="G682" s="101"/>
      <c r="H682" s="101"/>
      <c r="I682" s="101"/>
      <c r="J682" s="101"/>
      <c r="K682" s="101"/>
      <c r="L682" s="82"/>
    </row>
    <row r="683" hidden="1">
      <c r="A683" s="101"/>
      <c r="B683" s="103"/>
      <c r="C683" s="101"/>
      <c r="D683" s="101"/>
      <c r="E683" s="101"/>
      <c r="F683" s="101"/>
      <c r="G683" s="101"/>
      <c r="H683" s="101"/>
      <c r="I683" s="101"/>
      <c r="J683" s="101"/>
      <c r="K683" s="101"/>
      <c r="L683" s="82"/>
    </row>
    <row r="684" hidden="1">
      <c r="A684" s="101"/>
      <c r="B684" s="103"/>
      <c r="C684" s="101"/>
      <c r="D684" s="101"/>
      <c r="E684" s="101"/>
      <c r="F684" s="101"/>
      <c r="G684" s="101"/>
      <c r="H684" s="101"/>
      <c r="I684" s="101"/>
      <c r="J684" s="101"/>
      <c r="K684" s="101"/>
      <c r="L684" s="82"/>
    </row>
    <row r="685" hidden="1">
      <c r="A685" s="101"/>
      <c r="B685" s="103"/>
      <c r="C685" s="101"/>
      <c r="D685" s="101"/>
      <c r="E685" s="101"/>
      <c r="F685" s="101"/>
      <c r="G685" s="101"/>
      <c r="H685" s="101"/>
      <c r="I685" s="101"/>
      <c r="J685" s="101"/>
      <c r="K685" s="101"/>
      <c r="L685" s="82"/>
    </row>
    <row r="686" hidden="1">
      <c r="A686" s="101"/>
      <c r="B686" s="103"/>
      <c r="C686" s="101"/>
      <c r="D686" s="101"/>
      <c r="E686" s="101"/>
      <c r="F686" s="101"/>
      <c r="G686" s="101"/>
      <c r="H686" s="101"/>
      <c r="I686" s="101"/>
      <c r="J686" s="101"/>
      <c r="K686" s="101"/>
      <c r="L686" s="82"/>
    </row>
    <row r="687" hidden="1">
      <c r="A687" s="101"/>
      <c r="B687" s="103"/>
      <c r="C687" s="101"/>
      <c r="D687" s="101"/>
      <c r="E687" s="101"/>
      <c r="F687" s="101"/>
      <c r="G687" s="101"/>
      <c r="H687" s="101"/>
      <c r="I687" s="101"/>
      <c r="J687" s="101"/>
      <c r="K687" s="101"/>
      <c r="L687" s="82"/>
    </row>
    <row r="688" hidden="1">
      <c r="A688" s="101"/>
      <c r="B688" s="103"/>
      <c r="C688" s="101"/>
      <c r="D688" s="101"/>
      <c r="E688" s="101"/>
      <c r="F688" s="101"/>
      <c r="G688" s="101"/>
      <c r="H688" s="101"/>
      <c r="I688" s="101"/>
      <c r="J688" s="101"/>
      <c r="K688" s="101"/>
      <c r="L688" s="82"/>
    </row>
    <row r="689" hidden="1">
      <c r="A689" s="101"/>
      <c r="B689" s="103"/>
      <c r="C689" s="101"/>
      <c r="D689" s="101"/>
      <c r="E689" s="101"/>
      <c r="F689" s="101"/>
      <c r="G689" s="101"/>
      <c r="H689" s="101"/>
      <c r="I689" s="101"/>
      <c r="J689" s="101"/>
      <c r="K689" s="101"/>
      <c r="L689" s="82"/>
    </row>
    <row r="690" hidden="1">
      <c r="A690" s="101"/>
      <c r="B690" s="103"/>
      <c r="C690" s="101"/>
      <c r="D690" s="101"/>
      <c r="E690" s="101"/>
      <c r="F690" s="101"/>
      <c r="G690" s="101"/>
      <c r="H690" s="101"/>
      <c r="I690" s="101"/>
      <c r="J690" s="101"/>
      <c r="K690" s="101"/>
      <c r="L690" s="82"/>
    </row>
    <row r="691" hidden="1">
      <c r="A691" s="101"/>
      <c r="B691" s="103"/>
      <c r="C691" s="101"/>
      <c r="D691" s="101"/>
      <c r="E691" s="101"/>
      <c r="F691" s="101"/>
      <c r="G691" s="101"/>
      <c r="H691" s="101"/>
      <c r="I691" s="101"/>
      <c r="J691" s="101"/>
      <c r="K691" s="101"/>
      <c r="L691" s="82"/>
    </row>
    <row r="692" hidden="1">
      <c r="A692" s="101"/>
      <c r="B692" s="103"/>
      <c r="C692" s="101"/>
      <c r="D692" s="101"/>
      <c r="E692" s="101"/>
      <c r="F692" s="101"/>
      <c r="G692" s="101"/>
      <c r="H692" s="101"/>
      <c r="I692" s="101"/>
      <c r="J692" s="101"/>
      <c r="K692" s="101"/>
      <c r="L692" s="82"/>
    </row>
    <row r="693" hidden="1">
      <c r="A693" s="101"/>
      <c r="B693" s="103"/>
      <c r="C693" s="101"/>
      <c r="D693" s="101"/>
      <c r="E693" s="101"/>
      <c r="F693" s="101"/>
      <c r="G693" s="101"/>
      <c r="H693" s="101"/>
      <c r="I693" s="101"/>
      <c r="J693" s="101"/>
      <c r="K693" s="101"/>
      <c r="L693" s="82"/>
    </row>
    <row r="694" hidden="1">
      <c r="A694" s="101"/>
      <c r="B694" s="103"/>
      <c r="C694" s="101"/>
      <c r="D694" s="101"/>
      <c r="E694" s="101"/>
      <c r="F694" s="101"/>
      <c r="G694" s="101"/>
      <c r="H694" s="101"/>
      <c r="I694" s="101"/>
      <c r="J694" s="101"/>
      <c r="K694" s="101"/>
      <c r="L694" s="82"/>
    </row>
    <row r="695" hidden="1">
      <c r="A695" s="101"/>
      <c r="B695" s="103"/>
      <c r="C695" s="101"/>
      <c r="D695" s="101"/>
      <c r="E695" s="101"/>
      <c r="F695" s="101"/>
      <c r="G695" s="101"/>
      <c r="H695" s="101"/>
      <c r="I695" s="101"/>
      <c r="J695" s="101"/>
      <c r="K695" s="101"/>
      <c r="L695" s="82"/>
    </row>
    <row r="696" hidden="1">
      <c r="A696" s="101"/>
      <c r="B696" s="103"/>
      <c r="C696" s="101"/>
      <c r="D696" s="101"/>
      <c r="E696" s="101"/>
      <c r="F696" s="101"/>
      <c r="G696" s="101"/>
      <c r="H696" s="101"/>
      <c r="I696" s="101"/>
      <c r="J696" s="101"/>
      <c r="K696" s="101"/>
      <c r="L696" s="82"/>
    </row>
    <row r="697" hidden="1">
      <c r="A697" s="101"/>
      <c r="B697" s="103"/>
      <c r="C697" s="101"/>
      <c r="D697" s="101"/>
      <c r="E697" s="101"/>
      <c r="F697" s="101"/>
      <c r="G697" s="101"/>
      <c r="H697" s="101"/>
      <c r="I697" s="101"/>
      <c r="J697" s="101"/>
      <c r="K697" s="101"/>
      <c r="L697" s="82"/>
    </row>
    <row r="698" hidden="1">
      <c r="A698" s="101"/>
      <c r="B698" s="103"/>
      <c r="C698" s="101"/>
      <c r="D698" s="101"/>
      <c r="E698" s="101"/>
      <c r="F698" s="101"/>
      <c r="G698" s="101"/>
      <c r="H698" s="101"/>
      <c r="I698" s="101"/>
      <c r="J698" s="101"/>
      <c r="K698" s="101"/>
      <c r="L698" s="82"/>
    </row>
    <row r="699" hidden="1">
      <c r="A699" s="101"/>
      <c r="B699" s="103"/>
      <c r="C699" s="101"/>
      <c r="D699" s="101"/>
      <c r="E699" s="101"/>
      <c r="F699" s="101"/>
      <c r="G699" s="101"/>
      <c r="H699" s="101"/>
      <c r="I699" s="101"/>
      <c r="J699" s="101"/>
      <c r="K699" s="101"/>
      <c r="L699" s="82"/>
    </row>
    <row r="700" hidden="1">
      <c r="A700" s="101"/>
      <c r="B700" s="103"/>
      <c r="C700" s="101"/>
      <c r="D700" s="101"/>
      <c r="E700" s="101"/>
      <c r="F700" s="101"/>
      <c r="G700" s="101"/>
      <c r="H700" s="101"/>
      <c r="I700" s="101"/>
      <c r="J700" s="101"/>
      <c r="K700" s="101"/>
      <c r="L700" s="82"/>
    </row>
    <row r="701" hidden="1">
      <c r="A701" s="101"/>
      <c r="B701" s="103"/>
      <c r="C701" s="101"/>
      <c r="D701" s="101"/>
      <c r="E701" s="101"/>
      <c r="F701" s="101"/>
      <c r="G701" s="101"/>
      <c r="H701" s="101"/>
      <c r="I701" s="101"/>
      <c r="J701" s="101"/>
      <c r="K701" s="101"/>
      <c r="L701" s="82"/>
    </row>
    <row r="702" hidden="1">
      <c r="A702" s="101"/>
      <c r="B702" s="103"/>
      <c r="C702" s="101"/>
      <c r="D702" s="101"/>
      <c r="E702" s="101"/>
      <c r="F702" s="101"/>
      <c r="G702" s="101"/>
      <c r="H702" s="101"/>
      <c r="I702" s="101"/>
      <c r="J702" s="101"/>
      <c r="K702" s="101"/>
      <c r="L702" s="82"/>
    </row>
    <row r="703" hidden="1">
      <c r="A703" s="101"/>
      <c r="B703" s="103"/>
      <c r="C703" s="101"/>
      <c r="D703" s="101"/>
      <c r="E703" s="101"/>
      <c r="F703" s="101"/>
      <c r="G703" s="101"/>
      <c r="H703" s="101"/>
      <c r="I703" s="101"/>
      <c r="J703" s="101"/>
      <c r="K703" s="101"/>
      <c r="L703" s="82"/>
    </row>
    <row r="704" hidden="1">
      <c r="A704" s="101"/>
      <c r="B704" s="103"/>
      <c r="C704" s="101"/>
      <c r="D704" s="101"/>
      <c r="E704" s="101"/>
      <c r="F704" s="101"/>
      <c r="G704" s="101"/>
      <c r="H704" s="101"/>
      <c r="I704" s="101"/>
      <c r="J704" s="101"/>
      <c r="K704" s="101"/>
      <c r="L704" s="82"/>
    </row>
    <row r="705" hidden="1">
      <c r="A705" s="101"/>
      <c r="B705" s="103"/>
      <c r="C705" s="101"/>
      <c r="D705" s="101"/>
      <c r="E705" s="101"/>
      <c r="F705" s="101"/>
      <c r="G705" s="101"/>
      <c r="H705" s="101"/>
      <c r="I705" s="101"/>
      <c r="J705" s="101"/>
      <c r="K705" s="101"/>
      <c r="L705" s="82"/>
    </row>
    <row r="706" hidden="1">
      <c r="A706" s="101"/>
      <c r="B706" s="103"/>
      <c r="C706" s="101"/>
      <c r="D706" s="101"/>
      <c r="E706" s="101"/>
      <c r="F706" s="101"/>
      <c r="G706" s="101"/>
      <c r="H706" s="101"/>
      <c r="I706" s="101"/>
      <c r="J706" s="101"/>
      <c r="K706" s="101"/>
      <c r="L706" s="82"/>
    </row>
    <row r="707" hidden="1">
      <c r="A707" s="101"/>
      <c r="B707" s="103"/>
      <c r="C707" s="101"/>
      <c r="D707" s="101"/>
      <c r="E707" s="101"/>
      <c r="F707" s="101"/>
      <c r="G707" s="101"/>
      <c r="H707" s="101"/>
      <c r="I707" s="101"/>
      <c r="J707" s="101"/>
      <c r="K707" s="101"/>
      <c r="L707" s="82"/>
    </row>
    <row r="708" hidden="1">
      <c r="A708" s="101"/>
      <c r="B708" s="103"/>
      <c r="C708" s="101"/>
      <c r="D708" s="101"/>
      <c r="E708" s="101"/>
      <c r="F708" s="101"/>
      <c r="G708" s="101"/>
      <c r="H708" s="101"/>
      <c r="I708" s="101"/>
      <c r="J708" s="101"/>
      <c r="K708" s="101"/>
      <c r="L708" s="82"/>
    </row>
    <row r="709" hidden="1">
      <c r="A709" s="101"/>
      <c r="B709" s="103"/>
      <c r="C709" s="101"/>
      <c r="D709" s="101"/>
      <c r="E709" s="101"/>
      <c r="F709" s="101"/>
      <c r="G709" s="101"/>
      <c r="H709" s="101"/>
      <c r="I709" s="101"/>
      <c r="J709" s="101"/>
      <c r="K709" s="101"/>
      <c r="L709" s="82"/>
    </row>
    <row r="710" hidden="1">
      <c r="A710" s="101"/>
      <c r="B710" s="103"/>
      <c r="C710" s="101"/>
      <c r="D710" s="101"/>
      <c r="E710" s="101"/>
      <c r="F710" s="101"/>
      <c r="G710" s="101"/>
      <c r="H710" s="101"/>
      <c r="I710" s="101"/>
      <c r="J710" s="101"/>
      <c r="K710" s="101"/>
      <c r="L710" s="82"/>
    </row>
    <row r="711" hidden="1">
      <c r="A711" s="101"/>
      <c r="B711" s="103"/>
      <c r="C711" s="101"/>
      <c r="D711" s="101"/>
      <c r="E711" s="101"/>
      <c r="F711" s="101"/>
      <c r="G711" s="101"/>
      <c r="H711" s="101"/>
      <c r="I711" s="101"/>
      <c r="J711" s="101"/>
      <c r="K711" s="101"/>
      <c r="L711" s="82"/>
    </row>
    <row r="712" hidden="1">
      <c r="A712" s="101"/>
      <c r="B712" s="103"/>
      <c r="C712" s="101"/>
      <c r="D712" s="101"/>
      <c r="E712" s="101"/>
      <c r="F712" s="101"/>
      <c r="G712" s="101"/>
      <c r="H712" s="101"/>
      <c r="I712" s="101"/>
      <c r="J712" s="101"/>
      <c r="K712" s="101"/>
      <c r="L712" s="82"/>
    </row>
    <row r="713" hidden="1">
      <c r="A713" s="101"/>
      <c r="B713" s="103"/>
      <c r="C713" s="101"/>
      <c r="D713" s="101"/>
      <c r="E713" s="101"/>
      <c r="F713" s="101"/>
      <c r="G713" s="101"/>
      <c r="H713" s="101"/>
      <c r="I713" s="101"/>
      <c r="J713" s="101"/>
      <c r="K713" s="101"/>
      <c r="L713" s="82"/>
    </row>
    <row r="714" hidden="1">
      <c r="A714" s="101"/>
      <c r="B714" s="103"/>
      <c r="C714" s="101"/>
      <c r="D714" s="101"/>
      <c r="E714" s="101"/>
      <c r="F714" s="101"/>
      <c r="G714" s="101"/>
      <c r="H714" s="101"/>
      <c r="I714" s="101"/>
      <c r="J714" s="101"/>
      <c r="K714" s="101"/>
      <c r="L714" s="82"/>
    </row>
    <row r="715" hidden="1">
      <c r="A715" s="101"/>
      <c r="B715" s="103"/>
      <c r="C715" s="101"/>
      <c r="D715" s="101"/>
      <c r="E715" s="101"/>
      <c r="F715" s="101"/>
      <c r="G715" s="101"/>
      <c r="H715" s="101"/>
      <c r="I715" s="101"/>
      <c r="J715" s="101"/>
      <c r="K715" s="101"/>
      <c r="L715" s="82"/>
    </row>
    <row r="716" hidden="1">
      <c r="A716" s="101"/>
      <c r="B716" s="103"/>
      <c r="C716" s="101"/>
      <c r="D716" s="101"/>
      <c r="E716" s="101"/>
      <c r="F716" s="101"/>
      <c r="G716" s="101"/>
      <c r="H716" s="101"/>
      <c r="I716" s="101"/>
      <c r="J716" s="101"/>
      <c r="K716" s="101"/>
      <c r="L716" s="82"/>
    </row>
    <row r="717" hidden="1">
      <c r="A717" s="101"/>
      <c r="B717" s="103"/>
      <c r="C717" s="101"/>
      <c r="D717" s="101"/>
      <c r="E717" s="101"/>
      <c r="F717" s="101"/>
      <c r="G717" s="101"/>
      <c r="H717" s="101"/>
      <c r="I717" s="101"/>
      <c r="J717" s="101"/>
      <c r="K717" s="101"/>
      <c r="L717" s="82"/>
    </row>
    <row r="718" hidden="1">
      <c r="A718" s="101"/>
      <c r="B718" s="103"/>
      <c r="C718" s="101"/>
      <c r="D718" s="101"/>
      <c r="E718" s="101"/>
      <c r="F718" s="101"/>
      <c r="G718" s="101"/>
      <c r="H718" s="101"/>
      <c r="I718" s="101"/>
      <c r="J718" s="101"/>
      <c r="K718" s="101"/>
      <c r="L718" s="82"/>
    </row>
    <row r="719" hidden="1">
      <c r="A719" s="101"/>
      <c r="B719" s="103"/>
      <c r="C719" s="101"/>
      <c r="D719" s="101"/>
      <c r="E719" s="101"/>
      <c r="F719" s="101"/>
      <c r="G719" s="101"/>
      <c r="H719" s="101"/>
      <c r="I719" s="101"/>
      <c r="J719" s="101"/>
      <c r="K719" s="101"/>
      <c r="L719" s="82"/>
    </row>
    <row r="720" hidden="1">
      <c r="A720" s="101"/>
      <c r="B720" s="103"/>
      <c r="C720" s="101"/>
      <c r="D720" s="101"/>
      <c r="E720" s="101"/>
      <c r="F720" s="101"/>
      <c r="G720" s="101"/>
      <c r="H720" s="101"/>
      <c r="I720" s="101"/>
      <c r="J720" s="101"/>
      <c r="K720" s="101"/>
      <c r="L720" s="82"/>
    </row>
    <row r="721" hidden="1">
      <c r="A721" s="101"/>
      <c r="B721" s="103"/>
      <c r="C721" s="101"/>
      <c r="D721" s="101"/>
      <c r="E721" s="101"/>
      <c r="F721" s="101"/>
      <c r="G721" s="101"/>
      <c r="H721" s="101"/>
      <c r="I721" s="101"/>
      <c r="J721" s="101"/>
      <c r="K721" s="101"/>
      <c r="L721" s="82"/>
    </row>
    <row r="722" hidden="1">
      <c r="A722" s="101"/>
      <c r="B722" s="103"/>
      <c r="C722" s="101"/>
      <c r="D722" s="101"/>
      <c r="E722" s="101"/>
      <c r="F722" s="101"/>
      <c r="G722" s="101"/>
      <c r="H722" s="101"/>
      <c r="I722" s="101"/>
      <c r="J722" s="101"/>
      <c r="K722" s="101"/>
      <c r="L722" s="82"/>
    </row>
    <row r="723" hidden="1">
      <c r="A723" s="101"/>
      <c r="B723" s="103"/>
      <c r="C723" s="101"/>
      <c r="D723" s="101"/>
      <c r="E723" s="101"/>
      <c r="F723" s="101"/>
      <c r="G723" s="101"/>
      <c r="H723" s="101"/>
      <c r="I723" s="101"/>
      <c r="J723" s="101"/>
      <c r="K723" s="101"/>
      <c r="L723" s="82"/>
    </row>
    <row r="724" hidden="1">
      <c r="A724" s="101"/>
      <c r="B724" s="103"/>
      <c r="C724" s="101"/>
      <c r="D724" s="101"/>
      <c r="E724" s="101"/>
      <c r="F724" s="101"/>
      <c r="G724" s="101"/>
      <c r="H724" s="101"/>
      <c r="I724" s="101"/>
      <c r="J724" s="101"/>
      <c r="K724" s="101"/>
      <c r="L724" s="82"/>
    </row>
    <row r="725" hidden="1">
      <c r="A725" s="101"/>
      <c r="B725" s="103"/>
      <c r="C725" s="101"/>
      <c r="D725" s="101"/>
      <c r="E725" s="101"/>
      <c r="F725" s="101"/>
      <c r="G725" s="101"/>
      <c r="H725" s="101"/>
      <c r="I725" s="101"/>
      <c r="J725" s="101"/>
      <c r="K725" s="101"/>
      <c r="L725" s="82"/>
    </row>
    <row r="726" hidden="1">
      <c r="A726" s="101"/>
      <c r="B726" s="103"/>
      <c r="C726" s="101"/>
      <c r="D726" s="101"/>
      <c r="E726" s="101"/>
      <c r="F726" s="101"/>
      <c r="G726" s="101"/>
      <c r="H726" s="101"/>
      <c r="I726" s="101"/>
      <c r="J726" s="101"/>
      <c r="K726" s="101"/>
      <c r="L726" s="82"/>
    </row>
    <row r="727" hidden="1">
      <c r="A727" s="101"/>
      <c r="B727" s="103"/>
      <c r="C727" s="101"/>
      <c r="D727" s="101"/>
      <c r="E727" s="101"/>
      <c r="F727" s="101"/>
      <c r="G727" s="101"/>
      <c r="H727" s="101"/>
      <c r="I727" s="101"/>
      <c r="J727" s="101"/>
      <c r="K727" s="101"/>
      <c r="L727" s="82"/>
    </row>
    <row r="728" hidden="1">
      <c r="A728" s="101"/>
      <c r="B728" s="103"/>
      <c r="C728" s="101"/>
      <c r="D728" s="101"/>
      <c r="E728" s="101"/>
      <c r="F728" s="101"/>
      <c r="G728" s="101"/>
      <c r="H728" s="101"/>
      <c r="I728" s="101"/>
      <c r="J728" s="101"/>
      <c r="K728" s="101"/>
      <c r="L728" s="82"/>
    </row>
    <row r="729" hidden="1">
      <c r="A729" s="101"/>
      <c r="B729" s="103"/>
      <c r="C729" s="101"/>
      <c r="D729" s="101"/>
      <c r="E729" s="101"/>
      <c r="F729" s="101"/>
      <c r="G729" s="101"/>
      <c r="H729" s="101"/>
      <c r="I729" s="101"/>
      <c r="J729" s="101"/>
      <c r="K729" s="101"/>
      <c r="L729" s="82"/>
    </row>
    <row r="730" hidden="1">
      <c r="A730" s="101"/>
      <c r="B730" s="103"/>
      <c r="C730" s="101"/>
      <c r="D730" s="101"/>
      <c r="E730" s="101"/>
      <c r="F730" s="101"/>
      <c r="G730" s="101"/>
      <c r="H730" s="101"/>
      <c r="I730" s="101"/>
      <c r="J730" s="101"/>
      <c r="K730" s="101"/>
      <c r="L730" s="82"/>
    </row>
    <row r="731" hidden="1">
      <c r="A731" s="101"/>
      <c r="B731" s="103"/>
      <c r="C731" s="101"/>
      <c r="D731" s="101"/>
      <c r="E731" s="101"/>
      <c r="F731" s="101"/>
      <c r="G731" s="101"/>
      <c r="H731" s="101"/>
      <c r="I731" s="101"/>
      <c r="J731" s="101"/>
      <c r="K731" s="101"/>
      <c r="L731" s="82"/>
    </row>
    <row r="732" hidden="1">
      <c r="A732" s="101"/>
      <c r="B732" s="103"/>
      <c r="C732" s="101"/>
      <c r="D732" s="101"/>
      <c r="E732" s="101"/>
      <c r="F732" s="101"/>
      <c r="G732" s="101"/>
      <c r="H732" s="101"/>
      <c r="I732" s="101"/>
      <c r="J732" s="101"/>
      <c r="K732" s="101"/>
      <c r="L732" s="82"/>
    </row>
    <row r="733" hidden="1">
      <c r="A733" s="101"/>
      <c r="B733" s="103"/>
      <c r="C733" s="101"/>
      <c r="D733" s="101"/>
      <c r="E733" s="101"/>
      <c r="F733" s="101"/>
      <c r="G733" s="101"/>
      <c r="H733" s="101"/>
      <c r="I733" s="101"/>
      <c r="J733" s="101"/>
      <c r="K733" s="101"/>
      <c r="L733" s="82"/>
    </row>
    <row r="734" hidden="1">
      <c r="A734" s="101"/>
      <c r="B734" s="103"/>
      <c r="C734" s="101"/>
      <c r="D734" s="101"/>
      <c r="E734" s="101"/>
      <c r="F734" s="101"/>
      <c r="G734" s="101"/>
      <c r="H734" s="101"/>
      <c r="I734" s="101"/>
      <c r="J734" s="101"/>
      <c r="K734" s="101"/>
      <c r="L734" s="82"/>
    </row>
    <row r="735" hidden="1">
      <c r="A735" s="101"/>
      <c r="B735" s="103"/>
      <c r="C735" s="101"/>
      <c r="D735" s="101"/>
      <c r="E735" s="101"/>
      <c r="F735" s="101"/>
      <c r="G735" s="101"/>
      <c r="H735" s="101"/>
      <c r="I735" s="101"/>
      <c r="J735" s="101"/>
      <c r="K735" s="101"/>
      <c r="L735" s="82"/>
    </row>
    <row r="736" hidden="1">
      <c r="A736" s="101"/>
      <c r="B736" s="103"/>
      <c r="C736" s="101"/>
      <c r="D736" s="101"/>
      <c r="E736" s="101"/>
      <c r="F736" s="101"/>
      <c r="G736" s="101"/>
      <c r="H736" s="101"/>
      <c r="I736" s="101"/>
      <c r="J736" s="101"/>
      <c r="K736" s="101"/>
      <c r="L736" s="82"/>
    </row>
    <row r="737" hidden="1">
      <c r="A737" s="101"/>
      <c r="B737" s="103"/>
      <c r="C737" s="101"/>
      <c r="D737" s="101"/>
      <c r="E737" s="101"/>
      <c r="F737" s="101"/>
      <c r="G737" s="101"/>
      <c r="H737" s="101"/>
      <c r="I737" s="101"/>
      <c r="J737" s="101"/>
      <c r="K737" s="101"/>
      <c r="L737" s="82"/>
    </row>
    <row r="738" hidden="1">
      <c r="A738" s="101"/>
      <c r="B738" s="103"/>
      <c r="C738" s="101"/>
      <c r="D738" s="101"/>
      <c r="E738" s="101"/>
      <c r="F738" s="101"/>
      <c r="G738" s="101"/>
      <c r="H738" s="101"/>
      <c r="I738" s="101"/>
      <c r="J738" s="101"/>
      <c r="K738" s="101"/>
      <c r="L738" s="82"/>
    </row>
    <row r="739" hidden="1">
      <c r="A739" s="101"/>
      <c r="B739" s="103"/>
      <c r="C739" s="101"/>
      <c r="D739" s="101"/>
      <c r="E739" s="101"/>
      <c r="F739" s="101"/>
      <c r="G739" s="101"/>
      <c r="H739" s="101"/>
      <c r="I739" s="101"/>
      <c r="J739" s="101"/>
      <c r="K739" s="101"/>
      <c r="L739" s="82"/>
    </row>
    <row r="740" hidden="1">
      <c r="A740" s="101"/>
      <c r="B740" s="103"/>
      <c r="C740" s="101"/>
      <c r="D740" s="101"/>
      <c r="E740" s="101"/>
      <c r="F740" s="101"/>
      <c r="G740" s="101"/>
      <c r="H740" s="101"/>
      <c r="I740" s="101"/>
      <c r="J740" s="101"/>
      <c r="K740" s="101"/>
      <c r="L740" s="82"/>
    </row>
    <row r="741" hidden="1">
      <c r="A741" s="101"/>
      <c r="B741" s="103"/>
      <c r="C741" s="101"/>
      <c r="D741" s="101"/>
      <c r="E741" s="101"/>
      <c r="F741" s="101"/>
      <c r="G741" s="101"/>
      <c r="H741" s="101"/>
      <c r="I741" s="101"/>
      <c r="J741" s="101"/>
      <c r="K741" s="101"/>
      <c r="L741" s="82"/>
    </row>
    <row r="742" hidden="1">
      <c r="A742" s="101"/>
      <c r="B742" s="103"/>
      <c r="C742" s="101"/>
      <c r="D742" s="101"/>
      <c r="E742" s="101"/>
      <c r="F742" s="101"/>
      <c r="G742" s="101"/>
      <c r="H742" s="101"/>
      <c r="I742" s="101"/>
      <c r="J742" s="101"/>
      <c r="K742" s="101"/>
      <c r="L742" s="82"/>
    </row>
    <row r="743" hidden="1">
      <c r="A743" s="101"/>
      <c r="B743" s="103"/>
      <c r="C743" s="101"/>
      <c r="D743" s="101"/>
      <c r="E743" s="101"/>
      <c r="F743" s="101"/>
      <c r="G743" s="101"/>
      <c r="H743" s="101"/>
      <c r="I743" s="101"/>
      <c r="J743" s="101"/>
      <c r="K743" s="101"/>
      <c r="L743" s="82"/>
    </row>
    <row r="744" hidden="1">
      <c r="A744" s="101"/>
      <c r="B744" s="103"/>
      <c r="C744" s="101"/>
      <c r="D744" s="101"/>
      <c r="E744" s="101"/>
      <c r="F744" s="101"/>
      <c r="G744" s="101"/>
      <c r="H744" s="101"/>
      <c r="I744" s="101"/>
      <c r="J744" s="101"/>
      <c r="K744" s="101"/>
      <c r="L744" s="82"/>
    </row>
    <row r="745" hidden="1">
      <c r="A745" s="101"/>
      <c r="B745" s="103"/>
      <c r="C745" s="101"/>
      <c r="D745" s="101"/>
      <c r="E745" s="101"/>
      <c r="F745" s="101"/>
      <c r="G745" s="101"/>
      <c r="H745" s="101"/>
      <c r="I745" s="101"/>
      <c r="J745" s="101"/>
      <c r="K745" s="101"/>
      <c r="L745" s="82"/>
    </row>
    <row r="746" hidden="1">
      <c r="A746" s="101"/>
      <c r="B746" s="103"/>
      <c r="C746" s="101"/>
      <c r="D746" s="101"/>
      <c r="E746" s="101"/>
      <c r="F746" s="101"/>
      <c r="G746" s="101"/>
      <c r="H746" s="101"/>
      <c r="I746" s="101"/>
      <c r="J746" s="101"/>
      <c r="K746" s="101"/>
      <c r="L746" s="82"/>
    </row>
    <row r="747" hidden="1">
      <c r="A747" s="101"/>
      <c r="B747" s="103"/>
      <c r="C747" s="101"/>
      <c r="D747" s="101"/>
      <c r="E747" s="101"/>
      <c r="F747" s="101"/>
      <c r="G747" s="101"/>
      <c r="H747" s="101"/>
      <c r="I747" s="101"/>
      <c r="J747" s="101"/>
      <c r="K747" s="101"/>
      <c r="L747" s="82"/>
    </row>
    <row r="748" hidden="1">
      <c r="A748" s="101"/>
      <c r="B748" s="103"/>
      <c r="C748" s="101"/>
      <c r="D748" s="101"/>
      <c r="E748" s="101"/>
      <c r="F748" s="101"/>
      <c r="G748" s="101"/>
      <c r="H748" s="101"/>
      <c r="I748" s="101"/>
      <c r="J748" s="101"/>
      <c r="K748" s="101"/>
      <c r="L748" s="82"/>
    </row>
    <row r="749" hidden="1">
      <c r="A749" s="101"/>
      <c r="B749" s="103"/>
      <c r="C749" s="101"/>
      <c r="D749" s="101"/>
      <c r="E749" s="101"/>
      <c r="F749" s="101"/>
      <c r="G749" s="101"/>
      <c r="H749" s="101"/>
      <c r="I749" s="101"/>
      <c r="J749" s="101"/>
      <c r="K749" s="101"/>
      <c r="L749" s="82"/>
    </row>
    <row r="750" hidden="1">
      <c r="A750" s="101"/>
      <c r="B750" s="103"/>
      <c r="C750" s="101"/>
      <c r="D750" s="101"/>
      <c r="E750" s="101"/>
      <c r="F750" s="101"/>
      <c r="G750" s="101"/>
      <c r="H750" s="101"/>
      <c r="I750" s="101"/>
      <c r="J750" s="101"/>
      <c r="K750" s="101"/>
      <c r="L750" s="82"/>
    </row>
    <row r="751" hidden="1">
      <c r="A751" s="101"/>
      <c r="B751" s="103"/>
      <c r="C751" s="101"/>
      <c r="D751" s="101"/>
      <c r="E751" s="101"/>
      <c r="F751" s="101"/>
      <c r="G751" s="101"/>
      <c r="H751" s="101"/>
      <c r="I751" s="101"/>
      <c r="J751" s="101"/>
      <c r="K751" s="101"/>
      <c r="L751" s="82"/>
    </row>
    <row r="752" hidden="1">
      <c r="A752" s="101"/>
      <c r="B752" s="103"/>
      <c r="C752" s="101"/>
      <c r="D752" s="101"/>
      <c r="E752" s="101"/>
      <c r="F752" s="101"/>
      <c r="G752" s="101"/>
      <c r="H752" s="101"/>
      <c r="I752" s="101"/>
      <c r="J752" s="101"/>
      <c r="K752" s="101"/>
      <c r="L752" s="82"/>
    </row>
    <row r="753" hidden="1">
      <c r="A753" s="101"/>
      <c r="B753" s="103"/>
      <c r="C753" s="101"/>
      <c r="D753" s="101"/>
      <c r="E753" s="101"/>
      <c r="F753" s="101"/>
      <c r="G753" s="101"/>
      <c r="H753" s="101"/>
      <c r="I753" s="101"/>
      <c r="J753" s="101"/>
      <c r="K753" s="101"/>
      <c r="L753" s="82"/>
    </row>
    <row r="754" hidden="1">
      <c r="A754" s="101"/>
      <c r="B754" s="103"/>
      <c r="C754" s="101"/>
      <c r="D754" s="101"/>
      <c r="E754" s="101"/>
      <c r="F754" s="101"/>
      <c r="G754" s="101"/>
      <c r="H754" s="101"/>
      <c r="I754" s="101"/>
      <c r="J754" s="101"/>
      <c r="K754" s="101"/>
      <c r="L754" s="82"/>
    </row>
    <row r="755" hidden="1">
      <c r="A755" s="101"/>
      <c r="B755" s="103"/>
      <c r="C755" s="101"/>
      <c r="D755" s="101"/>
      <c r="E755" s="101"/>
      <c r="F755" s="101"/>
      <c r="G755" s="101"/>
      <c r="H755" s="101"/>
      <c r="I755" s="101"/>
      <c r="J755" s="101"/>
      <c r="K755" s="101"/>
      <c r="L755" s="82"/>
    </row>
    <row r="756" hidden="1">
      <c r="A756" s="101"/>
      <c r="B756" s="103"/>
      <c r="C756" s="101"/>
      <c r="D756" s="101"/>
      <c r="E756" s="101"/>
      <c r="F756" s="101"/>
      <c r="G756" s="101"/>
      <c r="H756" s="101"/>
      <c r="I756" s="101"/>
      <c r="J756" s="101"/>
      <c r="K756" s="101"/>
      <c r="L756" s="82"/>
    </row>
    <row r="757" hidden="1">
      <c r="A757" s="101"/>
      <c r="B757" s="103"/>
      <c r="C757" s="101"/>
      <c r="D757" s="101"/>
      <c r="E757" s="101"/>
      <c r="F757" s="101"/>
      <c r="G757" s="101"/>
      <c r="H757" s="101"/>
      <c r="I757" s="101"/>
      <c r="J757" s="101"/>
      <c r="K757" s="101"/>
      <c r="L757" s="82"/>
    </row>
    <row r="758" hidden="1">
      <c r="A758" s="101"/>
      <c r="B758" s="103"/>
      <c r="C758" s="101"/>
      <c r="D758" s="101"/>
      <c r="E758" s="101"/>
      <c r="F758" s="101"/>
      <c r="G758" s="101"/>
      <c r="H758" s="101"/>
      <c r="I758" s="101"/>
      <c r="J758" s="101"/>
      <c r="K758" s="101"/>
      <c r="L758" s="82"/>
    </row>
    <row r="759" hidden="1">
      <c r="A759" s="101"/>
      <c r="B759" s="103"/>
      <c r="C759" s="101"/>
      <c r="D759" s="101"/>
      <c r="E759" s="101"/>
      <c r="F759" s="101"/>
      <c r="G759" s="101"/>
      <c r="H759" s="101"/>
      <c r="I759" s="101"/>
      <c r="J759" s="101"/>
      <c r="K759" s="101"/>
      <c r="L759" s="82"/>
    </row>
    <row r="760" hidden="1">
      <c r="A760" s="101"/>
      <c r="B760" s="103"/>
      <c r="C760" s="101"/>
      <c r="D760" s="101"/>
      <c r="E760" s="101"/>
      <c r="F760" s="101"/>
      <c r="G760" s="101"/>
      <c r="H760" s="101"/>
      <c r="I760" s="101"/>
      <c r="J760" s="101"/>
      <c r="K760" s="101"/>
      <c r="L760" s="82"/>
    </row>
    <row r="761" hidden="1">
      <c r="A761" s="101"/>
      <c r="B761" s="103"/>
      <c r="C761" s="101"/>
      <c r="D761" s="101"/>
      <c r="E761" s="101"/>
      <c r="F761" s="101"/>
      <c r="G761" s="101"/>
      <c r="H761" s="101"/>
      <c r="I761" s="101"/>
      <c r="J761" s="101"/>
      <c r="K761" s="101"/>
      <c r="L761" s="82"/>
    </row>
    <row r="762" hidden="1">
      <c r="A762" s="101"/>
      <c r="B762" s="103"/>
      <c r="C762" s="101"/>
      <c r="D762" s="101"/>
      <c r="E762" s="101"/>
      <c r="F762" s="101"/>
      <c r="G762" s="101"/>
      <c r="H762" s="101"/>
      <c r="I762" s="101"/>
      <c r="J762" s="101"/>
      <c r="K762" s="101"/>
      <c r="L762" s="82"/>
    </row>
    <row r="763" hidden="1">
      <c r="A763" s="101"/>
      <c r="B763" s="103"/>
      <c r="C763" s="101"/>
      <c r="D763" s="101"/>
      <c r="E763" s="101"/>
      <c r="F763" s="101"/>
      <c r="G763" s="101"/>
      <c r="H763" s="101"/>
      <c r="I763" s="101"/>
      <c r="J763" s="101"/>
      <c r="K763" s="101"/>
      <c r="L763" s="82"/>
    </row>
    <row r="764" hidden="1">
      <c r="A764" s="101"/>
      <c r="B764" s="103"/>
      <c r="C764" s="101"/>
      <c r="D764" s="101"/>
      <c r="E764" s="101"/>
      <c r="F764" s="101"/>
      <c r="G764" s="101"/>
      <c r="H764" s="101"/>
      <c r="I764" s="101"/>
      <c r="J764" s="101"/>
      <c r="K764" s="101"/>
      <c r="L764" s="82"/>
    </row>
    <row r="765" hidden="1">
      <c r="A765" s="101"/>
      <c r="B765" s="103"/>
      <c r="C765" s="101"/>
      <c r="D765" s="101"/>
      <c r="E765" s="101"/>
      <c r="F765" s="101"/>
      <c r="G765" s="101"/>
      <c r="H765" s="101"/>
      <c r="I765" s="101"/>
      <c r="J765" s="101"/>
      <c r="K765" s="101"/>
      <c r="L765" s="82"/>
    </row>
    <row r="766" hidden="1">
      <c r="A766" s="101"/>
      <c r="B766" s="103"/>
      <c r="C766" s="101"/>
      <c r="D766" s="101"/>
      <c r="E766" s="101"/>
      <c r="F766" s="101"/>
      <c r="G766" s="101"/>
      <c r="H766" s="101"/>
      <c r="I766" s="101"/>
      <c r="J766" s="101"/>
      <c r="K766" s="101"/>
      <c r="L766" s="82"/>
    </row>
    <row r="767" hidden="1">
      <c r="A767" s="101"/>
      <c r="B767" s="103"/>
      <c r="C767" s="101"/>
      <c r="D767" s="101"/>
      <c r="E767" s="101"/>
      <c r="F767" s="101"/>
      <c r="G767" s="101"/>
      <c r="H767" s="101"/>
      <c r="I767" s="101"/>
      <c r="J767" s="101"/>
      <c r="K767" s="101"/>
      <c r="L767" s="82"/>
    </row>
    <row r="768" hidden="1">
      <c r="A768" s="101"/>
      <c r="B768" s="103"/>
      <c r="C768" s="101"/>
      <c r="D768" s="101"/>
      <c r="E768" s="101"/>
      <c r="F768" s="101"/>
      <c r="G768" s="101"/>
      <c r="H768" s="101"/>
      <c r="I768" s="101"/>
      <c r="J768" s="101"/>
      <c r="K768" s="101"/>
      <c r="L768" s="82"/>
    </row>
    <row r="769" hidden="1">
      <c r="A769" s="101"/>
      <c r="B769" s="103"/>
      <c r="C769" s="101"/>
      <c r="D769" s="101"/>
      <c r="E769" s="101"/>
      <c r="F769" s="101"/>
      <c r="G769" s="101"/>
      <c r="H769" s="101"/>
      <c r="I769" s="101"/>
      <c r="J769" s="101"/>
      <c r="K769" s="101"/>
      <c r="L769" s="82"/>
    </row>
    <row r="770" hidden="1">
      <c r="A770" s="101"/>
      <c r="B770" s="103"/>
      <c r="C770" s="101"/>
      <c r="D770" s="101"/>
      <c r="E770" s="101"/>
      <c r="F770" s="101"/>
      <c r="G770" s="101"/>
      <c r="H770" s="101"/>
      <c r="I770" s="101"/>
      <c r="J770" s="101"/>
      <c r="K770" s="101"/>
      <c r="L770" s="82"/>
    </row>
    <row r="771" hidden="1">
      <c r="A771" s="101"/>
      <c r="B771" s="103"/>
      <c r="C771" s="101"/>
      <c r="D771" s="101"/>
      <c r="E771" s="101"/>
      <c r="F771" s="101"/>
      <c r="G771" s="101"/>
      <c r="H771" s="101"/>
      <c r="I771" s="101"/>
      <c r="J771" s="101"/>
      <c r="K771" s="101"/>
      <c r="L771" s="82"/>
    </row>
    <row r="772" hidden="1">
      <c r="A772" s="101"/>
      <c r="B772" s="103"/>
      <c r="C772" s="101"/>
      <c r="D772" s="101"/>
      <c r="E772" s="101"/>
      <c r="F772" s="101"/>
      <c r="G772" s="101"/>
      <c r="H772" s="101"/>
      <c r="I772" s="101"/>
      <c r="J772" s="101"/>
      <c r="K772" s="101"/>
      <c r="L772" s="82"/>
    </row>
    <row r="773" hidden="1">
      <c r="A773" s="101"/>
      <c r="B773" s="103"/>
      <c r="C773" s="101"/>
      <c r="D773" s="101"/>
      <c r="E773" s="101"/>
      <c r="F773" s="101"/>
      <c r="G773" s="101"/>
      <c r="H773" s="101"/>
      <c r="I773" s="101"/>
      <c r="J773" s="101"/>
      <c r="K773" s="101"/>
      <c r="L773" s="82"/>
    </row>
    <row r="774" hidden="1">
      <c r="A774" s="101"/>
      <c r="B774" s="103"/>
      <c r="C774" s="101"/>
      <c r="D774" s="101"/>
      <c r="E774" s="101"/>
      <c r="F774" s="101"/>
      <c r="G774" s="101"/>
      <c r="H774" s="101"/>
      <c r="I774" s="101"/>
      <c r="J774" s="101"/>
      <c r="K774" s="101"/>
      <c r="L774" s="82"/>
    </row>
    <row r="775" hidden="1">
      <c r="A775" s="101"/>
      <c r="B775" s="103"/>
      <c r="C775" s="101"/>
      <c r="D775" s="101"/>
      <c r="E775" s="101"/>
      <c r="F775" s="101"/>
      <c r="G775" s="101"/>
      <c r="H775" s="101"/>
      <c r="I775" s="101"/>
      <c r="J775" s="101"/>
      <c r="K775" s="101"/>
      <c r="L775" s="82"/>
    </row>
    <row r="776" hidden="1">
      <c r="A776" s="101"/>
      <c r="B776" s="103"/>
      <c r="C776" s="101"/>
      <c r="D776" s="101"/>
      <c r="E776" s="101"/>
      <c r="F776" s="101"/>
      <c r="G776" s="101"/>
      <c r="H776" s="101"/>
      <c r="I776" s="101"/>
      <c r="J776" s="101"/>
      <c r="K776" s="101"/>
      <c r="L776" s="82"/>
    </row>
    <row r="777" hidden="1">
      <c r="A777" s="101"/>
      <c r="B777" s="103"/>
      <c r="C777" s="101"/>
      <c r="D777" s="101"/>
      <c r="E777" s="101"/>
      <c r="F777" s="101"/>
      <c r="G777" s="101"/>
      <c r="H777" s="101"/>
      <c r="I777" s="101"/>
      <c r="J777" s="101"/>
      <c r="K777" s="101"/>
      <c r="L777" s="82"/>
    </row>
    <row r="778" hidden="1">
      <c r="A778" s="101"/>
      <c r="B778" s="103"/>
      <c r="C778" s="101"/>
      <c r="D778" s="101"/>
      <c r="E778" s="101"/>
      <c r="F778" s="101"/>
      <c r="G778" s="101"/>
      <c r="H778" s="101"/>
      <c r="I778" s="101"/>
      <c r="J778" s="101"/>
      <c r="K778" s="101"/>
      <c r="L778" s="82"/>
    </row>
    <row r="779" hidden="1">
      <c r="A779" s="101"/>
      <c r="B779" s="103"/>
      <c r="C779" s="101"/>
      <c r="D779" s="101"/>
      <c r="E779" s="101"/>
      <c r="F779" s="101"/>
      <c r="G779" s="101"/>
      <c r="H779" s="101"/>
      <c r="I779" s="101"/>
      <c r="J779" s="101"/>
      <c r="K779" s="101"/>
      <c r="L779" s="82"/>
    </row>
    <row r="780" hidden="1">
      <c r="A780" s="101"/>
      <c r="B780" s="103"/>
      <c r="C780" s="101"/>
      <c r="D780" s="101"/>
      <c r="E780" s="101"/>
      <c r="F780" s="101"/>
      <c r="G780" s="101"/>
      <c r="H780" s="101"/>
      <c r="I780" s="101"/>
      <c r="J780" s="101"/>
      <c r="K780" s="101"/>
      <c r="L780" s="82"/>
    </row>
    <row r="781" hidden="1">
      <c r="A781" s="101"/>
      <c r="B781" s="103"/>
      <c r="C781" s="101"/>
      <c r="D781" s="101"/>
      <c r="E781" s="101"/>
      <c r="F781" s="101"/>
      <c r="G781" s="101"/>
      <c r="H781" s="101"/>
      <c r="I781" s="101"/>
      <c r="J781" s="101"/>
      <c r="K781" s="101"/>
      <c r="L781" s="82"/>
    </row>
    <row r="782" hidden="1">
      <c r="A782" s="101"/>
      <c r="B782" s="103"/>
      <c r="C782" s="101"/>
      <c r="D782" s="101"/>
      <c r="E782" s="101"/>
      <c r="F782" s="101"/>
      <c r="G782" s="101"/>
      <c r="H782" s="101"/>
      <c r="I782" s="101"/>
      <c r="J782" s="101"/>
      <c r="K782" s="101"/>
      <c r="L782" s="82"/>
    </row>
    <row r="783" hidden="1">
      <c r="A783" s="101"/>
      <c r="B783" s="103"/>
      <c r="C783" s="101"/>
      <c r="D783" s="101"/>
      <c r="E783" s="101"/>
      <c r="F783" s="101"/>
      <c r="G783" s="101"/>
      <c r="H783" s="101"/>
      <c r="I783" s="101"/>
      <c r="J783" s="101"/>
      <c r="K783" s="101"/>
      <c r="L783" s="82"/>
    </row>
    <row r="784" hidden="1">
      <c r="A784" s="101"/>
      <c r="B784" s="103"/>
      <c r="C784" s="101"/>
      <c r="D784" s="101"/>
      <c r="E784" s="101"/>
      <c r="F784" s="101"/>
      <c r="G784" s="101"/>
      <c r="H784" s="101"/>
      <c r="I784" s="101"/>
      <c r="J784" s="101"/>
      <c r="K784" s="101"/>
      <c r="L784" s="82"/>
    </row>
    <row r="785" hidden="1">
      <c r="A785" s="101"/>
      <c r="B785" s="103"/>
      <c r="C785" s="101"/>
      <c r="D785" s="101"/>
      <c r="E785" s="101"/>
      <c r="F785" s="101"/>
      <c r="G785" s="101"/>
      <c r="H785" s="101"/>
      <c r="I785" s="101"/>
      <c r="J785" s="101"/>
      <c r="K785" s="101"/>
      <c r="L785" s="82"/>
    </row>
    <row r="786" hidden="1">
      <c r="A786" s="101"/>
      <c r="B786" s="103"/>
      <c r="C786" s="101"/>
      <c r="D786" s="101"/>
      <c r="E786" s="101"/>
      <c r="F786" s="101"/>
      <c r="G786" s="101"/>
      <c r="H786" s="101"/>
      <c r="I786" s="101"/>
      <c r="J786" s="101"/>
      <c r="K786" s="101"/>
      <c r="L786" s="82"/>
    </row>
    <row r="787" hidden="1">
      <c r="A787" s="101"/>
      <c r="B787" s="103"/>
      <c r="C787" s="101"/>
      <c r="D787" s="101"/>
      <c r="E787" s="101"/>
      <c r="F787" s="101"/>
      <c r="G787" s="101"/>
      <c r="H787" s="101"/>
      <c r="I787" s="101"/>
      <c r="J787" s="101"/>
      <c r="K787" s="101"/>
      <c r="L787" s="82"/>
    </row>
    <row r="788" hidden="1">
      <c r="A788" s="101"/>
      <c r="B788" s="103"/>
      <c r="C788" s="101"/>
      <c r="D788" s="101"/>
      <c r="E788" s="101"/>
      <c r="F788" s="101"/>
      <c r="G788" s="101"/>
      <c r="H788" s="101"/>
      <c r="I788" s="101"/>
      <c r="J788" s="101"/>
      <c r="K788" s="101"/>
      <c r="L788" s="82"/>
    </row>
    <row r="789" hidden="1">
      <c r="A789" s="101"/>
      <c r="B789" s="103"/>
      <c r="C789" s="101"/>
      <c r="D789" s="101"/>
      <c r="E789" s="101"/>
      <c r="F789" s="101"/>
      <c r="G789" s="101"/>
      <c r="H789" s="101"/>
      <c r="I789" s="101"/>
      <c r="J789" s="101"/>
      <c r="K789" s="101"/>
      <c r="L789" s="82"/>
    </row>
    <row r="790" hidden="1">
      <c r="A790" s="101"/>
      <c r="B790" s="103"/>
      <c r="C790" s="101"/>
      <c r="D790" s="101"/>
      <c r="E790" s="101"/>
      <c r="F790" s="101"/>
      <c r="G790" s="101"/>
      <c r="H790" s="101"/>
      <c r="I790" s="101"/>
      <c r="J790" s="101"/>
      <c r="K790" s="101"/>
      <c r="L790" s="82"/>
    </row>
    <row r="791" hidden="1">
      <c r="A791" s="101"/>
      <c r="B791" s="103"/>
      <c r="C791" s="101"/>
      <c r="D791" s="101"/>
      <c r="E791" s="101"/>
      <c r="F791" s="101"/>
      <c r="G791" s="101"/>
      <c r="H791" s="101"/>
      <c r="I791" s="101"/>
      <c r="J791" s="101"/>
      <c r="K791" s="101"/>
      <c r="L791" s="82"/>
    </row>
    <row r="792" hidden="1">
      <c r="A792" s="101"/>
      <c r="B792" s="103"/>
      <c r="C792" s="101"/>
      <c r="D792" s="101"/>
      <c r="E792" s="101"/>
      <c r="F792" s="101"/>
      <c r="G792" s="101"/>
      <c r="H792" s="101"/>
      <c r="I792" s="101"/>
      <c r="J792" s="101"/>
      <c r="K792" s="101"/>
      <c r="L792" s="82"/>
    </row>
    <row r="793" hidden="1">
      <c r="A793" s="101"/>
      <c r="B793" s="103"/>
      <c r="C793" s="101"/>
      <c r="D793" s="101"/>
      <c r="E793" s="101"/>
      <c r="F793" s="101"/>
      <c r="G793" s="101"/>
      <c r="H793" s="101"/>
      <c r="I793" s="101"/>
      <c r="J793" s="101"/>
      <c r="K793" s="101"/>
      <c r="L793" s="82"/>
    </row>
    <row r="794" hidden="1">
      <c r="A794" s="101"/>
      <c r="B794" s="103"/>
      <c r="C794" s="101"/>
      <c r="D794" s="101"/>
      <c r="E794" s="101"/>
      <c r="F794" s="101"/>
      <c r="G794" s="101"/>
      <c r="H794" s="101"/>
      <c r="I794" s="101"/>
      <c r="J794" s="101"/>
      <c r="K794" s="101"/>
      <c r="L794" s="82"/>
    </row>
    <row r="795" hidden="1">
      <c r="A795" s="101"/>
      <c r="B795" s="103"/>
      <c r="C795" s="101"/>
      <c r="D795" s="101"/>
      <c r="E795" s="101"/>
      <c r="F795" s="101"/>
      <c r="G795" s="101"/>
      <c r="H795" s="101"/>
      <c r="I795" s="101"/>
      <c r="J795" s="101"/>
      <c r="K795" s="101"/>
      <c r="L795" s="82"/>
    </row>
    <row r="796" hidden="1">
      <c r="A796" s="101"/>
      <c r="B796" s="103"/>
      <c r="C796" s="101"/>
      <c r="D796" s="101"/>
      <c r="E796" s="101"/>
      <c r="F796" s="101"/>
      <c r="G796" s="101"/>
      <c r="H796" s="101"/>
      <c r="I796" s="101"/>
      <c r="J796" s="101"/>
      <c r="K796" s="101"/>
      <c r="L796" s="82"/>
    </row>
    <row r="797" hidden="1">
      <c r="A797" s="101"/>
      <c r="B797" s="103"/>
      <c r="C797" s="101"/>
      <c r="D797" s="101"/>
      <c r="E797" s="101"/>
      <c r="F797" s="101"/>
      <c r="G797" s="101"/>
      <c r="H797" s="101"/>
      <c r="I797" s="101"/>
      <c r="J797" s="101"/>
      <c r="K797" s="101"/>
      <c r="L797" s="82"/>
    </row>
    <row r="798" hidden="1">
      <c r="A798" s="101"/>
      <c r="B798" s="103"/>
      <c r="C798" s="101"/>
      <c r="D798" s="101"/>
      <c r="E798" s="101"/>
      <c r="F798" s="101"/>
      <c r="G798" s="101"/>
      <c r="H798" s="101"/>
      <c r="I798" s="101"/>
      <c r="J798" s="101"/>
      <c r="K798" s="101"/>
      <c r="L798" s="82"/>
    </row>
    <row r="799" hidden="1">
      <c r="A799" s="101"/>
      <c r="B799" s="103"/>
      <c r="C799" s="101"/>
      <c r="D799" s="101"/>
      <c r="E799" s="101"/>
      <c r="F799" s="101"/>
      <c r="G799" s="101"/>
      <c r="H799" s="101"/>
      <c r="I799" s="101"/>
      <c r="J799" s="101"/>
      <c r="K799" s="101"/>
      <c r="L799" s="82"/>
    </row>
    <row r="800" hidden="1">
      <c r="A800" s="101"/>
      <c r="B800" s="103"/>
      <c r="C800" s="101"/>
      <c r="D800" s="101"/>
      <c r="E800" s="101"/>
      <c r="F800" s="101"/>
      <c r="G800" s="101"/>
      <c r="H800" s="101"/>
      <c r="I800" s="101"/>
      <c r="J800" s="101"/>
      <c r="K800" s="101"/>
      <c r="L800" s="82"/>
    </row>
    <row r="801" hidden="1">
      <c r="A801" s="101"/>
      <c r="B801" s="103"/>
      <c r="C801" s="101"/>
      <c r="D801" s="101"/>
      <c r="E801" s="101"/>
      <c r="F801" s="101"/>
      <c r="G801" s="101"/>
      <c r="H801" s="101"/>
      <c r="I801" s="101"/>
      <c r="J801" s="101"/>
      <c r="K801" s="101"/>
      <c r="L801" s="82"/>
    </row>
    <row r="802" hidden="1">
      <c r="A802" s="101"/>
      <c r="B802" s="103"/>
      <c r="C802" s="101"/>
      <c r="D802" s="101"/>
      <c r="E802" s="101"/>
      <c r="F802" s="101"/>
      <c r="G802" s="101"/>
      <c r="H802" s="101"/>
      <c r="I802" s="101"/>
      <c r="J802" s="101"/>
      <c r="K802" s="101"/>
      <c r="L802" s="82"/>
    </row>
    <row r="803" hidden="1">
      <c r="A803" s="101"/>
      <c r="B803" s="103"/>
      <c r="C803" s="101"/>
      <c r="D803" s="101"/>
      <c r="E803" s="101"/>
      <c r="F803" s="101"/>
      <c r="G803" s="101"/>
      <c r="H803" s="101"/>
      <c r="I803" s="101"/>
      <c r="J803" s="101"/>
      <c r="K803" s="101"/>
      <c r="L803" s="82"/>
    </row>
    <row r="804" hidden="1">
      <c r="A804" s="101"/>
      <c r="B804" s="103"/>
      <c r="C804" s="101"/>
      <c r="D804" s="101"/>
      <c r="E804" s="101"/>
      <c r="F804" s="101"/>
      <c r="G804" s="101"/>
      <c r="H804" s="101"/>
      <c r="I804" s="101"/>
      <c r="J804" s="101"/>
      <c r="K804" s="101"/>
      <c r="L804" s="82"/>
    </row>
    <row r="805" hidden="1">
      <c r="A805" s="101"/>
      <c r="B805" s="103"/>
      <c r="C805" s="101"/>
      <c r="D805" s="101"/>
      <c r="E805" s="101"/>
      <c r="F805" s="101"/>
      <c r="G805" s="101"/>
      <c r="H805" s="101"/>
      <c r="I805" s="101"/>
      <c r="J805" s="101"/>
      <c r="K805" s="101"/>
      <c r="L805" s="82"/>
    </row>
    <row r="806" hidden="1">
      <c r="A806" s="101"/>
      <c r="B806" s="103"/>
      <c r="C806" s="101"/>
      <c r="D806" s="101"/>
      <c r="E806" s="101"/>
      <c r="F806" s="101"/>
      <c r="G806" s="101"/>
      <c r="H806" s="101"/>
      <c r="I806" s="101"/>
      <c r="J806" s="101"/>
      <c r="K806" s="101"/>
      <c r="L806" s="82"/>
    </row>
    <row r="807" hidden="1">
      <c r="A807" s="101"/>
      <c r="B807" s="103"/>
      <c r="C807" s="101"/>
      <c r="D807" s="101"/>
      <c r="E807" s="101"/>
      <c r="F807" s="101"/>
      <c r="G807" s="101"/>
      <c r="H807" s="101"/>
      <c r="I807" s="101"/>
      <c r="J807" s="101"/>
      <c r="K807" s="101"/>
      <c r="L807" s="82"/>
    </row>
    <row r="808" hidden="1">
      <c r="A808" s="101"/>
      <c r="B808" s="103"/>
      <c r="C808" s="101"/>
      <c r="D808" s="101"/>
      <c r="E808" s="101"/>
      <c r="F808" s="101"/>
      <c r="G808" s="101"/>
      <c r="H808" s="101"/>
      <c r="I808" s="101"/>
      <c r="J808" s="101"/>
      <c r="K808" s="101"/>
      <c r="L808" s="82"/>
    </row>
    <row r="809" hidden="1">
      <c r="A809" s="101"/>
      <c r="B809" s="103"/>
      <c r="C809" s="101"/>
      <c r="D809" s="101"/>
      <c r="E809" s="101"/>
      <c r="F809" s="101"/>
      <c r="G809" s="101"/>
      <c r="H809" s="101"/>
      <c r="I809" s="101"/>
      <c r="J809" s="101"/>
      <c r="K809" s="101"/>
      <c r="L809" s="82"/>
    </row>
    <row r="810" hidden="1">
      <c r="A810" s="101"/>
      <c r="B810" s="103"/>
      <c r="C810" s="101"/>
      <c r="D810" s="101"/>
      <c r="E810" s="101"/>
      <c r="F810" s="101"/>
      <c r="G810" s="101"/>
      <c r="H810" s="101"/>
      <c r="I810" s="101"/>
      <c r="J810" s="101"/>
      <c r="K810" s="101"/>
      <c r="L810" s="82"/>
    </row>
    <row r="811" hidden="1">
      <c r="A811" s="101"/>
      <c r="B811" s="103"/>
      <c r="C811" s="101"/>
      <c r="D811" s="101"/>
      <c r="E811" s="101"/>
      <c r="F811" s="101"/>
      <c r="G811" s="101"/>
      <c r="H811" s="101"/>
      <c r="I811" s="101"/>
      <c r="J811" s="101"/>
      <c r="K811" s="101"/>
      <c r="L811" s="82"/>
    </row>
    <row r="812" hidden="1">
      <c r="A812" s="101"/>
      <c r="B812" s="103"/>
      <c r="C812" s="101"/>
      <c r="D812" s="101"/>
      <c r="E812" s="101"/>
      <c r="F812" s="101"/>
      <c r="G812" s="101"/>
      <c r="H812" s="101"/>
      <c r="I812" s="101"/>
      <c r="J812" s="101"/>
      <c r="K812" s="101"/>
      <c r="L812" s="82"/>
    </row>
    <row r="813" hidden="1">
      <c r="A813" s="101"/>
      <c r="B813" s="103"/>
      <c r="C813" s="101"/>
      <c r="D813" s="101"/>
      <c r="E813" s="101"/>
      <c r="F813" s="101"/>
      <c r="G813" s="101"/>
      <c r="H813" s="101"/>
      <c r="I813" s="101"/>
      <c r="J813" s="101"/>
      <c r="K813" s="101"/>
      <c r="L813" s="82"/>
    </row>
    <row r="814" hidden="1">
      <c r="A814" s="101"/>
      <c r="B814" s="103"/>
      <c r="C814" s="101"/>
      <c r="D814" s="101"/>
      <c r="E814" s="101"/>
      <c r="F814" s="101"/>
      <c r="G814" s="101"/>
      <c r="H814" s="101"/>
      <c r="I814" s="101"/>
      <c r="J814" s="101"/>
      <c r="K814" s="101"/>
      <c r="L814" s="82"/>
    </row>
    <row r="815" hidden="1">
      <c r="A815" s="101"/>
      <c r="B815" s="103"/>
      <c r="C815" s="101"/>
      <c r="D815" s="101"/>
      <c r="E815" s="101"/>
      <c r="F815" s="101"/>
      <c r="G815" s="101"/>
      <c r="H815" s="101"/>
      <c r="I815" s="101"/>
      <c r="J815" s="101"/>
      <c r="K815" s="101"/>
      <c r="L815" s="82"/>
    </row>
    <row r="816" hidden="1">
      <c r="A816" s="101"/>
      <c r="B816" s="103"/>
      <c r="C816" s="101"/>
      <c r="D816" s="101"/>
      <c r="E816" s="101"/>
      <c r="F816" s="101"/>
      <c r="G816" s="101"/>
      <c r="H816" s="101"/>
      <c r="I816" s="101"/>
      <c r="J816" s="101"/>
      <c r="K816" s="101"/>
      <c r="L816" s="82"/>
    </row>
    <row r="817" hidden="1">
      <c r="A817" s="101"/>
      <c r="B817" s="103"/>
      <c r="C817" s="101"/>
      <c r="D817" s="101"/>
      <c r="E817" s="101"/>
      <c r="F817" s="101"/>
      <c r="G817" s="101"/>
      <c r="H817" s="101"/>
      <c r="I817" s="101"/>
      <c r="J817" s="101"/>
      <c r="K817" s="101"/>
      <c r="L817" s="82"/>
    </row>
    <row r="818" hidden="1">
      <c r="A818" s="101"/>
      <c r="B818" s="103"/>
      <c r="C818" s="101"/>
      <c r="D818" s="101"/>
      <c r="E818" s="101"/>
      <c r="F818" s="101"/>
      <c r="G818" s="101"/>
      <c r="H818" s="101"/>
      <c r="I818" s="101"/>
      <c r="J818" s="101"/>
      <c r="K818" s="101"/>
      <c r="L818" s="82"/>
    </row>
    <row r="819" hidden="1">
      <c r="A819" s="101"/>
      <c r="B819" s="103"/>
      <c r="C819" s="101"/>
      <c r="D819" s="101"/>
      <c r="E819" s="101"/>
      <c r="F819" s="101"/>
      <c r="G819" s="101"/>
      <c r="H819" s="101"/>
      <c r="I819" s="101"/>
      <c r="J819" s="101"/>
      <c r="K819" s="101"/>
      <c r="L819" s="82"/>
    </row>
    <row r="820" hidden="1">
      <c r="A820" s="101"/>
      <c r="B820" s="103"/>
      <c r="C820" s="101"/>
      <c r="D820" s="101"/>
      <c r="E820" s="101"/>
      <c r="F820" s="101"/>
      <c r="G820" s="101"/>
      <c r="H820" s="101"/>
      <c r="I820" s="101"/>
      <c r="J820" s="101"/>
      <c r="K820" s="101"/>
      <c r="L820" s="82"/>
    </row>
    <row r="821" hidden="1">
      <c r="A821" s="101"/>
      <c r="B821" s="103"/>
      <c r="C821" s="101"/>
      <c r="D821" s="101"/>
      <c r="E821" s="101"/>
      <c r="F821" s="101"/>
      <c r="G821" s="101"/>
      <c r="H821" s="101"/>
      <c r="I821" s="101"/>
      <c r="J821" s="101"/>
      <c r="K821" s="101"/>
      <c r="L821" s="82"/>
    </row>
    <row r="822" hidden="1">
      <c r="A822" s="101"/>
      <c r="B822" s="103"/>
      <c r="C822" s="101"/>
      <c r="D822" s="101"/>
      <c r="E822" s="101"/>
      <c r="F822" s="101"/>
      <c r="G822" s="101"/>
      <c r="H822" s="101"/>
      <c r="I822" s="101"/>
      <c r="J822" s="101"/>
      <c r="K822" s="101"/>
      <c r="L822" s="82"/>
    </row>
    <row r="823" hidden="1">
      <c r="A823" s="101"/>
      <c r="B823" s="103"/>
      <c r="C823" s="101"/>
      <c r="D823" s="101"/>
      <c r="E823" s="101"/>
      <c r="F823" s="101"/>
      <c r="G823" s="101"/>
      <c r="H823" s="101"/>
      <c r="I823" s="101"/>
      <c r="J823" s="101"/>
      <c r="K823" s="101"/>
      <c r="L823" s="82"/>
    </row>
    <row r="824" hidden="1">
      <c r="A824" s="101"/>
      <c r="B824" s="103"/>
      <c r="C824" s="101"/>
      <c r="D824" s="101"/>
      <c r="E824" s="101"/>
      <c r="F824" s="101"/>
      <c r="G824" s="101"/>
      <c r="H824" s="101"/>
      <c r="I824" s="101"/>
      <c r="J824" s="101"/>
      <c r="K824" s="101"/>
      <c r="L824" s="82"/>
    </row>
    <row r="825" hidden="1">
      <c r="A825" s="101"/>
      <c r="B825" s="103"/>
      <c r="C825" s="101"/>
      <c r="D825" s="101"/>
      <c r="E825" s="101"/>
      <c r="F825" s="101"/>
      <c r="G825" s="101"/>
      <c r="H825" s="101"/>
      <c r="I825" s="101"/>
      <c r="J825" s="101"/>
      <c r="K825" s="101"/>
      <c r="L825" s="82"/>
    </row>
    <row r="826" hidden="1">
      <c r="A826" s="101"/>
      <c r="B826" s="103"/>
      <c r="C826" s="101"/>
      <c r="D826" s="101"/>
      <c r="E826" s="101"/>
      <c r="F826" s="101"/>
      <c r="G826" s="101"/>
      <c r="H826" s="101"/>
      <c r="I826" s="101"/>
      <c r="J826" s="101"/>
      <c r="K826" s="101"/>
      <c r="L826" s="82"/>
    </row>
    <row r="827" hidden="1">
      <c r="A827" s="101"/>
      <c r="B827" s="103"/>
      <c r="C827" s="101"/>
      <c r="D827" s="101"/>
      <c r="E827" s="101"/>
      <c r="F827" s="101"/>
      <c r="G827" s="101"/>
      <c r="H827" s="101"/>
      <c r="I827" s="101"/>
      <c r="J827" s="101"/>
      <c r="K827" s="101"/>
      <c r="L827" s="82"/>
    </row>
    <row r="828" hidden="1">
      <c r="A828" s="101"/>
      <c r="B828" s="103"/>
      <c r="C828" s="101"/>
      <c r="D828" s="101"/>
      <c r="E828" s="101"/>
      <c r="F828" s="101"/>
      <c r="G828" s="101"/>
      <c r="H828" s="101"/>
      <c r="I828" s="101"/>
      <c r="J828" s="101"/>
      <c r="K828" s="101"/>
      <c r="L828" s="82"/>
    </row>
    <row r="829" hidden="1">
      <c r="A829" s="101"/>
      <c r="B829" s="103"/>
      <c r="C829" s="101"/>
      <c r="D829" s="101"/>
      <c r="E829" s="101"/>
      <c r="F829" s="101"/>
      <c r="G829" s="101"/>
      <c r="H829" s="101"/>
      <c r="I829" s="101"/>
      <c r="J829" s="101"/>
      <c r="K829" s="101"/>
      <c r="L829" s="82"/>
    </row>
    <row r="830" hidden="1">
      <c r="A830" s="101"/>
      <c r="B830" s="103"/>
      <c r="C830" s="101"/>
      <c r="D830" s="101"/>
      <c r="E830" s="101"/>
      <c r="F830" s="101"/>
      <c r="G830" s="101"/>
      <c r="H830" s="101"/>
      <c r="I830" s="101"/>
      <c r="J830" s="101"/>
      <c r="K830" s="101"/>
      <c r="L830" s="82"/>
    </row>
    <row r="831" hidden="1">
      <c r="A831" s="101"/>
      <c r="B831" s="103"/>
      <c r="C831" s="101"/>
      <c r="D831" s="101"/>
      <c r="E831" s="101"/>
      <c r="F831" s="101"/>
      <c r="G831" s="101"/>
      <c r="H831" s="101"/>
      <c r="I831" s="101"/>
      <c r="J831" s="101"/>
      <c r="K831" s="101"/>
      <c r="L831" s="82"/>
    </row>
    <row r="832" hidden="1">
      <c r="A832" s="101"/>
      <c r="B832" s="103"/>
      <c r="C832" s="101"/>
      <c r="D832" s="101"/>
      <c r="E832" s="101"/>
      <c r="F832" s="101"/>
      <c r="G832" s="101"/>
      <c r="H832" s="101"/>
      <c r="I832" s="101"/>
      <c r="J832" s="101"/>
      <c r="K832" s="101"/>
      <c r="L832" s="82"/>
    </row>
    <row r="833" hidden="1">
      <c r="A833" s="101"/>
      <c r="B833" s="103"/>
      <c r="C833" s="101"/>
      <c r="D833" s="101"/>
      <c r="E833" s="101"/>
      <c r="F833" s="101"/>
      <c r="G833" s="101"/>
      <c r="H833" s="101"/>
      <c r="I833" s="101"/>
      <c r="J833" s="101"/>
      <c r="K833" s="101"/>
      <c r="L833" s="82"/>
    </row>
    <row r="834" hidden="1">
      <c r="A834" s="101"/>
      <c r="B834" s="103"/>
      <c r="C834" s="101"/>
      <c r="D834" s="101"/>
      <c r="E834" s="101"/>
      <c r="F834" s="101"/>
      <c r="G834" s="101"/>
      <c r="H834" s="101"/>
      <c r="I834" s="101"/>
      <c r="J834" s="101"/>
      <c r="K834" s="101"/>
      <c r="L834" s="82"/>
    </row>
    <row r="835" hidden="1">
      <c r="A835" s="101"/>
      <c r="B835" s="103"/>
      <c r="C835" s="101"/>
      <c r="D835" s="101"/>
      <c r="E835" s="101"/>
      <c r="F835" s="101"/>
      <c r="G835" s="101"/>
      <c r="H835" s="101"/>
      <c r="I835" s="101"/>
      <c r="J835" s="101"/>
      <c r="K835" s="101"/>
      <c r="L835" s="82"/>
    </row>
    <row r="836" hidden="1">
      <c r="A836" s="101"/>
      <c r="B836" s="103"/>
      <c r="C836" s="101"/>
      <c r="D836" s="101"/>
      <c r="E836" s="101"/>
      <c r="F836" s="101"/>
      <c r="G836" s="101"/>
      <c r="H836" s="101"/>
      <c r="I836" s="101"/>
      <c r="J836" s="101"/>
      <c r="K836" s="101"/>
      <c r="L836" s="82"/>
    </row>
    <row r="837" hidden="1">
      <c r="A837" s="101"/>
      <c r="B837" s="103"/>
      <c r="C837" s="101"/>
      <c r="D837" s="101"/>
      <c r="E837" s="101"/>
      <c r="F837" s="101"/>
      <c r="G837" s="101"/>
      <c r="H837" s="101"/>
      <c r="I837" s="101"/>
      <c r="J837" s="101"/>
      <c r="K837" s="101"/>
      <c r="L837" s="82"/>
    </row>
    <row r="838" hidden="1">
      <c r="A838" s="101"/>
      <c r="B838" s="103"/>
      <c r="C838" s="101"/>
      <c r="D838" s="101"/>
      <c r="E838" s="101"/>
      <c r="F838" s="101"/>
      <c r="G838" s="101"/>
      <c r="H838" s="101"/>
      <c r="I838" s="101"/>
      <c r="J838" s="101"/>
      <c r="K838" s="101"/>
      <c r="L838" s="82"/>
    </row>
    <row r="839" hidden="1">
      <c r="A839" s="101"/>
      <c r="B839" s="103"/>
      <c r="C839" s="101"/>
      <c r="D839" s="101"/>
      <c r="E839" s="101"/>
      <c r="F839" s="104"/>
      <c r="G839" s="101"/>
      <c r="H839" s="101"/>
      <c r="I839" s="101"/>
      <c r="J839" s="101"/>
      <c r="K839" s="101"/>
      <c r="L839" s="82"/>
    </row>
    <row r="840" hidden="1">
      <c r="A840" s="101"/>
      <c r="B840" s="103"/>
      <c r="C840" s="101"/>
      <c r="D840" s="101"/>
      <c r="E840" s="101"/>
      <c r="F840" s="104"/>
      <c r="G840" s="101"/>
      <c r="H840" s="101"/>
      <c r="I840" s="101"/>
      <c r="J840" s="101"/>
      <c r="K840" s="101"/>
      <c r="L840" s="82"/>
    </row>
    <row r="841" hidden="1">
      <c r="A841" s="101"/>
      <c r="B841" s="103"/>
      <c r="C841" s="101"/>
      <c r="D841" s="101"/>
      <c r="E841" s="101"/>
      <c r="F841" s="104"/>
      <c r="G841" s="101"/>
      <c r="H841" s="101"/>
      <c r="I841" s="101"/>
      <c r="J841" s="101"/>
      <c r="K841" s="101"/>
      <c r="L841" s="82"/>
    </row>
    <row r="842" hidden="1">
      <c r="A842" s="101"/>
      <c r="B842" s="103"/>
      <c r="C842" s="101"/>
      <c r="D842" s="101"/>
      <c r="E842" s="101"/>
      <c r="F842" s="104"/>
      <c r="G842" s="101"/>
      <c r="H842" s="101"/>
      <c r="I842" s="101"/>
      <c r="J842" s="101"/>
      <c r="K842" s="101"/>
      <c r="L842" s="82"/>
    </row>
    <row r="843" hidden="1">
      <c r="A843" s="101"/>
      <c r="B843" s="103"/>
      <c r="C843" s="101"/>
      <c r="D843" s="101"/>
      <c r="E843" s="101"/>
      <c r="F843" s="104"/>
      <c r="G843" s="101"/>
      <c r="H843" s="101"/>
      <c r="I843" s="101"/>
      <c r="J843" s="101"/>
      <c r="K843" s="101"/>
      <c r="L843" s="82"/>
    </row>
    <row r="844">
      <c r="A844" s="101"/>
      <c r="B844" s="101"/>
      <c r="C844" s="101"/>
      <c r="D844" s="101"/>
      <c r="E844" s="101"/>
      <c r="F844" s="104"/>
      <c r="G844" s="101"/>
      <c r="H844" s="101"/>
      <c r="I844" s="101"/>
      <c r="J844" s="101"/>
      <c r="K844" s="101"/>
      <c r="L844" s="82"/>
    </row>
    <row r="845">
      <c r="A845" s="101"/>
      <c r="B845" s="101"/>
      <c r="C845" s="101"/>
      <c r="D845" s="101"/>
      <c r="E845" s="101"/>
      <c r="F845" s="104"/>
      <c r="G845" s="101"/>
      <c r="H845" s="101"/>
      <c r="I845" s="101"/>
      <c r="J845" s="101"/>
      <c r="K845" s="101"/>
      <c r="L845" s="82"/>
    </row>
    <row r="846">
      <c r="A846" s="101"/>
      <c r="B846" s="101"/>
      <c r="C846" s="101"/>
      <c r="D846" s="101"/>
      <c r="E846" s="101"/>
      <c r="F846" s="104"/>
      <c r="G846" s="101"/>
      <c r="H846" s="101"/>
      <c r="I846" s="101"/>
      <c r="J846" s="101"/>
      <c r="K846" s="101"/>
      <c r="L846" s="82"/>
    </row>
    <row r="847">
      <c r="A847" s="101"/>
      <c r="B847" s="101"/>
      <c r="C847" s="101"/>
      <c r="D847" s="101"/>
      <c r="E847" s="101"/>
      <c r="F847" s="104"/>
      <c r="G847" s="101"/>
      <c r="H847" s="101"/>
      <c r="I847" s="101"/>
      <c r="J847" s="101"/>
      <c r="K847" s="101"/>
      <c r="L847" s="82"/>
    </row>
    <row r="848">
      <c r="A848" s="101"/>
      <c r="B848" s="101"/>
      <c r="C848" s="101"/>
      <c r="D848" s="101"/>
      <c r="E848" s="101"/>
      <c r="F848" s="104"/>
      <c r="G848" s="101"/>
      <c r="H848" s="101"/>
      <c r="I848" s="101"/>
      <c r="J848" s="101"/>
      <c r="K848" s="101"/>
      <c r="L848" s="82"/>
    </row>
    <row r="849">
      <c r="A849" s="101"/>
      <c r="B849" s="101"/>
      <c r="C849" s="101"/>
      <c r="D849" s="101"/>
      <c r="E849" s="101"/>
      <c r="F849" s="104"/>
      <c r="G849" s="101"/>
      <c r="H849" s="101"/>
      <c r="I849" s="101"/>
      <c r="J849" s="101"/>
      <c r="K849" s="101"/>
      <c r="L849" s="82"/>
    </row>
    <row r="850">
      <c r="A850" s="101"/>
      <c r="B850" s="101"/>
      <c r="C850" s="101"/>
      <c r="D850" s="101"/>
      <c r="E850" s="101"/>
      <c r="F850" s="104"/>
      <c r="G850" s="101"/>
      <c r="H850" s="101"/>
      <c r="I850" s="101"/>
      <c r="J850" s="101"/>
      <c r="K850" s="101"/>
      <c r="L850" s="82"/>
    </row>
    <row r="851">
      <c r="A851" s="101"/>
      <c r="B851" s="101"/>
      <c r="C851" s="101"/>
      <c r="D851" s="101"/>
      <c r="E851" s="101"/>
      <c r="F851" s="104"/>
      <c r="G851" s="101"/>
      <c r="H851" s="101"/>
      <c r="I851" s="101"/>
      <c r="J851" s="101"/>
      <c r="K851" s="101"/>
      <c r="L851" s="82"/>
    </row>
    <row r="852">
      <c r="A852" s="101"/>
      <c r="B852" s="101"/>
      <c r="C852" s="101"/>
      <c r="D852" s="101"/>
      <c r="E852" s="101"/>
      <c r="F852" s="104"/>
      <c r="G852" s="101"/>
      <c r="H852" s="101"/>
      <c r="I852" s="101"/>
      <c r="J852" s="101"/>
      <c r="K852" s="101"/>
      <c r="L852" s="82"/>
    </row>
    <row r="853">
      <c r="A853" s="101"/>
      <c r="B853" s="101"/>
      <c r="C853" s="101"/>
      <c r="D853" s="101"/>
      <c r="E853" s="101"/>
      <c r="F853" s="104"/>
      <c r="G853" s="101"/>
      <c r="H853" s="101"/>
      <c r="I853" s="101"/>
      <c r="J853" s="101"/>
      <c r="K853" s="101"/>
      <c r="L853" s="82"/>
    </row>
  </sheetData>
  <mergeCells count="244">
    <mergeCell ref="F168:F171"/>
    <mergeCell ref="F174:F177"/>
    <mergeCell ref="G174:G177"/>
    <mergeCell ref="H174:H177"/>
    <mergeCell ref="C178:H178"/>
    <mergeCell ref="F180:F183"/>
    <mergeCell ref="G180:G183"/>
    <mergeCell ref="H180:H183"/>
    <mergeCell ref="C184:H184"/>
    <mergeCell ref="F186:F189"/>
    <mergeCell ref="G186:G189"/>
    <mergeCell ref="H186:H189"/>
    <mergeCell ref="C190:H190"/>
    <mergeCell ref="F192:F195"/>
    <mergeCell ref="F94:F97"/>
    <mergeCell ref="F100:F103"/>
    <mergeCell ref="G100:G103"/>
    <mergeCell ref="H100:H103"/>
    <mergeCell ref="C104:H104"/>
    <mergeCell ref="F106:F109"/>
    <mergeCell ref="G106:G109"/>
    <mergeCell ref="C128:H128"/>
    <mergeCell ref="C134:H134"/>
    <mergeCell ref="H106:H109"/>
    <mergeCell ref="C110:H110"/>
    <mergeCell ref="F112:F116"/>
    <mergeCell ref="G112:G116"/>
    <mergeCell ref="H112:H116"/>
    <mergeCell ref="C117:H117"/>
    <mergeCell ref="C123:H123"/>
    <mergeCell ref="F119:F122"/>
    <mergeCell ref="F125:F127"/>
    <mergeCell ref="G125:G127"/>
    <mergeCell ref="H125:H127"/>
    <mergeCell ref="F130:F133"/>
    <mergeCell ref="G130:G133"/>
    <mergeCell ref="H130:H133"/>
    <mergeCell ref="F136:F139"/>
    <mergeCell ref="G136:G139"/>
    <mergeCell ref="H136:H139"/>
    <mergeCell ref="C140:H140"/>
    <mergeCell ref="G142:G145"/>
    <mergeCell ref="H142:H145"/>
    <mergeCell ref="C146:H146"/>
    <mergeCell ref="F142:F145"/>
    <mergeCell ref="F148:F151"/>
    <mergeCell ref="G148:G151"/>
    <mergeCell ref="H148:H151"/>
    <mergeCell ref="F154:F159"/>
    <mergeCell ref="G154:G159"/>
    <mergeCell ref="H154:H159"/>
    <mergeCell ref="F212:F213"/>
    <mergeCell ref="F216:F219"/>
    <mergeCell ref="G216:G219"/>
    <mergeCell ref="H216:H219"/>
    <mergeCell ref="C220:H220"/>
    <mergeCell ref="G46:G49"/>
    <mergeCell ref="G52:G55"/>
    <mergeCell ref="H52:H55"/>
    <mergeCell ref="G29:G31"/>
    <mergeCell ref="H29:H31"/>
    <mergeCell ref="G34:G37"/>
    <mergeCell ref="H34:H37"/>
    <mergeCell ref="G40:G43"/>
    <mergeCell ref="H40:H43"/>
    <mergeCell ref="H46:H49"/>
    <mergeCell ref="A29:A31"/>
    <mergeCell ref="A34:A37"/>
    <mergeCell ref="A40:A43"/>
    <mergeCell ref="A46:A49"/>
    <mergeCell ref="A52:A55"/>
    <mergeCell ref="A58:A61"/>
    <mergeCell ref="A64:A67"/>
    <mergeCell ref="A70:A73"/>
    <mergeCell ref="A77:A80"/>
    <mergeCell ref="A83:A85"/>
    <mergeCell ref="A88:A91"/>
    <mergeCell ref="A94:A97"/>
    <mergeCell ref="A100:A103"/>
    <mergeCell ref="A106:A109"/>
    <mergeCell ref="A112:A115"/>
    <mergeCell ref="A119:A122"/>
    <mergeCell ref="A125:A127"/>
    <mergeCell ref="A130:A133"/>
    <mergeCell ref="A136:A139"/>
    <mergeCell ref="A142:A145"/>
    <mergeCell ref="A148:A151"/>
    <mergeCell ref="A154:A157"/>
    <mergeCell ref="A162:A165"/>
    <mergeCell ref="A168:A171"/>
    <mergeCell ref="A174:A177"/>
    <mergeCell ref="A180:A183"/>
    <mergeCell ref="A186:A189"/>
    <mergeCell ref="A192:A195"/>
    <mergeCell ref="A198:A201"/>
    <mergeCell ref="A206:A209"/>
    <mergeCell ref="A212:A213"/>
    <mergeCell ref="A216:A219"/>
    <mergeCell ref="A222:A225"/>
    <mergeCell ref="A228:A231"/>
    <mergeCell ref="A234:A237"/>
    <mergeCell ref="A283:A285"/>
    <mergeCell ref="A288:A291"/>
    <mergeCell ref="A294:A297"/>
    <mergeCell ref="A240:A243"/>
    <mergeCell ref="A247:A250"/>
    <mergeCell ref="A253:A256"/>
    <mergeCell ref="A259:A262"/>
    <mergeCell ref="A265:A268"/>
    <mergeCell ref="A271:A274"/>
    <mergeCell ref="A277:A280"/>
    <mergeCell ref="D38:I38"/>
    <mergeCell ref="D44:I44"/>
    <mergeCell ref="D50:I50"/>
    <mergeCell ref="C56:H56"/>
    <mergeCell ref="G58:G61"/>
    <mergeCell ref="H58:H61"/>
    <mergeCell ref="C62:H62"/>
    <mergeCell ref="F58:F61"/>
    <mergeCell ref="F64:F67"/>
    <mergeCell ref="G64:G67"/>
    <mergeCell ref="H64:H67"/>
    <mergeCell ref="C68:H68"/>
    <mergeCell ref="G70:G74"/>
    <mergeCell ref="H70:H74"/>
    <mergeCell ref="C75:H75"/>
    <mergeCell ref="C81:H81"/>
    <mergeCell ref="C86:H86"/>
    <mergeCell ref="F88:F91"/>
    <mergeCell ref="G88:G91"/>
    <mergeCell ref="H88:H91"/>
    <mergeCell ref="C92:H92"/>
    <mergeCell ref="G94:G97"/>
    <mergeCell ref="H94:H97"/>
    <mergeCell ref="C98:H98"/>
    <mergeCell ref="F11:F14"/>
    <mergeCell ref="G11:G14"/>
    <mergeCell ref="H11:H14"/>
    <mergeCell ref="D15:I15"/>
    <mergeCell ref="C1:D1"/>
    <mergeCell ref="A3:A8"/>
    <mergeCell ref="G3:G8"/>
    <mergeCell ref="H3:H8"/>
    <mergeCell ref="D9:I9"/>
    <mergeCell ref="A11:A14"/>
    <mergeCell ref="A17:A20"/>
    <mergeCell ref="C21:H21"/>
    <mergeCell ref="G17:G20"/>
    <mergeCell ref="H17:H20"/>
    <mergeCell ref="G23:G26"/>
    <mergeCell ref="H23:H26"/>
    <mergeCell ref="D27:I27"/>
    <mergeCell ref="F29:F31"/>
    <mergeCell ref="D32:I32"/>
    <mergeCell ref="F3:F8"/>
    <mergeCell ref="F17:F20"/>
    <mergeCell ref="F23:F26"/>
    <mergeCell ref="F34:F37"/>
    <mergeCell ref="F40:F43"/>
    <mergeCell ref="F46:F49"/>
    <mergeCell ref="F52:F55"/>
    <mergeCell ref="F70:F74"/>
    <mergeCell ref="F77:F80"/>
    <mergeCell ref="G77:G80"/>
    <mergeCell ref="H77:H80"/>
    <mergeCell ref="F83:F85"/>
    <mergeCell ref="G83:G85"/>
    <mergeCell ref="H83:H85"/>
    <mergeCell ref="G119:G122"/>
    <mergeCell ref="H119:H122"/>
    <mergeCell ref="C152:H152"/>
    <mergeCell ref="C160:H160"/>
    <mergeCell ref="F162:F165"/>
    <mergeCell ref="G162:G165"/>
    <mergeCell ref="H162:H165"/>
    <mergeCell ref="C166:H166"/>
    <mergeCell ref="G168:G171"/>
    <mergeCell ref="H168:H171"/>
    <mergeCell ref="C172:H172"/>
    <mergeCell ref="F253:F256"/>
    <mergeCell ref="F259:F262"/>
    <mergeCell ref="G259:G262"/>
    <mergeCell ref="H259:H262"/>
    <mergeCell ref="F265:F268"/>
    <mergeCell ref="G265:G268"/>
    <mergeCell ref="H265:H268"/>
    <mergeCell ref="G283:G285"/>
    <mergeCell ref="H283:H285"/>
    <mergeCell ref="F288:F291"/>
    <mergeCell ref="G288:G291"/>
    <mergeCell ref="H288:H291"/>
    <mergeCell ref="F294:F297"/>
    <mergeCell ref="G294:G297"/>
    <mergeCell ref="H294:H297"/>
    <mergeCell ref="F271:F274"/>
    <mergeCell ref="G271:G274"/>
    <mergeCell ref="H271:H274"/>
    <mergeCell ref="F277:F280"/>
    <mergeCell ref="G277:G280"/>
    <mergeCell ref="H277:H280"/>
    <mergeCell ref="F283:F285"/>
    <mergeCell ref="G192:G195"/>
    <mergeCell ref="H192:H195"/>
    <mergeCell ref="C196:H196"/>
    <mergeCell ref="F198:F203"/>
    <mergeCell ref="G198:G203"/>
    <mergeCell ref="H198:H203"/>
    <mergeCell ref="C204:H204"/>
    <mergeCell ref="F206:F209"/>
    <mergeCell ref="G206:G209"/>
    <mergeCell ref="H206:H209"/>
    <mergeCell ref="C210:H210"/>
    <mergeCell ref="G212:G213"/>
    <mergeCell ref="H212:H213"/>
    <mergeCell ref="C214:H214"/>
    <mergeCell ref="C238:H238"/>
    <mergeCell ref="C245:H245"/>
    <mergeCell ref="F222:F225"/>
    <mergeCell ref="G222:G225"/>
    <mergeCell ref="H222:H225"/>
    <mergeCell ref="C226:H226"/>
    <mergeCell ref="G228:G231"/>
    <mergeCell ref="H228:H231"/>
    <mergeCell ref="C232:H232"/>
    <mergeCell ref="F228:F231"/>
    <mergeCell ref="F234:F237"/>
    <mergeCell ref="G234:G237"/>
    <mergeCell ref="H234:H237"/>
    <mergeCell ref="F240:F244"/>
    <mergeCell ref="G240:G244"/>
    <mergeCell ref="H240:H244"/>
    <mergeCell ref="C263:H263"/>
    <mergeCell ref="C269:H269"/>
    <mergeCell ref="C275:H275"/>
    <mergeCell ref="C281:H281"/>
    <mergeCell ref="C286:H286"/>
    <mergeCell ref="C292:H292"/>
    <mergeCell ref="F247:F250"/>
    <mergeCell ref="G247:G250"/>
    <mergeCell ref="H247:H250"/>
    <mergeCell ref="C251:H251"/>
    <mergeCell ref="G253:G256"/>
    <mergeCell ref="H253:H256"/>
    <mergeCell ref="C257:H257"/>
  </mergeCells>
  <hyperlinks>
    <hyperlink r:id="rId1" ref="C3"/>
    <hyperlink r:id="rId2" location="slide=id.g276acca4f5a_0_66" ref="C4"/>
  </hyperlinks>
  <drawing r:id="rId3"/>
  <tableParts count="22">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75"/>
    <col customWidth="1" min="2" max="5" width="25.75"/>
    <col customWidth="1" min="6" max="6" width="29.0"/>
    <col customWidth="1" min="7" max="10" width="25.75"/>
    <col customWidth="1" hidden="1" min="11" max="11" width="25.75"/>
  </cols>
  <sheetData>
    <row r="1">
      <c r="A1" s="80" t="s">
        <v>1352</v>
      </c>
      <c r="B1" s="80"/>
      <c r="C1" s="80" t="s">
        <v>709</v>
      </c>
      <c r="E1" s="80" t="s">
        <v>710</v>
      </c>
      <c r="F1" s="80" t="s">
        <v>1353</v>
      </c>
      <c r="G1" s="80" t="s">
        <v>1354</v>
      </c>
      <c r="I1" s="80"/>
      <c r="J1" s="80" t="s">
        <v>714</v>
      </c>
      <c r="K1" s="80"/>
    </row>
    <row r="2">
      <c r="A2" s="83"/>
      <c r="B2" s="83"/>
      <c r="C2" s="83" t="s">
        <v>1355</v>
      </c>
      <c r="D2" s="83" t="s">
        <v>715</v>
      </c>
      <c r="E2" s="83" t="s">
        <v>1356</v>
      </c>
      <c r="F2" s="83" t="s">
        <v>1357</v>
      </c>
      <c r="G2" s="83" t="s">
        <v>1358</v>
      </c>
      <c r="H2" s="83" t="s">
        <v>1359</v>
      </c>
      <c r="I2" s="83" t="s">
        <v>1359</v>
      </c>
      <c r="J2" s="83"/>
      <c r="K2" s="83"/>
    </row>
    <row r="3" hidden="1">
      <c r="A3" s="83"/>
      <c r="B3" s="105"/>
      <c r="C3" s="106" t="s">
        <v>1360</v>
      </c>
      <c r="D3" s="107"/>
      <c r="E3" s="106" t="s">
        <v>1361</v>
      </c>
      <c r="F3" s="106" t="s">
        <v>1362</v>
      </c>
      <c r="G3" s="108" t="s">
        <v>1363</v>
      </c>
      <c r="H3" s="109"/>
      <c r="I3" s="108" t="s">
        <v>1364</v>
      </c>
      <c r="J3" s="109"/>
      <c r="K3" s="109"/>
    </row>
    <row r="4">
      <c r="A4" s="84" t="s">
        <v>1365</v>
      </c>
      <c r="B4" s="110" t="s">
        <v>1366</v>
      </c>
      <c r="C4" s="91" t="s">
        <v>1367</v>
      </c>
      <c r="D4" s="91" t="s">
        <v>1368</v>
      </c>
      <c r="E4" s="86" t="s">
        <v>1369</v>
      </c>
      <c r="F4" s="111"/>
      <c r="G4" s="82"/>
      <c r="H4" s="82"/>
      <c r="I4" s="82"/>
      <c r="J4" s="82" t="s">
        <v>1370</v>
      </c>
      <c r="K4" s="82" t="s">
        <v>1371</v>
      </c>
    </row>
    <row r="5">
      <c r="B5" s="110" t="s">
        <v>727</v>
      </c>
      <c r="C5" s="91" t="s">
        <v>1372</v>
      </c>
      <c r="D5" s="91"/>
      <c r="E5" s="86" t="s">
        <v>1373</v>
      </c>
      <c r="F5" s="111" t="s">
        <v>1374</v>
      </c>
      <c r="G5" s="82"/>
      <c r="H5" s="112" t="s">
        <v>1375</v>
      </c>
      <c r="I5" s="112" t="s">
        <v>1376</v>
      </c>
      <c r="J5" s="112" t="s">
        <v>1377</v>
      </c>
      <c r="K5" s="82" t="s">
        <v>1378</v>
      </c>
    </row>
    <row r="6">
      <c r="B6" s="110" t="s">
        <v>732</v>
      </c>
      <c r="C6" s="91" t="s">
        <v>1379</v>
      </c>
      <c r="D6" s="91" t="s">
        <v>1380</v>
      </c>
      <c r="E6" s="86" t="s">
        <v>1381</v>
      </c>
      <c r="F6" s="111" t="s">
        <v>1374</v>
      </c>
      <c r="G6" s="113" t="s">
        <v>1382</v>
      </c>
      <c r="H6" s="113" t="s">
        <v>1383</v>
      </c>
      <c r="I6" s="82"/>
      <c r="J6" s="82" t="s">
        <v>1384</v>
      </c>
      <c r="K6" s="82" t="s">
        <v>1385</v>
      </c>
    </row>
    <row r="7">
      <c r="B7" s="110" t="s">
        <v>736</v>
      </c>
      <c r="C7" s="91" t="s">
        <v>1386</v>
      </c>
      <c r="D7" s="91" t="s">
        <v>1387</v>
      </c>
      <c r="E7" s="86" t="s">
        <v>1388</v>
      </c>
      <c r="F7" s="111" t="s">
        <v>1389</v>
      </c>
      <c r="G7" s="82"/>
      <c r="H7" s="82" t="s">
        <v>1390</v>
      </c>
      <c r="I7" s="114" t="s">
        <v>1391</v>
      </c>
      <c r="J7" s="82" t="s">
        <v>1392</v>
      </c>
      <c r="K7" s="82" t="s">
        <v>1393</v>
      </c>
    </row>
    <row r="8">
      <c r="B8" s="110" t="s">
        <v>740</v>
      </c>
      <c r="C8" s="91" t="s">
        <v>1394</v>
      </c>
      <c r="D8" s="91"/>
      <c r="E8" s="86" t="s">
        <v>1395</v>
      </c>
      <c r="F8" s="111" t="s">
        <v>1389</v>
      </c>
      <c r="G8" s="111"/>
      <c r="H8" s="111" t="s">
        <v>1396</v>
      </c>
      <c r="I8" s="113"/>
      <c r="J8" s="82" t="s">
        <v>1397</v>
      </c>
      <c r="K8" s="82" t="s">
        <v>1398</v>
      </c>
    </row>
    <row r="9" ht="159.75" customHeight="1">
      <c r="B9" s="110" t="s">
        <v>1399</v>
      </c>
      <c r="C9" s="91" t="s">
        <v>1400</v>
      </c>
      <c r="D9" s="91"/>
      <c r="E9" s="86" t="s">
        <v>1401</v>
      </c>
      <c r="F9" s="111"/>
      <c r="G9" s="82"/>
      <c r="H9" s="82"/>
      <c r="I9" s="115"/>
      <c r="J9" s="82" t="s">
        <v>1402</v>
      </c>
      <c r="K9" s="82" t="s">
        <v>1403</v>
      </c>
    </row>
    <row r="10" ht="159.75" customHeight="1">
      <c r="B10" s="110" t="s">
        <v>1404</v>
      </c>
      <c r="C10" s="91" t="s">
        <v>1405</v>
      </c>
      <c r="D10" s="91"/>
      <c r="E10" s="86" t="s">
        <v>1406</v>
      </c>
      <c r="F10" s="111"/>
      <c r="G10" s="82"/>
      <c r="H10" s="82"/>
      <c r="I10" s="115"/>
      <c r="J10" s="111" t="s">
        <v>1407</v>
      </c>
      <c r="K10" s="82"/>
    </row>
    <row r="11">
      <c r="B11" s="110" t="s">
        <v>1408</v>
      </c>
      <c r="C11" s="91" t="s">
        <v>1409</v>
      </c>
      <c r="D11" s="91" t="s">
        <v>1410</v>
      </c>
      <c r="E11" s="86" t="s">
        <v>1411</v>
      </c>
      <c r="F11" s="111" t="s">
        <v>1412</v>
      </c>
      <c r="G11" s="82" t="s">
        <v>1413</v>
      </c>
      <c r="H11" s="82"/>
      <c r="I11" s="115"/>
      <c r="J11" s="112" t="s">
        <v>1414</v>
      </c>
      <c r="K11" s="82" t="s">
        <v>1415</v>
      </c>
    </row>
    <row r="12">
      <c r="A12" s="80"/>
      <c r="B12" s="80"/>
      <c r="C12" s="80" t="s">
        <v>709</v>
      </c>
      <c r="E12" s="80" t="s">
        <v>710</v>
      </c>
      <c r="F12" s="80" t="s">
        <v>1353</v>
      </c>
      <c r="G12" s="80" t="s">
        <v>1354</v>
      </c>
      <c r="I12" s="80"/>
      <c r="J12" s="80" t="s">
        <v>1416</v>
      </c>
      <c r="K12" s="80"/>
    </row>
    <row r="13">
      <c r="A13" s="83"/>
      <c r="B13" s="83"/>
      <c r="C13" s="83" t="s">
        <v>1355</v>
      </c>
      <c r="D13" s="83" t="s">
        <v>715</v>
      </c>
      <c r="E13" s="83" t="s">
        <v>1356</v>
      </c>
      <c r="F13" s="83" t="s">
        <v>1357</v>
      </c>
      <c r="G13" s="83" t="s">
        <v>1358</v>
      </c>
      <c r="H13" s="83" t="s">
        <v>1359</v>
      </c>
      <c r="I13" s="83" t="s">
        <v>1359</v>
      </c>
      <c r="J13" s="83"/>
      <c r="K13" s="83"/>
    </row>
    <row r="14">
      <c r="A14" s="84" t="s">
        <v>1417</v>
      </c>
      <c r="B14" s="116" t="s">
        <v>1418</v>
      </c>
      <c r="C14" s="91" t="s">
        <v>1419</v>
      </c>
      <c r="D14" s="91" t="s">
        <v>1420</v>
      </c>
      <c r="E14" s="86" t="s">
        <v>1421</v>
      </c>
      <c r="F14" s="100"/>
      <c r="G14" s="82"/>
      <c r="H14" s="82"/>
      <c r="I14" s="115"/>
      <c r="J14" s="117" t="s">
        <v>1422</v>
      </c>
      <c r="K14" s="118" t="s">
        <v>1423</v>
      </c>
    </row>
    <row r="15">
      <c r="B15" s="119" t="s">
        <v>745</v>
      </c>
      <c r="C15" s="91" t="s">
        <v>1424</v>
      </c>
      <c r="D15" s="91" t="s">
        <v>1425</v>
      </c>
      <c r="E15" s="86" t="s">
        <v>1381</v>
      </c>
      <c r="F15" s="88" t="s">
        <v>1426</v>
      </c>
      <c r="G15" s="82"/>
      <c r="H15" s="82" t="s">
        <v>1427</v>
      </c>
      <c r="I15" s="115"/>
      <c r="J15" s="82" t="s">
        <v>1428</v>
      </c>
      <c r="K15" s="120" t="s">
        <v>1429</v>
      </c>
    </row>
    <row r="16">
      <c r="B16" s="110" t="s">
        <v>752</v>
      </c>
      <c r="C16" s="91" t="s">
        <v>1430</v>
      </c>
      <c r="D16" s="91" t="s">
        <v>1431</v>
      </c>
      <c r="E16" s="86" t="s">
        <v>1432</v>
      </c>
      <c r="F16" s="111" t="s">
        <v>1426</v>
      </c>
      <c r="G16" s="82" t="s">
        <v>1433</v>
      </c>
      <c r="H16" s="82"/>
      <c r="I16" s="115"/>
      <c r="J16" s="82" t="s">
        <v>1434</v>
      </c>
      <c r="K16" s="121" t="s">
        <v>1435</v>
      </c>
    </row>
    <row r="17">
      <c r="B17" s="110" t="s">
        <v>756</v>
      </c>
      <c r="C17" s="91" t="s">
        <v>1436</v>
      </c>
      <c r="D17" s="91" t="s">
        <v>1437</v>
      </c>
      <c r="E17" s="86" t="s">
        <v>1438</v>
      </c>
      <c r="F17" s="111" t="s">
        <v>1426</v>
      </c>
      <c r="G17" s="82"/>
      <c r="H17" s="82" t="s">
        <v>1439</v>
      </c>
      <c r="I17" s="115"/>
      <c r="J17" s="82" t="s">
        <v>1440</v>
      </c>
      <c r="K17" s="122" t="s">
        <v>1441</v>
      </c>
    </row>
    <row r="18">
      <c r="B18" s="110" t="s">
        <v>760</v>
      </c>
      <c r="C18" s="91" t="s">
        <v>1442</v>
      </c>
      <c r="D18" s="91" t="s">
        <v>1443</v>
      </c>
      <c r="E18" s="86" t="s">
        <v>1444</v>
      </c>
      <c r="F18" s="111" t="s">
        <v>1426</v>
      </c>
      <c r="G18" s="82"/>
      <c r="H18" s="82" t="s">
        <v>1445</v>
      </c>
      <c r="I18" s="115"/>
      <c r="J18" s="123" t="s">
        <v>1446</v>
      </c>
      <c r="K18" s="121" t="s">
        <v>1447</v>
      </c>
    </row>
    <row r="19">
      <c r="B19" s="110" t="s">
        <v>1448</v>
      </c>
      <c r="C19" s="91" t="s">
        <v>1449</v>
      </c>
      <c r="D19" s="91" t="s">
        <v>1450</v>
      </c>
      <c r="E19" s="86" t="s">
        <v>1451</v>
      </c>
      <c r="F19" s="111"/>
      <c r="G19" s="124"/>
      <c r="H19" s="124"/>
      <c r="I19" s="125"/>
      <c r="J19" s="82" t="s">
        <v>1452</v>
      </c>
      <c r="K19" s="121"/>
    </row>
    <row r="20">
      <c r="B20" s="110" t="s">
        <v>1453</v>
      </c>
      <c r="C20" s="91" t="s">
        <v>1454</v>
      </c>
      <c r="D20" s="91"/>
      <c r="E20" s="93" t="s">
        <v>1455</v>
      </c>
      <c r="F20" s="126"/>
      <c r="G20" s="82"/>
      <c r="H20" s="82"/>
      <c r="I20" s="115"/>
      <c r="J20" s="111" t="s">
        <v>1407</v>
      </c>
      <c r="K20" s="121" t="s">
        <v>1456</v>
      </c>
    </row>
    <row r="21">
      <c r="B21" s="110" t="s">
        <v>1457</v>
      </c>
      <c r="C21" s="91" t="s">
        <v>1458</v>
      </c>
      <c r="D21" s="91" t="s">
        <v>1459</v>
      </c>
      <c r="E21" s="86" t="s">
        <v>1460</v>
      </c>
      <c r="F21" s="111" t="s">
        <v>1461</v>
      </c>
      <c r="G21" s="82" t="s">
        <v>1462</v>
      </c>
      <c r="H21" s="82"/>
      <c r="I21" s="115"/>
      <c r="J21" s="82" t="s">
        <v>1463</v>
      </c>
      <c r="K21" s="127" t="s">
        <v>1464</v>
      </c>
    </row>
    <row r="22">
      <c r="A22" s="80"/>
      <c r="B22" s="95"/>
      <c r="C22" s="80" t="s">
        <v>709</v>
      </c>
      <c r="E22" s="80" t="s">
        <v>710</v>
      </c>
      <c r="F22" s="80" t="s">
        <v>1353</v>
      </c>
      <c r="G22" s="80" t="s">
        <v>1354</v>
      </c>
      <c r="I22" s="80"/>
      <c r="J22" s="80" t="s">
        <v>714</v>
      </c>
      <c r="K22" s="80"/>
    </row>
    <row r="23">
      <c r="A23" s="83"/>
      <c r="B23" s="128"/>
      <c r="C23" s="83" t="s">
        <v>1355</v>
      </c>
      <c r="D23" s="83" t="s">
        <v>715</v>
      </c>
      <c r="E23" s="83" t="s">
        <v>11</v>
      </c>
      <c r="F23" s="83" t="s">
        <v>1357</v>
      </c>
      <c r="G23" s="83" t="s">
        <v>1358</v>
      </c>
      <c r="H23" s="83" t="s">
        <v>1465</v>
      </c>
      <c r="I23" s="83" t="s">
        <v>1465</v>
      </c>
      <c r="J23" s="83"/>
      <c r="K23" s="83"/>
    </row>
    <row r="24">
      <c r="A24" s="84" t="s">
        <v>1466</v>
      </c>
      <c r="B24" s="110" t="s">
        <v>1467</v>
      </c>
      <c r="C24" s="91" t="s">
        <v>1468</v>
      </c>
      <c r="D24" s="91" t="s">
        <v>1469</v>
      </c>
      <c r="E24" s="86" t="s">
        <v>1369</v>
      </c>
      <c r="F24" s="111"/>
      <c r="G24" s="82"/>
      <c r="H24" s="82"/>
      <c r="I24" s="115"/>
      <c r="J24" s="112" t="s">
        <v>1370</v>
      </c>
      <c r="K24" s="129" t="s">
        <v>1470</v>
      </c>
    </row>
    <row r="25">
      <c r="B25" s="110" t="s">
        <v>765</v>
      </c>
      <c r="C25" s="91" t="s">
        <v>1471</v>
      </c>
      <c r="D25" s="91"/>
      <c r="E25" s="86" t="s">
        <v>1472</v>
      </c>
      <c r="F25" s="111" t="s">
        <v>1426</v>
      </c>
      <c r="G25" s="82"/>
      <c r="H25" s="82" t="s">
        <v>1473</v>
      </c>
      <c r="I25" s="115"/>
      <c r="J25" s="123" t="s">
        <v>1474</v>
      </c>
      <c r="K25" s="129" t="s">
        <v>1475</v>
      </c>
    </row>
    <row r="26">
      <c r="B26" s="110" t="s">
        <v>772</v>
      </c>
      <c r="C26" s="91" t="s">
        <v>1476</v>
      </c>
      <c r="D26" s="91" t="s">
        <v>1477</v>
      </c>
      <c r="E26" s="86" t="s">
        <v>1478</v>
      </c>
      <c r="F26" s="111" t="s">
        <v>1426</v>
      </c>
      <c r="G26" s="82"/>
      <c r="H26" s="82" t="s">
        <v>1479</v>
      </c>
      <c r="I26" s="82" t="s">
        <v>1480</v>
      </c>
      <c r="J26" s="123" t="s">
        <v>1481</v>
      </c>
      <c r="K26" s="129" t="s">
        <v>1482</v>
      </c>
    </row>
    <row r="27">
      <c r="B27" s="110" t="s">
        <v>775</v>
      </c>
      <c r="C27" s="91" t="s">
        <v>1483</v>
      </c>
      <c r="D27" s="91" t="s">
        <v>1484</v>
      </c>
      <c r="E27" s="86" t="s">
        <v>1438</v>
      </c>
      <c r="F27" s="111" t="s">
        <v>1426</v>
      </c>
      <c r="G27" s="82" t="s">
        <v>1485</v>
      </c>
      <c r="H27" s="82" t="s">
        <v>1486</v>
      </c>
      <c r="I27" s="82"/>
      <c r="J27" s="82" t="s">
        <v>1487</v>
      </c>
      <c r="K27" s="129" t="s">
        <v>1488</v>
      </c>
    </row>
    <row r="28">
      <c r="B28" s="110" t="s">
        <v>779</v>
      </c>
      <c r="C28" s="91" t="s">
        <v>1489</v>
      </c>
      <c r="D28" s="91" t="s">
        <v>1490</v>
      </c>
      <c r="E28" s="86" t="s">
        <v>1491</v>
      </c>
      <c r="F28" s="111" t="s">
        <v>1426</v>
      </c>
      <c r="G28" s="82"/>
      <c r="H28" s="82" t="s">
        <v>1492</v>
      </c>
      <c r="I28" s="82" t="s">
        <v>1493</v>
      </c>
      <c r="J28" s="82" t="s">
        <v>1397</v>
      </c>
      <c r="K28" s="129" t="s">
        <v>1494</v>
      </c>
    </row>
    <row r="29">
      <c r="B29" s="110" t="s">
        <v>1495</v>
      </c>
      <c r="C29" s="91" t="s">
        <v>1449</v>
      </c>
      <c r="D29" s="91"/>
      <c r="E29" s="86" t="s">
        <v>1451</v>
      </c>
      <c r="F29" s="111" t="s">
        <v>1426</v>
      </c>
      <c r="G29" s="82"/>
      <c r="H29" s="82"/>
      <c r="I29" s="115"/>
      <c r="J29" s="82" t="s">
        <v>1402</v>
      </c>
      <c r="K29" s="129" t="s">
        <v>1496</v>
      </c>
    </row>
    <row r="30">
      <c r="B30" s="110" t="s">
        <v>1497</v>
      </c>
      <c r="C30" s="91" t="s">
        <v>1405</v>
      </c>
      <c r="D30" s="91"/>
      <c r="E30" s="86" t="s">
        <v>1406</v>
      </c>
      <c r="F30" s="111"/>
      <c r="G30" s="82"/>
      <c r="H30" s="82"/>
      <c r="I30" s="115"/>
      <c r="J30" s="111" t="s">
        <v>1407</v>
      </c>
      <c r="K30" s="129"/>
    </row>
    <row r="31">
      <c r="B31" s="110" t="s">
        <v>1498</v>
      </c>
      <c r="C31" s="130" t="s">
        <v>1499</v>
      </c>
      <c r="D31" s="130" t="s">
        <v>1500</v>
      </c>
      <c r="E31" s="86" t="s">
        <v>1501</v>
      </c>
      <c r="F31" s="111" t="s">
        <v>1502</v>
      </c>
      <c r="G31" s="82" t="s">
        <v>1503</v>
      </c>
      <c r="H31" s="82"/>
      <c r="I31" s="115"/>
      <c r="J31" s="82" t="s">
        <v>1504</v>
      </c>
      <c r="K31" s="131" t="s">
        <v>1505</v>
      </c>
    </row>
    <row r="32">
      <c r="A32" s="80"/>
      <c r="B32" s="80"/>
      <c r="C32" s="80" t="s">
        <v>709</v>
      </c>
      <c r="E32" s="80" t="s">
        <v>710</v>
      </c>
      <c r="F32" s="80" t="s">
        <v>1353</v>
      </c>
      <c r="G32" s="80" t="s">
        <v>1354</v>
      </c>
      <c r="I32" s="80"/>
      <c r="J32" s="80" t="s">
        <v>714</v>
      </c>
      <c r="K32" s="80"/>
    </row>
    <row r="33">
      <c r="A33" s="83"/>
      <c r="B33" s="83"/>
      <c r="C33" s="83" t="s">
        <v>1355</v>
      </c>
      <c r="D33" s="83" t="s">
        <v>715</v>
      </c>
      <c r="E33" s="83" t="s">
        <v>1356</v>
      </c>
      <c r="F33" s="83" t="s">
        <v>1357</v>
      </c>
      <c r="G33" s="83" t="s">
        <v>1358</v>
      </c>
      <c r="H33" s="83" t="s">
        <v>1359</v>
      </c>
      <c r="I33" s="83" t="s">
        <v>1359</v>
      </c>
      <c r="J33" s="83"/>
      <c r="K33" s="83"/>
    </row>
    <row r="34">
      <c r="A34" s="84" t="s">
        <v>1506</v>
      </c>
      <c r="B34" s="116" t="s">
        <v>1507</v>
      </c>
      <c r="C34" s="91" t="s">
        <v>1508</v>
      </c>
      <c r="D34" s="91" t="s">
        <v>1509</v>
      </c>
      <c r="E34" s="86" t="s">
        <v>1510</v>
      </c>
      <c r="F34" s="100"/>
      <c r="G34" s="82"/>
      <c r="H34" s="82"/>
      <c r="I34" s="115"/>
      <c r="J34" s="82" t="s">
        <v>1511</v>
      </c>
      <c r="K34" s="132" t="s">
        <v>1512</v>
      </c>
    </row>
    <row r="35">
      <c r="B35" s="119" t="s">
        <v>784</v>
      </c>
      <c r="C35" s="91" t="s">
        <v>1513</v>
      </c>
      <c r="D35" s="91"/>
      <c r="E35" s="86" t="s">
        <v>1514</v>
      </c>
      <c r="F35" s="88" t="s">
        <v>1426</v>
      </c>
      <c r="G35" s="82"/>
      <c r="H35" s="82" t="s">
        <v>1515</v>
      </c>
      <c r="I35" s="82"/>
      <c r="J35" s="82" t="s">
        <v>1516</v>
      </c>
      <c r="K35" s="133" t="s">
        <v>1517</v>
      </c>
    </row>
    <row r="36">
      <c r="B36" s="110" t="s">
        <v>792</v>
      </c>
      <c r="C36" s="91" t="s">
        <v>1518</v>
      </c>
      <c r="D36" s="91"/>
      <c r="E36" s="86" t="s">
        <v>1519</v>
      </c>
      <c r="F36" s="111" t="s">
        <v>1426</v>
      </c>
      <c r="G36" s="82"/>
      <c r="H36" s="82" t="s">
        <v>1520</v>
      </c>
      <c r="I36" s="82"/>
      <c r="J36" s="82" t="s">
        <v>1516</v>
      </c>
      <c r="K36" s="134" t="s">
        <v>1521</v>
      </c>
    </row>
    <row r="37">
      <c r="B37" s="110" t="s">
        <v>796</v>
      </c>
      <c r="C37" s="91" t="s">
        <v>1522</v>
      </c>
      <c r="D37" s="91"/>
      <c r="E37" s="86" t="s">
        <v>1523</v>
      </c>
      <c r="F37" s="111" t="s">
        <v>1426</v>
      </c>
      <c r="G37" s="82" t="s">
        <v>1524</v>
      </c>
      <c r="H37" s="82"/>
      <c r="I37" s="82"/>
      <c r="J37" s="82" t="s">
        <v>1516</v>
      </c>
      <c r="K37" s="134" t="s">
        <v>1525</v>
      </c>
    </row>
    <row r="38">
      <c r="B38" s="110" t="s">
        <v>800</v>
      </c>
      <c r="C38" s="91" t="s">
        <v>1526</v>
      </c>
      <c r="D38" s="91"/>
      <c r="E38" s="86" t="s">
        <v>1491</v>
      </c>
      <c r="F38" s="111" t="s">
        <v>1426</v>
      </c>
      <c r="G38" s="82"/>
      <c r="H38" s="82" t="s">
        <v>1527</v>
      </c>
      <c r="I38" s="82"/>
      <c r="J38" s="82" t="s">
        <v>1528</v>
      </c>
      <c r="K38" s="134" t="s">
        <v>1529</v>
      </c>
    </row>
    <row r="39">
      <c r="B39" s="110" t="s">
        <v>1530</v>
      </c>
      <c r="C39" s="130" t="s">
        <v>1531</v>
      </c>
      <c r="D39" s="130" t="s">
        <v>1532</v>
      </c>
      <c r="E39" s="86" t="s">
        <v>1533</v>
      </c>
      <c r="F39" s="111"/>
      <c r="G39" s="82"/>
      <c r="H39" s="82"/>
      <c r="I39" s="115"/>
      <c r="J39" s="82" t="s">
        <v>1534</v>
      </c>
      <c r="K39" s="134" t="s">
        <v>1535</v>
      </c>
    </row>
    <row r="40">
      <c r="B40" s="110" t="s">
        <v>1536</v>
      </c>
      <c r="C40" s="130" t="s">
        <v>1537</v>
      </c>
      <c r="D40" s="130" t="s">
        <v>1538</v>
      </c>
      <c r="E40" s="86" t="s">
        <v>1539</v>
      </c>
      <c r="F40" s="111"/>
      <c r="G40" s="82"/>
      <c r="H40" s="82"/>
      <c r="I40" s="115"/>
      <c r="J40" s="82" t="s">
        <v>1540</v>
      </c>
      <c r="K40" s="131" t="s">
        <v>1541</v>
      </c>
    </row>
    <row r="41">
      <c r="B41" s="110" t="s">
        <v>1542</v>
      </c>
      <c r="C41" s="130" t="s">
        <v>1543</v>
      </c>
      <c r="D41" s="130"/>
      <c r="E41" s="86" t="s">
        <v>1544</v>
      </c>
      <c r="F41" s="111"/>
      <c r="G41" s="82"/>
      <c r="H41" s="82"/>
      <c r="I41" s="115"/>
      <c r="J41" s="82" t="s">
        <v>1545</v>
      </c>
      <c r="K41" s="131" t="s">
        <v>1546</v>
      </c>
    </row>
    <row r="42">
      <c r="B42" s="110" t="s">
        <v>1547</v>
      </c>
      <c r="C42" s="91" t="s">
        <v>1548</v>
      </c>
      <c r="D42" s="91" t="s">
        <v>1549</v>
      </c>
      <c r="E42" s="86" t="s">
        <v>1550</v>
      </c>
      <c r="F42" s="111" t="s">
        <v>1551</v>
      </c>
      <c r="G42" s="82" t="s">
        <v>1552</v>
      </c>
      <c r="H42" s="82"/>
      <c r="I42" s="115"/>
      <c r="J42" s="82" t="s">
        <v>1553</v>
      </c>
      <c r="K42" s="131" t="s">
        <v>1554</v>
      </c>
    </row>
    <row r="43">
      <c r="A43" s="80"/>
      <c r="B43" s="95"/>
      <c r="C43" s="80" t="s">
        <v>709</v>
      </c>
      <c r="E43" s="80" t="s">
        <v>710</v>
      </c>
      <c r="F43" s="80" t="s">
        <v>1353</v>
      </c>
      <c r="G43" s="80" t="s">
        <v>1354</v>
      </c>
      <c r="I43" s="80"/>
      <c r="J43" s="80" t="s">
        <v>714</v>
      </c>
      <c r="K43" s="80"/>
    </row>
    <row r="44">
      <c r="A44" s="83"/>
      <c r="B44" s="128"/>
      <c r="C44" s="83" t="s">
        <v>1355</v>
      </c>
      <c r="D44" s="83" t="s">
        <v>715</v>
      </c>
      <c r="E44" s="83" t="s">
        <v>1356</v>
      </c>
      <c r="F44" s="83" t="s">
        <v>1357</v>
      </c>
      <c r="G44" s="83" t="s">
        <v>1358</v>
      </c>
      <c r="H44" s="83" t="s">
        <v>1359</v>
      </c>
      <c r="I44" s="83" t="s">
        <v>1359</v>
      </c>
      <c r="J44" s="83"/>
      <c r="K44" s="83"/>
    </row>
    <row r="45">
      <c r="A45" s="84" t="s">
        <v>1555</v>
      </c>
      <c r="B45" s="110" t="s">
        <v>1556</v>
      </c>
      <c r="C45" s="91" t="s">
        <v>1557</v>
      </c>
      <c r="D45" s="91" t="s">
        <v>1558</v>
      </c>
      <c r="E45" s="93" t="s">
        <v>1510</v>
      </c>
      <c r="F45" s="135"/>
      <c r="G45" s="136"/>
      <c r="H45" s="136"/>
      <c r="I45" s="136"/>
      <c r="J45" s="82" t="s">
        <v>1559</v>
      </c>
      <c r="K45" s="134" t="s">
        <v>1560</v>
      </c>
    </row>
    <row r="46">
      <c r="B46" s="110" t="s">
        <v>804</v>
      </c>
      <c r="C46" s="90" t="s">
        <v>1561</v>
      </c>
      <c r="D46" s="90" t="s">
        <v>1562</v>
      </c>
      <c r="E46" s="93" t="s">
        <v>1563</v>
      </c>
      <c r="F46" s="111" t="s">
        <v>1426</v>
      </c>
      <c r="G46" s="82"/>
      <c r="H46" s="82" t="s">
        <v>1564</v>
      </c>
      <c r="I46" s="82" t="s">
        <v>1565</v>
      </c>
      <c r="J46" s="82" t="s">
        <v>1566</v>
      </c>
      <c r="K46" s="131" t="s">
        <v>1567</v>
      </c>
    </row>
    <row r="47">
      <c r="B47" s="110" t="s">
        <v>811</v>
      </c>
      <c r="C47" s="90" t="s">
        <v>1568</v>
      </c>
      <c r="D47" s="90" t="s">
        <v>1569</v>
      </c>
      <c r="E47" s="93" t="s">
        <v>1570</v>
      </c>
      <c r="F47" s="111" t="s">
        <v>1426</v>
      </c>
      <c r="G47" s="82" t="s">
        <v>1571</v>
      </c>
      <c r="H47" s="82"/>
      <c r="I47" s="82"/>
      <c r="J47" s="82" t="s">
        <v>1572</v>
      </c>
      <c r="K47" s="131" t="s">
        <v>1573</v>
      </c>
    </row>
    <row r="48">
      <c r="B48" s="110" t="s">
        <v>815</v>
      </c>
      <c r="C48" s="90" t="s">
        <v>1574</v>
      </c>
      <c r="D48" s="90" t="s">
        <v>1575</v>
      </c>
      <c r="E48" s="93" t="s">
        <v>1576</v>
      </c>
      <c r="F48" s="111" t="s">
        <v>1426</v>
      </c>
      <c r="G48" s="82"/>
      <c r="H48" s="82" t="s">
        <v>1577</v>
      </c>
      <c r="I48" s="82" t="s">
        <v>1578</v>
      </c>
      <c r="J48" s="82" t="s">
        <v>1579</v>
      </c>
      <c r="K48" s="131" t="s">
        <v>1580</v>
      </c>
    </row>
    <row r="49">
      <c r="B49" s="110" t="s">
        <v>1581</v>
      </c>
      <c r="C49" s="90" t="s">
        <v>1582</v>
      </c>
      <c r="D49" s="90"/>
      <c r="E49" s="93" t="s">
        <v>1583</v>
      </c>
      <c r="F49" s="111" t="s">
        <v>1426</v>
      </c>
      <c r="G49" s="137"/>
      <c r="H49" s="137"/>
      <c r="I49" s="82"/>
      <c r="J49" s="82" t="s">
        <v>1584</v>
      </c>
      <c r="K49" s="131" t="s">
        <v>1585</v>
      </c>
    </row>
    <row r="50">
      <c r="B50" s="110" t="s">
        <v>1586</v>
      </c>
      <c r="C50" s="90" t="s">
        <v>1587</v>
      </c>
      <c r="D50" s="90"/>
      <c r="E50" s="138" t="s">
        <v>1588</v>
      </c>
      <c r="F50" s="139"/>
      <c r="G50" s="115"/>
      <c r="H50" s="115"/>
      <c r="I50" s="115"/>
      <c r="J50" s="140" t="s">
        <v>1589</v>
      </c>
      <c r="K50" s="131" t="s">
        <v>1590</v>
      </c>
    </row>
    <row r="51">
      <c r="B51" s="110" t="s">
        <v>1591</v>
      </c>
      <c r="C51" s="90" t="s">
        <v>1592</v>
      </c>
      <c r="D51" s="90" t="s">
        <v>1593</v>
      </c>
      <c r="E51" s="138" t="s">
        <v>1594</v>
      </c>
      <c r="F51" s="111" t="s">
        <v>1595</v>
      </c>
      <c r="G51" s="82" t="s">
        <v>1596</v>
      </c>
      <c r="H51" s="82"/>
      <c r="I51" s="115"/>
      <c r="J51" s="82" t="s">
        <v>1597</v>
      </c>
      <c r="K51" s="131" t="s">
        <v>1598</v>
      </c>
    </row>
    <row r="52">
      <c r="A52" s="80"/>
      <c r="B52" s="80"/>
      <c r="C52" s="80" t="s">
        <v>709</v>
      </c>
      <c r="E52" s="80" t="s">
        <v>710</v>
      </c>
      <c r="F52" s="80" t="s">
        <v>1353</v>
      </c>
      <c r="G52" s="80" t="s">
        <v>1354</v>
      </c>
      <c r="I52" s="80"/>
      <c r="J52" s="80" t="s">
        <v>714</v>
      </c>
      <c r="K52" s="80"/>
    </row>
    <row r="53">
      <c r="A53" s="83"/>
      <c r="B53" s="83"/>
      <c r="C53" s="83" t="s">
        <v>1355</v>
      </c>
      <c r="D53" s="83" t="s">
        <v>715</v>
      </c>
      <c r="E53" s="83" t="s">
        <v>1356</v>
      </c>
      <c r="F53" s="83" t="s">
        <v>1357</v>
      </c>
      <c r="G53" s="83" t="s">
        <v>1358</v>
      </c>
      <c r="H53" s="83" t="s">
        <v>1359</v>
      </c>
      <c r="I53" s="83" t="s">
        <v>1359</v>
      </c>
      <c r="J53" s="83"/>
      <c r="K53" s="83"/>
    </row>
    <row r="54">
      <c r="A54" s="90" t="s">
        <v>1599</v>
      </c>
      <c r="B54" s="116" t="s">
        <v>1600</v>
      </c>
      <c r="C54" s="90" t="s">
        <v>1601</v>
      </c>
      <c r="D54" s="90" t="s">
        <v>1602</v>
      </c>
      <c r="E54" s="138" t="s">
        <v>1369</v>
      </c>
      <c r="F54" s="87"/>
      <c r="G54" s="137"/>
      <c r="H54" s="137"/>
      <c r="I54" s="137"/>
      <c r="J54" s="82" t="s">
        <v>1603</v>
      </c>
      <c r="K54" s="82" t="s">
        <v>1604</v>
      </c>
    </row>
    <row r="55">
      <c r="A55" s="90"/>
      <c r="B55" s="119" t="s">
        <v>819</v>
      </c>
      <c r="C55" s="90" t="s">
        <v>1605</v>
      </c>
      <c r="D55" s="90"/>
      <c r="E55" s="138" t="s">
        <v>1514</v>
      </c>
      <c r="F55" s="88" t="s">
        <v>1426</v>
      </c>
      <c r="G55" s="87"/>
      <c r="H55" s="87" t="s">
        <v>1606</v>
      </c>
      <c r="I55" s="87"/>
      <c r="J55" s="82" t="s">
        <v>1607</v>
      </c>
      <c r="K55" s="82" t="s">
        <v>1608</v>
      </c>
    </row>
    <row r="56">
      <c r="A56" s="90"/>
      <c r="B56" s="89" t="s">
        <v>827</v>
      </c>
      <c r="C56" s="90" t="s">
        <v>1609</v>
      </c>
      <c r="D56" s="90" t="s">
        <v>1610</v>
      </c>
      <c r="E56" s="138" t="s">
        <v>1611</v>
      </c>
      <c r="F56" s="111" t="s">
        <v>1426</v>
      </c>
      <c r="G56" s="87"/>
      <c r="H56" s="87" t="s">
        <v>1612</v>
      </c>
      <c r="I56" s="87"/>
      <c r="J56" s="82" t="s">
        <v>1613</v>
      </c>
      <c r="K56" s="82" t="s">
        <v>1614</v>
      </c>
    </row>
    <row r="57">
      <c r="A57" s="90"/>
      <c r="B57" s="110" t="s">
        <v>831</v>
      </c>
      <c r="C57" s="90" t="s">
        <v>1615</v>
      </c>
      <c r="D57" s="90" t="s">
        <v>1616</v>
      </c>
      <c r="E57" s="86" t="s">
        <v>1514</v>
      </c>
      <c r="F57" s="111" t="s">
        <v>1426</v>
      </c>
      <c r="G57" s="141"/>
      <c r="H57" s="141" t="s">
        <v>1617</v>
      </c>
      <c r="I57" s="141"/>
      <c r="J57" s="82" t="s">
        <v>1618</v>
      </c>
      <c r="K57" s="82" t="s">
        <v>1619</v>
      </c>
    </row>
    <row r="58">
      <c r="A58" s="90"/>
      <c r="B58" s="89" t="s">
        <v>836</v>
      </c>
      <c r="C58" s="90" t="s">
        <v>1620</v>
      </c>
      <c r="D58" s="90" t="s">
        <v>1621</v>
      </c>
      <c r="E58" s="86" t="s">
        <v>1491</v>
      </c>
      <c r="F58" s="111" t="s">
        <v>1426</v>
      </c>
      <c r="G58" s="87" t="s">
        <v>1622</v>
      </c>
      <c r="H58" s="87"/>
      <c r="I58" s="87"/>
      <c r="J58" s="82" t="s">
        <v>1623</v>
      </c>
      <c r="K58" s="82" t="s">
        <v>1624</v>
      </c>
    </row>
    <row r="59">
      <c r="A59" s="90"/>
      <c r="B59" s="110" t="s">
        <v>1625</v>
      </c>
      <c r="C59" s="90" t="s">
        <v>1626</v>
      </c>
      <c r="D59" s="90"/>
      <c r="E59" s="138" t="s">
        <v>1451</v>
      </c>
      <c r="F59" s="111"/>
      <c r="G59" s="87"/>
      <c r="H59" s="87"/>
      <c r="I59" s="87"/>
      <c r="J59" s="82" t="s">
        <v>1627</v>
      </c>
      <c r="K59" s="82" t="s">
        <v>1628</v>
      </c>
    </row>
    <row r="60">
      <c r="A60" s="90"/>
      <c r="B60" s="110" t="s">
        <v>1629</v>
      </c>
      <c r="C60" s="90" t="s">
        <v>1630</v>
      </c>
      <c r="D60" s="90"/>
      <c r="E60" s="138" t="s">
        <v>1631</v>
      </c>
      <c r="F60" s="114"/>
      <c r="G60" s="111"/>
      <c r="H60" s="111"/>
      <c r="I60" s="101"/>
      <c r="J60" s="111" t="s">
        <v>1632</v>
      </c>
      <c r="K60" s="82" t="s">
        <v>1633</v>
      </c>
    </row>
    <row r="61">
      <c r="A61" s="90"/>
      <c r="B61" s="89" t="s">
        <v>1634</v>
      </c>
      <c r="C61" s="90" t="s">
        <v>1635</v>
      </c>
      <c r="D61" s="90" t="s">
        <v>1636</v>
      </c>
      <c r="E61" s="86" t="s">
        <v>1637</v>
      </c>
      <c r="F61" s="111" t="s">
        <v>1638</v>
      </c>
      <c r="G61" s="111" t="s">
        <v>1639</v>
      </c>
      <c r="H61" s="111"/>
      <c r="I61" s="101"/>
      <c r="J61" s="82" t="s">
        <v>1640</v>
      </c>
      <c r="K61" s="82" t="s">
        <v>1641</v>
      </c>
    </row>
    <row r="62">
      <c r="A62" s="80"/>
      <c r="B62" s="95"/>
      <c r="C62" s="80" t="s">
        <v>709</v>
      </c>
      <c r="E62" s="80" t="s">
        <v>710</v>
      </c>
      <c r="F62" s="80" t="s">
        <v>1353</v>
      </c>
      <c r="G62" s="80" t="s">
        <v>1354</v>
      </c>
      <c r="I62" s="80"/>
      <c r="J62" s="80" t="s">
        <v>714</v>
      </c>
      <c r="K62" s="80"/>
    </row>
    <row r="63">
      <c r="A63" s="83"/>
      <c r="B63" s="128"/>
      <c r="C63" s="83" t="s">
        <v>1355</v>
      </c>
      <c r="D63" s="83" t="s">
        <v>715</v>
      </c>
      <c r="E63" s="83" t="s">
        <v>1356</v>
      </c>
      <c r="F63" s="83" t="s">
        <v>1357</v>
      </c>
      <c r="G63" s="83" t="s">
        <v>1358</v>
      </c>
      <c r="H63" s="83" t="s">
        <v>1359</v>
      </c>
      <c r="I63" s="83" t="s">
        <v>1359</v>
      </c>
      <c r="J63" s="83"/>
      <c r="K63" s="83"/>
    </row>
    <row r="64">
      <c r="A64" s="84" t="s">
        <v>1642</v>
      </c>
      <c r="B64" s="110" t="s">
        <v>1643</v>
      </c>
      <c r="C64" s="91" t="s">
        <v>1644</v>
      </c>
      <c r="D64" s="91" t="s">
        <v>1645</v>
      </c>
      <c r="E64" s="93"/>
      <c r="F64" s="142" t="s">
        <v>1421</v>
      </c>
      <c r="G64" s="137"/>
      <c r="H64" s="137"/>
      <c r="I64" s="115"/>
      <c r="J64" s="82" t="s">
        <v>1646</v>
      </c>
      <c r="K64" s="131" t="s">
        <v>1647</v>
      </c>
    </row>
    <row r="65">
      <c r="B65" s="110" t="s">
        <v>839</v>
      </c>
      <c r="C65" s="91" t="s">
        <v>1648</v>
      </c>
      <c r="D65" s="91"/>
      <c r="E65" s="93" t="s">
        <v>1649</v>
      </c>
      <c r="F65" s="111" t="s">
        <v>1426</v>
      </c>
      <c r="G65" s="82" t="s">
        <v>1650</v>
      </c>
      <c r="H65" s="82"/>
      <c r="I65" s="82"/>
      <c r="J65" s="82" t="s">
        <v>1651</v>
      </c>
      <c r="K65" s="131" t="s">
        <v>1652</v>
      </c>
    </row>
    <row r="66">
      <c r="B66" s="110" t="s">
        <v>845</v>
      </c>
      <c r="C66" s="91" t="s">
        <v>1653</v>
      </c>
      <c r="D66" s="91"/>
      <c r="E66" s="93" t="s">
        <v>1438</v>
      </c>
      <c r="F66" s="111" t="s">
        <v>1426</v>
      </c>
      <c r="G66" s="82"/>
      <c r="H66" s="82" t="s">
        <v>1654</v>
      </c>
      <c r="I66" s="82"/>
      <c r="J66" s="82" t="s">
        <v>1651</v>
      </c>
      <c r="K66" s="131" t="s">
        <v>1655</v>
      </c>
    </row>
    <row r="67">
      <c r="B67" s="110" t="s">
        <v>849</v>
      </c>
      <c r="C67" s="91" t="s">
        <v>1656</v>
      </c>
      <c r="D67" s="91"/>
      <c r="E67" s="93" t="s">
        <v>1657</v>
      </c>
      <c r="F67" s="111" t="s">
        <v>1426</v>
      </c>
      <c r="G67" s="111"/>
      <c r="H67" s="111" t="s">
        <v>1658</v>
      </c>
      <c r="I67" s="82"/>
      <c r="J67" s="82" t="s">
        <v>1651</v>
      </c>
      <c r="K67" s="131" t="s">
        <v>1659</v>
      </c>
    </row>
    <row r="68">
      <c r="B68" s="110" t="s">
        <v>853</v>
      </c>
      <c r="C68" s="90" t="s">
        <v>1660</v>
      </c>
      <c r="D68" s="90"/>
      <c r="E68" s="93" t="s">
        <v>1491</v>
      </c>
      <c r="F68" s="111" t="s">
        <v>1426</v>
      </c>
      <c r="G68" s="143" t="s">
        <v>1661</v>
      </c>
      <c r="H68" s="82"/>
      <c r="I68" s="115"/>
      <c r="J68" s="82" t="s">
        <v>1662</v>
      </c>
      <c r="K68" s="131" t="s">
        <v>1663</v>
      </c>
    </row>
    <row r="69">
      <c r="B69" s="110" t="s">
        <v>1664</v>
      </c>
      <c r="C69" s="90" t="s">
        <v>1665</v>
      </c>
      <c r="D69" s="90"/>
      <c r="E69" s="138" t="s">
        <v>1666</v>
      </c>
      <c r="F69" s="139"/>
      <c r="G69" s="82"/>
      <c r="H69" s="82"/>
      <c r="I69" s="115"/>
      <c r="J69" s="82" t="s">
        <v>1667</v>
      </c>
      <c r="K69" s="131" t="s">
        <v>1668</v>
      </c>
    </row>
    <row r="70">
      <c r="B70" s="110" t="s">
        <v>1669</v>
      </c>
      <c r="C70" s="90" t="s">
        <v>1405</v>
      </c>
      <c r="D70" s="90"/>
      <c r="E70" s="138" t="s">
        <v>1406</v>
      </c>
      <c r="F70" s="139"/>
      <c r="G70" s="82"/>
      <c r="H70" s="82"/>
      <c r="I70" s="115"/>
      <c r="J70" s="111" t="s">
        <v>1407</v>
      </c>
      <c r="K70" s="131"/>
    </row>
    <row r="71">
      <c r="B71" s="110" t="s">
        <v>1670</v>
      </c>
      <c r="C71" s="90" t="s">
        <v>1671</v>
      </c>
      <c r="D71" s="90" t="s">
        <v>1672</v>
      </c>
      <c r="E71" s="138" t="s">
        <v>1673</v>
      </c>
      <c r="F71" s="111" t="s">
        <v>1674</v>
      </c>
      <c r="G71" s="82" t="s">
        <v>1675</v>
      </c>
      <c r="H71" s="82"/>
      <c r="I71" s="115"/>
      <c r="J71" s="82" t="s">
        <v>1676</v>
      </c>
      <c r="K71" s="131" t="s">
        <v>1677</v>
      </c>
    </row>
    <row r="72">
      <c r="A72" s="80"/>
      <c r="B72" s="95"/>
      <c r="C72" s="80" t="s">
        <v>709</v>
      </c>
      <c r="E72" s="80" t="s">
        <v>710</v>
      </c>
      <c r="F72" s="80" t="s">
        <v>1353</v>
      </c>
      <c r="G72" s="80" t="s">
        <v>1354</v>
      </c>
      <c r="I72" s="80"/>
      <c r="J72" s="80" t="s">
        <v>714</v>
      </c>
      <c r="K72" s="80"/>
    </row>
    <row r="73">
      <c r="A73" s="83"/>
      <c r="B73" s="128"/>
      <c r="C73" s="83" t="s">
        <v>1355</v>
      </c>
      <c r="D73" s="83" t="s">
        <v>715</v>
      </c>
      <c r="E73" s="83" t="s">
        <v>1356</v>
      </c>
      <c r="F73" s="83" t="s">
        <v>1357</v>
      </c>
      <c r="G73" s="83" t="s">
        <v>1358</v>
      </c>
      <c r="H73" s="83" t="s">
        <v>1359</v>
      </c>
      <c r="I73" s="83" t="s">
        <v>1359</v>
      </c>
      <c r="J73" s="83"/>
      <c r="K73" s="83"/>
    </row>
    <row r="74">
      <c r="A74" s="84" t="s">
        <v>1678</v>
      </c>
      <c r="B74" s="110" t="s">
        <v>1679</v>
      </c>
      <c r="C74" s="91" t="s">
        <v>1680</v>
      </c>
      <c r="D74" s="91" t="s">
        <v>1681</v>
      </c>
      <c r="E74" s="138" t="s">
        <v>1369</v>
      </c>
      <c r="F74" s="144"/>
      <c r="G74" s="136"/>
      <c r="H74" s="136"/>
      <c r="I74" s="136"/>
      <c r="J74" s="82" t="s">
        <v>1682</v>
      </c>
      <c r="K74" s="134" t="s">
        <v>1683</v>
      </c>
    </row>
    <row r="75">
      <c r="B75" s="110" t="s">
        <v>858</v>
      </c>
      <c r="C75" s="91" t="s">
        <v>1684</v>
      </c>
      <c r="D75" s="91"/>
      <c r="E75" s="138" t="s">
        <v>1685</v>
      </c>
      <c r="F75" s="111" t="s">
        <v>1426</v>
      </c>
      <c r="G75" s="111"/>
      <c r="H75" s="111" t="s">
        <v>1686</v>
      </c>
      <c r="I75" s="136"/>
      <c r="J75" s="82" t="s">
        <v>1687</v>
      </c>
      <c r="K75" s="134" t="s">
        <v>1688</v>
      </c>
    </row>
    <row r="76">
      <c r="B76" s="110" t="s">
        <v>864</v>
      </c>
      <c r="C76" s="91" t="s">
        <v>1689</v>
      </c>
      <c r="D76" s="91" t="s">
        <v>1380</v>
      </c>
      <c r="E76" s="138" t="s">
        <v>1381</v>
      </c>
      <c r="F76" s="111" t="s">
        <v>1426</v>
      </c>
      <c r="G76" s="111" t="s">
        <v>1690</v>
      </c>
      <c r="H76" s="111" t="s">
        <v>1691</v>
      </c>
      <c r="I76" s="111"/>
      <c r="J76" s="82" t="s">
        <v>1692</v>
      </c>
      <c r="K76" s="134" t="s">
        <v>1693</v>
      </c>
    </row>
    <row r="77">
      <c r="B77" s="110" t="s">
        <v>866</v>
      </c>
      <c r="C77" s="91" t="s">
        <v>1694</v>
      </c>
      <c r="D77" s="91"/>
      <c r="E77" s="138" t="s">
        <v>1695</v>
      </c>
      <c r="F77" s="111" t="s">
        <v>1426</v>
      </c>
      <c r="G77" s="111"/>
      <c r="H77" s="111" t="s">
        <v>1696</v>
      </c>
      <c r="I77" s="111" t="s">
        <v>1697</v>
      </c>
      <c r="J77" s="82" t="s">
        <v>1698</v>
      </c>
      <c r="K77" s="134" t="s">
        <v>1699</v>
      </c>
    </row>
    <row r="78">
      <c r="B78" s="110" t="s">
        <v>870</v>
      </c>
      <c r="C78" s="91" t="s">
        <v>1700</v>
      </c>
      <c r="D78" s="91" t="s">
        <v>1701</v>
      </c>
      <c r="E78" s="138" t="s">
        <v>1702</v>
      </c>
      <c r="F78" s="111" t="s">
        <v>1426</v>
      </c>
      <c r="G78" s="111"/>
      <c r="H78" s="111" t="s">
        <v>1703</v>
      </c>
      <c r="I78" s="111" t="s">
        <v>1704</v>
      </c>
      <c r="J78" s="82" t="s">
        <v>1705</v>
      </c>
      <c r="K78" s="134" t="s">
        <v>1706</v>
      </c>
    </row>
    <row r="79">
      <c r="B79" s="110" t="s">
        <v>1707</v>
      </c>
      <c r="C79" s="90" t="s">
        <v>1708</v>
      </c>
      <c r="D79" s="90"/>
      <c r="E79" s="138" t="s">
        <v>1451</v>
      </c>
      <c r="F79" s="145"/>
      <c r="G79" s="136"/>
      <c r="H79" s="136"/>
      <c r="I79" s="136"/>
      <c r="J79" s="82" t="s">
        <v>1709</v>
      </c>
      <c r="K79" s="134" t="s">
        <v>1710</v>
      </c>
    </row>
    <row r="80">
      <c r="B80" s="110" t="s">
        <v>1711</v>
      </c>
      <c r="C80" s="90" t="s">
        <v>1712</v>
      </c>
      <c r="D80" s="90"/>
      <c r="E80" s="138" t="s">
        <v>1406</v>
      </c>
      <c r="F80" s="145"/>
      <c r="G80" s="111"/>
      <c r="H80" s="111"/>
      <c r="I80" s="111"/>
      <c r="J80" s="82" t="s">
        <v>1713</v>
      </c>
      <c r="K80" s="134" t="s">
        <v>1714</v>
      </c>
    </row>
    <row r="81">
      <c r="B81" s="110" t="s">
        <v>1715</v>
      </c>
      <c r="C81" s="90" t="s">
        <v>1716</v>
      </c>
      <c r="D81" s="90" t="s">
        <v>1717</v>
      </c>
      <c r="E81" s="138" t="s">
        <v>1718</v>
      </c>
      <c r="F81" s="111" t="s">
        <v>1719</v>
      </c>
      <c r="G81" s="111" t="s">
        <v>1720</v>
      </c>
      <c r="H81" s="111"/>
      <c r="I81" s="111"/>
      <c r="J81" s="82" t="s">
        <v>1721</v>
      </c>
      <c r="K81" s="134" t="s">
        <v>1722</v>
      </c>
    </row>
    <row r="82">
      <c r="A82" s="80"/>
      <c r="B82" s="95"/>
      <c r="C82" s="80" t="s">
        <v>709</v>
      </c>
      <c r="E82" s="80" t="s">
        <v>710</v>
      </c>
      <c r="F82" s="80" t="s">
        <v>1353</v>
      </c>
      <c r="G82" s="80" t="s">
        <v>1354</v>
      </c>
      <c r="I82" s="80"/>
      <c r="J82" s="80" t="s">
        <v>714</v>
      </c>
      <c r="K82" s="80"/>
    </row>
    <row r="83">
      <c r="A83" s="83"/>
      <c r="B83" s="128"/>
      <c r="C83" s="83" t="s">
        <v>1355</v>
      </c>
      <c r="D83" s="83" t="s">
        <v>715</v>
      </c>
      <c r="E83" s="83" t="s">
        <v>1356</v>
      </c>
      <c r="F83" s="83" t="s">
        <v>1357</v>
      </c>
      <c r="G83" s="83" t="s">
        <v>1358</v>
      </c>
      <c r="H83" s="83" t="s">
        <v>1359</v>
      </c>
      <c r="I83" s="83" t="s">
        <v>1359</v>
      </c>
      <c r="J83" s="83"/>
      <c r="K83" s="83"/>
    </row>
    <row r="84">
      <c r="A84" s="84" t="s">
        <v>1723</v>
      </c>
      <c r="B84" s="110" t="s">
        <v>1724</v>
      </c>
      <c r="C84" s="91" t="s">
        <v>1725</v>
      </c>
      <c r="D84" s="91" t="s">
        <v>1420</v>
      </c>
      <c r="E84" s="138"/>
      <c r="F84" s="144"/>
      <c r="G84" s="136"/>
      <c r="H84" s="136"/>
      <c r="I84" s="111"/>
      <c r="J84" s="82" t="s">
        <v>1726</v>
      </c>
      <c r="K84" s="146" t="s">
        <v>1727</v>
      </c>
    </row>
    <row r="85">
      <c r="B85" s="110" t="s">
        <v>873</v>
      </c>
      <c r="C85" s="91" t="s">
        <v>1728</v>
      </c>
      <c r="D85" s="91" t="s">
        <v>1729</v>
      </c>
      <c r="E85" s="138" t="s">
        <v>1730</v>
      </c>
      <c r="F85" s="111" t="s">
        <v>1426</v>
      </c>
      <c r="G85" s="111" t="s">
        <v>1731</v>
      </c>
      <c r="H85" s="111"/>
      <c r="I85" s="111"/>
      <c r="J85" s="82" t="s">
        <v>1732</v>
      </c>
      <c r="K85" s="146" t="s">
        <v>1733</v>
      </c>
    </row>
    <row r="86">
      <c r="B86" s="110" t="s">
        <v>877</v>
      </c>
      <c r="C86" s="91" t="s">
        <v>1734</v>
      </c>
      <c r="D86" s="91" t="s">
        <v>1431</v>
      </c>
      <c r="E86" s="138" t="s">
        <v>1735</v>
      </c>
      <c r="F86" s="111" t="s">
        <v>1426</v>
      </c>
      <c r="G86" s="111"/>
      <c r="H86" s="111" t="s">
        <v>1736</v>
      </c>
      <c r="I86" s="111"/>
      <c r="J86" s="82" t="s">
        <v>1737</v>
      </c>
      <c r="K86" s="146" t="s">
        <v>1738</v>
      </c>
    </row>
    <row r="87">
      <c r="B87" s="110" t="s">
        <v>880</v>
      </c>
      <c r="C87" s="91" t="s">
        <v>1739</v>
      </c>
      <c r="D87" s="91" t="s">
        <v>1740</v>
      </c>
      <c r="E87" s="138" t="s">
        <v>1741</v>
      </c>
      <c r="F87" s="111" t="s">
        <v>1426</v>
      </c>
      <c r="G87" s="111"/>
      <c r="H87" s="111" t="s">
        <v>1742</v>
      </c>
      <c r="I87" s="111"/>
      <c r="J87" s="82" t="s">
        <v>1743</v>
      </c>
      <c r="K87" s="146" t="s">
        <v>1744</v>
      </c>
    </row>
    <row r="88">
      <c r="B88" s="110" t="s">
        <v>881</v>
      </c>
      <c r="C88" s="91" t="s">
        <v>1745</v>
      </c>
      <c r="D88" s="91" t="s">
        <v>1746</v>
      </c>
      <c r="E88" s="138" t="s">
        <v>1747</v>
      </c>
      <c r="F88" s="111" t="s">
        <v>1426</v>
      </c>
      <c r="G88" s="111"/>
      <c r="H88" s="111" t="s">
        <v>1748</v>
      </c>
      <c r="I88" s="111"/>
      <c r="J88" s="82" t="s">
        <v>1749</v>
      </c>
      <c r="K88" s="146" t="s">
        <v>1750</v>
      </c>
    </row>
    <row r="89">
      <c r="B89" s="110" t="s">
        <v>1751</v>
      </c>
      <c r="C89" s="90" t="s">
        <v>1752</v>
      </c>
      <c r="D89" s="90" t="s">
        <v>1753</v>
      </c>
      <c r="E89" s="86" t="s">
        <v>1666</v>
      </c>
      <c r="F89" s="144"/>
      <c r="G89" s="136"/>
      <c r="H89" s="136"/>
      <c r="I89" s="111"/>
      <c r="J89" s="82" t="s">
        <v>1754</v>
      </c>
      <c r="K89" s="146" t="s">
        <v>1755</v>
      </c>
    </row>
    <row r="90">
      <c r="B90" s="110" t="s">
        <v>1756</v>
      </c>
      <c r="C90" s="90" t="s">
        <v>1757</v>
      </c>
      <c r="D90" s="90" t="s">
        <v>217</v>
      </c>
      <c r="E90" s="138" t="s">
        <v>1758</v>
      </c>
      <c r="F90" s="144"/>
      <c r="G90" s="111"/>
      <c r="H90" s="111"/>
      <c r="I90" s="111"/>
      <c r="J90" s="140" t="s">
        <v>1759</v>
      </c>
      <c r="K90" s="146" t="s">
        <v>1760</v>
      </c>
    </row>
    <row r="91">
      <c r="B91" s="110" t="s">
        <v>1761</v>
      </c>
      <c r="C91" s="90" t="s">
        <v>1762</v>
      </c>
      <c r="D91" s="90" t="s">
        <v>1763</v>
      </c>
      <c r="E91" s="138" t="s">
        <v>1764</v>
      </c>
      <c r="F91" s="111" t="s">
        <v>1765</v>
      </c>
      <c r="G91" s="111" t="s">
        <v>1766</v>
      </c>
      <c r="H91" s="111"/>
      <c r="I91" s="111"/>
      <c r="J91" s="82" t="s">
        <v>1767</v>
      </c>
      <c r="K91" s="147" t="s">
        <v>1768</v>
      </c>
    </row>
    <row r="92">
      <c r="A92" s="80"/>
      <c r="B92" s="95"/>
      <c r="C92" s="80" t="s">
        <v>709</v>
      </c>
      <c r="E92" s="80" t="s">
        <v>710</v>
      </c>
      <c r="F92" s="80" t="s">
        <v>1353</v>
      </c>
      <c r="G92" s="80" t="s">
        <v>1354</v>
      </c>
      <c r="I92" s="80"/>
      <c r="J92" s="80" t="s">
        <v>714</v>
      </c>
      <c r="K92" s="80"/>
    </row>
    <row r="93">
      <c r="A93" s="83"/>
      <c r="B93" s="128"/>
      <c r="C93" s="83" t="s">
        <v>1355</v>
      </c>
      <c r="D93" s="83" t="s">
        <v>715</v>
      </c>
      <c r="E93" s="83" t="s">
        <v>1356</v>
      </c>
      <c r="F93" s="83" t="s">
        <v>1357</v>
      </c>
      <c r="G93" s="83" t="s">
        <v>1358</v>
      </c>
      <c r="H93" s="83" t="s">
        <v>1359</v>
      </c>
      <c r="I93" s="83" t="s">
        <v>1359</v>
      </c>
      <c r="J93" s="83"/>
      <c r="K93" s="83"/>
    </row>
    <row r="94">
      <c r="A94" s="84" t="s">
        <v>1769</v>
      </c>
      <c r="B94" s="110" t="s">
        <v>1770</v>
      </c>
      <c r="C94" s="91" t="s">
        <v>1771</v>
      </c>
      <c r="D94" s="91" t="s">
        <v>1772</v>
      </c>
      <c r="E94" s="138" t="s">
        <v>1369</v>
      </c>
      <c r="F94" s="144"/>
      <c r="G94" s="136"/>
      <c r="H94" s="136"/>
      <c r="I94" s="136"/>
      <c r="J94" s="82" t="s">
        <v>1773</v>
      </c>
      <c r="K94" s="134" t="s">
        <v>1774</v>
      </c>
    </row>
    <row r="95">
      <c r="B95" s="110" t="s">
        <v>885</v>
      </c>
      <c r="C95" s="91" t="s">
        <v>1775</v>
      </c>
      <c r="D95" s="91" t="s">
        <v>1776</v>
      </c>
      <c r="E95" s="138" t="s">
        <v>1777</v>
      </c>
      <c r="F95" s="111" t="s">
        <v>1426</v>
      </c>
      <c r="G95" s="111"/>
      <c r="H95" s="111" t="s">
        <v>1778</v>
      </c>
      <c r="I95" s="136"/>
      <c r="J95" s="82" t="s">
        <v>1779</v>
      </c>
      <c r="K95" s="134" t="s">
        <v>1780</v>
      </c>
    </row>
    <row r="96">
      <c r="B96" s="110" t="s">
        <v>890</v>
      </c>
      <c r="C96" s="91" t="s">
        <v>1781</v>
      </c>
      <c r="D96" s="91" t="s">
        <v>1477</v>
      </c>
      <c r="E96" s="138" t="s">
        <v>1782</v>
      </c>
      <c r="F96" s="111" t="s">
        <v>1426</v>
      </c>
      <c r="G96" s="111"/>
      <c r="H96" s="111" t="s">
        <v>1783</v>
      </c>
      <c r="I96" s="111" t="s">
        <v>1784</v>
      </c>
      <c r="J96" s="82" t="s">
        <v>1785</v>
      </c>
      <c r="K96" s="134" t="s">
        <v>1786</v>
      </c>
    </row>
    <row r="97">
      <c r="B97" s="110" t="s">
        <v>893</v>
      </c>
      <c r="C97" s="91" t="s">
        <v>1787</v>
      </c>
      <c r="D97" s="91" t="s">
        <v>1788</v>
      </c>
      <c r="E97" s="138" t="s">
        <v>1685</v>
      </c>
      <c r="F97" s="111" t="s">
        <v>1426</v>
      </c>
      <c r="G97" s="111" t="s">
        <v>1789</v>
      </c>
      <c r="H97" s="111" t="s">
        <v>1790</v>
      </c>
      <c r="I97" s="111"/>
      <c r="J97" s="82" t="s">
        <v>1791</v>
      </c>
      <c r="K97" s="134" t="s">
        <v>1792</v>
      </c>
    </row>
    <row r="98">
      <c r="B98" s="110" t="s">
        <v>897</v>
      </c>
      <c r="C98" s="91" t="s">
        <v>1793</v>
      </c>
      <c r="D98" s="91" t="s">
        <v>1794</v>
      </c>
      <c r="E98" s="138" t="s">
        <v>1702</v>
      </c>
      <c r="F98" s="111" t="s">
        <v>1426</v>
      </c>
      <c r="G98" s="111"/>
      <c r="H98" s="111" t="s">
        <v>1795</v>
      </c>
      <c r="I98" s="111" t="s">
        <v>1796</v>
      </c>
      <c r="J98" s="82" t="s">
        <v>1797</v>
      </c>
      <c r="K98" s="134" t="s">
        <v>1798</v>
      </c>
    </row>
    <row r="99">
      <c r="B99" s="110" t="s">
        <v>1799</v>
      </c>
      <c r="C99" s="91" t="s">
        <v>1800</v>
      </c>
      <c r="D99" s="91"/>
      <c r="E99" s="138" t="s">
        <v>1451</v>
      </c>
      <c r="F99" s="145"/>
      <c r="G99" s="136"/>
      <c r="H99" s="136"/>
      <c r="I99" s="111"/>
      <c r="J99" s="82" t="s">
        <v>1709</v>
      </c>
      <c r="K99" s="134" t="s">
        <v>1801</v>
      </c>
    </row>
    <row r="100">
      <c r="B100" s="110" t="s">
        <v>1802</v>
      </c>
      <c r="C100" s="90" t="s">
        <v>1803</v>
      </c>
      <c r="D100" s="90"/>
      <c r="E100" s="138" t="s">
        <v>1406</v>
      </c>
      <c r="F100" s="145"/>
      <c r="G100" s="111"/>
      <c r="H100" s="111"/>
      <c r="I100" s="111"/>
      <c r="J100" s="82" t="s">
        <v>1804</v>
      </c>
      <c r="K100" s="134" t="s">
        <v>1805</v>
      </c>
    </row>
    <row r="101">
      <c r="B101" s="110" t="s">
        <v>1806</v>
      </c>
      <c r="C101" s="90" t="s">
        <v>1807</v>
      </c>
      <c r="D101" s="90" t="s">
        <v>1500</v>
      </c>
      <c r="E101" s="138" t="s">
        <v>1808</v>
      </c>
      <c r="F101" s="111" t="s">
        <v>1502</v>
      </c>
      <c r="G101" s="111" t="s">
        <v>1809</v>
      </c>
      <c r="H101" s="111"/>
      <c r="I101" s="111"/>
      <c r="J101" s="82" t="s">
        <v>1810</v>
      </c>
      <c r="K101" s="134" t="s">
        <v>1811</v>
      </c>
    </row>
    <row r="102">
      <c r="A102" s="80"/>
      <c r="B102" s="95"/>
      <c r="C102" s="80" t="s">
        <v>709</v>
      </c>
      <c r="E102" s="80" t="s">
        <v>710</v>
      </c>
      <c r="F102" s="80" t="s">
        <v>1353</v>
      </c>
      <c r="G102" s="80" t="s">
        <v>1354</v>
      </c>
      <c r="I102" s="80"/>
      <c r="J102" s="80" t="s">
        <v>714</v>
      </c>
      <c r="K102" s="80"/>
    </row>
    <row r="103">
      <c r="A103" s="83"/>
      <c r="B103" s="128"/>
      <c r="C103" s="83" t="s">
        <v>1355</v>
      </c>
      <c r="D103" s="83" t="s">
        <v>715</v>
      </c>
      <c r="E103" s="83" t="s">
        <v>1356</v>
      </c>
      <c r="F103" s="83" t="s">
        <v>1357</v>
      </c>
      <c r="G103" s="83" t="s">
        <v>1358</v>
      </c>
      <c r="H103" s="83" t="s">
        <v>1359</v>
      </c>
      <c r="I103" s="83" t="s">
        <v>1359</v>
      </c>
      <c r="J103" s="83"/>
      <c r="K103" s="83"/>
    </row>
    <row r="104">
      <c r="A104" s="84" t="s">
        <v>1812</v>
      </c>
      <c r="B104" s="110" t="s">
        <v>1813</v>
      </c>
      <c r="C104" s="91" t="s">
        <v>1814</v>
      </c>
      <c r="D104" s="91" t="s">
        <v>1509</v>
      </c>
      <c r="E104" s="138" t="s">
        <v>1510</v>
      </c>
      <c r="F104" s="111"/>
      <c r="G104" s="136"/>
      <c r="H104" s="136"/>
      <c r="I104" s="136"/>
      <c r="J104" s="82" t="s">
        <v>1815</v>
      </c>
      <c r="K104" s="134" t="s">
        <v>1816</v>
      </c>
    </row>
    <row r="105">
      <c r="B105" s="110" t="s">
        <v>901</v>
      </c>
      <c r="C105" s="91" t="s">
        <v>1817</v>
      </c>
      <c r="D105" s="91"/>
      <c r="E105" s="138" t="s">
        <v>1741</v>
      </c>
      <c r="F105" s="111" t="s">
        <v>1426</v>
      </c>
      <c r="G105" s="111"/>
      <c r="H105" s="111" t="s">
        <v>1818</v>
      </c>
      <c r="I105" s="111"/>
      <c r="J105" s="82" t="s">
        <v>1819</v>
      </c>
      <c r="K105" s="134" t="s">
        <v>1820</v>
      </c>
    </row>
    <row r="106">
      <c r="B106" s="110" t="s">
        <v>907</v>
      </c>
      <c r="C106" s="91" t="s">
        <v>1821</v>
      </c>
      <c r="D106" s="91"/>
      <c r="E106" s="138" t="s">
        <v>1822</v>
      </c>
      <c r="F106" s="111" t="s">
        <v>1426</v>
      </c>
      <c r="G106" s="111" t="s">
        <v>1823</v>
      </c>
      <c r="H106" s="111"/>
      <c r="I106" s="111"/>
      <c r="J106" s="82" t="s">
        <v>1819</v>
      </c>
      <c r="K106" s="134" t="s">
        <v>1824</v>
      </c>
    </row>
    <row r="107">
      <c r="B107" s="110" t="s">
        <v>908</v>
      </c>
      <c r="C107" s="91" t="s">
        <v>1825</v>
      </c>
      <c r="D107" s="91"/>
      <c r="E107" s="138" t="s">
        <v>1826</v>
      </c>
      <c r="F107" s="111" t="s">
        <v>1426</v>
      </c>
      <c r="G107" s="111"/>
      <c r="H107" s="111" t="s">
        <v>1827</v>
      </c>
      <c r="I107" s="111"/>
      <c r="J107" s="82" t="s">
        <v>1819</v>
      </c>
      <c r="K107" s="134" t="s">
        <v>1828</v>
      </c>
    </row>
    <row r="108">
      <c r="B108" s="110" t="s">
        <v>909</v>
      </c>
      <c r="C108" s="91" t="s">
        <v>1526</v>
      </c>
      <c r="D108" s="91"/>
      <c r="E108" s="138" t="s">
        <v>1702</v>
      </c>
      <c r="F108" s="111" t="s">
        <v>1426</v>
      </c>
      <c r="G108" s="111"/>
      <c r="H108" s="111" t="s">
        <v>1829</v>
      </c>
      <c r="I108" s="111"/>
      <c r="J108" s="82" t="s">
        <v>1830</v>
      </c>
      <c r="K108" s="134" t="s">
        <v>1831</v>
      </c>
    </row>
    <row r="109">
      <c r="B109" s="110" t="s">
        <v>1832</v>
      </c>
      <c r="C109" s="90" t="s">
        <v>1833</v>
      </c>
      <c r="D109" s="90" t="s">
        <v>1532</v>
      </c>
      <c r="E109" s="138" t="s">
        <v>1451</v>
      </c>
      <c r="F109" s="111"/>
      <c r="G109" s="136"/>
      <c r="H109" s="136"/>
      <c r="I109" s="111"/>
      <c r="J109" s="82" t="s">
        <v>1834</v>
      </c>
      <c r="K109" s="134" t="s">
        <v>1835</v>
      </c>
    </row>
    <row r="110">
      <c r="B110" s="110" t="s">
        <v>1836</v>
      </c>
      <c r="C110" s="90" t="s">
        <v>1837</v>
      </c>
      <c r="D110" s="90" t="s">
        <v>1538</v>
      </c>
      <c r="E110" s="138" t="s">
        <v>1838</v>
      </c>
      <c r="F110" s="111"/>
      <c r="G110" s="136"/>
      <c r="H110" s="136"/>
      <c r="I110" s="111"/>
      <c r="J110" s="82" t="s">
        <v>1839</v>
      </c>
      <c r="K110" s="134" t="s">
        <v>1840</v>
      </c>
    </row>
    <row r="111">
      <c r="B111" s="110" t="s">
        <v>1841</v>
      </c>
      <c r="C111" s="90" t="s">
        <v>1842</v>
      </c>
      <c r="D111" s="90"/>
      <c r="E111" s="138" t="s">
        <v>1843</v>
      </c>
      <c r="F111" s="101"/>
      <c r="G111" s="111"/>
      <c r="H111" s="111"/>
      <c r="I111" s="111"/>
      <c r="J111" s="82" t="s">
        <v>1844</v>
      </c>
      <c r="K111" s="134" t="s">
        <v>1845</v>
      </c>
    </row>
    <row r="112">
      <c r="B112" s="110" t="s">
        <v>1846</v>
      </c>
      <c r="C112" s="90" t="s">
        <v>1847</v>
      </c>
      <c r="D112" s="90" t="s">
        <v>1549</v>
      </c>
      <c r="E112" s="138" t="s">
        <v>1848</v>
      </c>
      <c r="F112" s="111" t="s">
        <v>1551</v>
      </c>
      <c r="G112" s="111" t="s">
        <v>1849</v>
      </c>
      <c r="H112" s="111"/>
      <c r="I112" s="111"/>
      <c r="J112" s="82" t="s">
        <v>1850</v>
      </c>
      <c r="K112" s="134" t="s">
        <v>1851</v>
      </c>
    </row>
    <row r="113">
      <c r="A113" s="80"/>
      <c r="B113" s="95"/>
      <c r="C113" s="80" t="s">
        <v>709</v>
      </c>
      <c r="E113" s="80" t="s">
        <v>710</v>
      </c>
      <c r="F113" s="80" t="s">
        <v>1353</v>
      </c>
      <c r="G113" s="80" t="s">
        <v>1354</v>
      </c>
      <c r="I113" s="80"/>
      <c r="J113" s="80" t="s">
        <v>714</v>
      </c>
      <c r="K113" s="80"/>
    </row>
    <row r="114">
      <c r="A114" s="83"/>
      <c r="B114" s="128"/>
      <c r="C114" s="83" t="s">
        <v>1355</v>
      </c>
      <c r="D114" s="83" t="s">
        <v>715</v>
      </c>
      <c r="E114" s="83" t="s">
        <v>1356</v>
      </c>
      <c r="F114" s="83" t="s">
        <v>1357</v>
      </c>
      <c r="G114" s="83" t="s">
        <v>1358</v>
      </c>
      <c r="H114" s="83" t="s">
        <v>1359</v>
      </c>
      <c r="I114" s="83" t="s">
        <v>1359</v>
      </c>
      <c r="J114" s="83"/>
      <c r="K114" s="83"/>
    </row>
    <row r="115">
      <c r="A115" s="84" t="s">
        <v>1852</v>
      </c>
      <c r="B115" s="110" t="s">
        <v>1853</v>
      </c>
      <c r="C115" s="91" t="s">
        <v>1854</v>
      </c>
      <c r="D115" s="91" t="s">
        <v>1558</v>
      </c>
      <c r="E115" s="138" t="s">
        <v>1510</v>
      </c>
      <c r="F115" s="144"/>
      <c r="G115" s="136"/>
      <c r="H115" s="136"/>
      <c r="I115" s="136"/>
      <c r="J115" s="82" t="s">
        <v>1855</v>
      </c>
      <c r="K115" s="134" t="s">
        <v>1856</v>
      </c>
    </row>
    <row r="116">
      <c r="B116" s="110" t="s">
        <v>912</v>
      </c>
      <c r="C116" s="91" t="s">
        <v>1857</v>
      </c>
      <c r="D116" s="91" t="s">
        <v>1562</v>
      </c>
      <c r="E116" s="138" t="s">
        <v>1858</v>
      </c>
      <c r="F116" s="111" t="s">
        <v>1426</v>
      </c>
      <c r="G116" s="111"/>
      <c r="H116" s="111" t="s">
        <v>1859</v>
      </c>
      <c r="I116" s="136"/>
      <c r="J116" s="82" t="s">
        <v>1860</v>
      </c>
      <c r="K116" s="134" t="s">
        <v>1861</v>
      </c>
    </row>
    <row r="117">
      <c r="B117" s="110" t="s">
        <v>918</v>
      </c>
      <c r="C117" s="91" t="s">
        <v>1862</v>
      </c>
      <c r="D117" s="91" t="s">
        <v>1569</v>
      </c>
      <c r="E117" s="138" t="s">
        <v>1863</v>
      </c>
      <c r="F117" s="111" t="s">
        <v>1426</v>
      </c>
      <c r="G117" s="111" t="s">
        <v>1864</v>
      </c>
      <c r="H117" s="111"/>
      <c r="I117" s="111"/>
      <c r="J117" s="82" t="s">
        <v>1865</v>
      </c>
      <c r="K117" s="134" t="s">
        <v>1866</v>
      </c>
    </row>
    <row r="118">
      <c r="B118" s="110" t="s">
        <v>920</v>
      </c>
      <c r="C118" s="91" t="s">
        <v>1867</v>
      </c>
      <c r="D118" s="91" t="s">
        <v>1868</v>
      </c>
      <c r="E118" s="138" t="s">
        <v>1685</v>
      </c>
      <c r="F118" s="111" t="s">
        <v>1426</v>
      </c>
      <c r="G118" s="111"/>
      <c r="H118" s="111" t="s">
        <v>1869</v>
      </c>
      <c r="I118" s="111"/>
      <c r="J118" s="82" t="s">
        <v>1870</v>
      </c>
      <c r="K118" s="134" t="s">
        <v>1871</v>
      </c>
    </row>
    <row r="119">
      <c r="B119" s="110" t="s">
        <v>922</v>
      </c>
      <c r="C119" s="91" t="s">
        <v>1872</v>
      </c>
      <c r="D119" s="91" t="s">
        <v>1873</v>
      </c>
      <c r="E119" s="138" t="s">
        <v>1685</v>
      </c>
      <c r="F119" s="111" t="s">
        <v>1426</v>
      </c>
      <c r="G119" s="111"/>
      <c r="H119" s="111" t="s">
        <v>1874</v>
      </c>
      <c r="I119" s="111" t="s">
        <v>1875</v>
      </c>
      <c r="J119" s="82" t="s">
        <v>1876</v>
      </c>
      <c r="K119" s="134" t="s">
        <v>1877</v>
      </c>
    </row>
    <row r="120">
      <c r="B120" s="110" t="s">
        <v>926</v>
      </c>
      <c r="C120" s="90" t="s">
        <v>1878</v>
      </c>
      <c r="D120" s="90"/>
      <c r="E120" s="138" t="s">
        <v>1702</v>
      </c>
      <c r="F120" s="111" t="s">
        <v>1426</v>
      </c>
      <c r="G120" s="111"/>
      <c r="H120" s="111" t="s">
        <v>1879</v>
      </c>
      <c r="I120" s="111"/>
      <c r="J120" s="82" t="s">
        <v>1880</v>
      </c>
      <c r="K120" s="134" t="s">
        <v>1881</v>
      </c>
    </row>
    <row r="121">
      <c r="B121" s="110" t="s">
        <v>1882</v>
      </c>
      <c r="C121" s="90" t="s">
        <v>1883</v>
      </c>
      <c r="D121" s="90"/>
      <c r="E121" s="138" t="s">
        <v>1451</v>
      </c>
      <c r="F121" s="145"/>
      <c r="G121" s="136"/>
      <c r="H121" s="136"/>
      <c r="I121" s="111"/>
      <c r="J121" s="82" t="s">
        <v>1884</v>
      </c>
      <c r="K121" s="134" t="s">
        <v>1885</v>
      </c>
    </row>
    <row r="122">
      <c r="B122" s="110" t="s">
        <v>1886</v>
      </c>
      <c r="C122" s="90" t="s">
        <v>1887</v>
      </c>
      <c r="D122" s="90"/>
      <c r="E122" s="138" t="s">
        <v>1888</v>
      </c>
      <c r="F122" s="111"/>
      <c r="G122" s="111"/>
      <c r="H122" s="111"/>
      <c r="I122" s="111"/>
      <c r="J122" s="140" t="s">
        <v>1844</v>
      </c>
      <c r="K122" s="134" t="s">
        <v>1889</v>
      </c>
    </row>
    <row r="123">
      <c r="B123" s="110" t="s">
        <v>1890</v>
      </c>
      <c r="C123" s="90" t="s">
        <v>1891</v>
      </c>
      <c r="D123" s="90" t="s">
        <v>1593</v>
      </c>
      <c r="E123" s="138" t="s">
        <v>1892</v>
      </c>
      <c r="F123" s="111" t="s">
        <v>1595</v>
      </c>
      <c r="G123" s="111" t="s">
        <v>1893</v>
      </c>
      <c r="H123" s="111"/>
      <c r="I123" s="111"/>
      <c r="J123" s="82" t="s">
        <v>1894</v>
      </c>
      <c r="K123" s="134" t="s">
        <v>1895</v>
      </c>
    </row>
    <row r="124">
      <c r="A124" s="80"/>
      <c r="B124" s="95"/>
      <c r="C124" s="80" t="s">
        <v>709</v>
      </c>
      <c r="E124" s="80" t="s">
        <v>710</v>
      </c>
      <c r="F124" s="80" t="s">
        <v>1353</v>
      </c>
      <c r="G124" s="80" t="s">
        <v>1354</v>
      </c>
      <c r="I124" s="80"/>
      <c r="J124" s="80" t="s">
        <v>714</v>
      </c>
      <c r="K124" s="80"/>
    </row>
    <row r="125">
      <c r="A125" s="83"/>
      <c r="B125" s="128"/>
      <c r="C125" s="83" t="s">
        <v>1355</v>
      </c>
      <c r="D125" s="83" t="s">
        <v>715</v>
      </c>
      <c r="E125" s="83" t="s">
        <v>1356</v>
      </c>
      <c r="F125" s="83" t="s">
        <v>1357</v>
      </c>
      <c r="G125" s="83" t="s">
        <v>1358</v>
      </c>
      <c r="H125" s="83" t="s">
        <v>1359</v>
      </c>
      <c r="I125" s="83" t="s">
        <v>1359</v>
      </c>
      <c r="J125" s="83"/>
      <c r="K125" s="83"/>
    </row>
    <row r="126">
      <c r="A126" s="84" t="s">
        <v>1896</v>
      </c>
      <c r="B126" s="110" t="s">
        <v>1897</v>
      </c>
      <c r="C126" s="91" t="s">
        <v>1898</v>
      </c>
      <c r="D126" s="91" t="s">
        <v>1602</v>
      </c>
      <c r="E126" s="138" t="s">
        <v>1369</v>
      </c>
      <c r="F126" s="144"/>
      <c r="G126" s="136"/>
      <c r="H126" s="136"/>
      <c r="I126" s="136"/>
      <c r="J126" s="82" t="s">
        <v>1899</v>
      </c>
      <c r="K126" s="134" t="s">
        <v>1900</v>
      </c>
    </row>
    <row r="127">
      <c r="B127" s="110" t="s">
        <v>931</v>
      </c>
      <c r="C127" s="91" t="s">
        <v>1901</v>
      </c>
      <c r="D127" s="91" t="s">
        <v>1902</v>
      </c>
      <c r="E127" s="138" t="s">
        <v>1685</v>
      </c>
      <c r="F127" s="111" t="s">
        <v>1426</v>
      </c>
      <c r="G127" s="111"/>
      <c r="H127" s="111" t="s">
        <v>1903</v>
      </c>
      <c r="I127" s="111" t="s">
        <v>1904</v>
      </c>
      <c r="J127" s="82" t="s">
        <v>1905</v>
      </c>
      <c r="K127" s="134" t="s">
        <v>1906</v>
      </c>
    </row>
    <row r="128">
      <c r="B128" s="110" t="s">
        <v>936</v>
      </c>
      <c r="C128" s="91" t="s">
        <v>1907</v>
      </c>
      <c r="D128" s="91" t="s">
        <v>1387</v>
      </c>
      <c r="E128" s="138" t="s">
        <v>1908</v>
      </c>
      <c r="F128" s="111" t="s">
        <v>1426</v>
      </c>
      <c r="G128" s="111"/>
      <c r="H128" s="111" t="s">
        <v>1909</v>
      </c>
      <c r="I128" s="111" t="s">
        <v>1910</v>
      </c>
      <c r="J128" s="82" t="s">
        <v>1911</v>
      </c>
      <c r="K128" s="134" t="s">
        <v>1912</v>
      </c>
    </row>
    <row r="129">
      <c r="B129" s="110" t="s">
        <v>940</v>
      </c>
      <c r="C129" s="91" t="s">
        <v>1913</v>
      </c>
      <c r="D129" s="91" t="s">
        <v>1490</v>
      </c>
      <c r="E129" s="138" t="s">
        <v>1685</v>
      </c>
      <c r="F129" s="111" t="s">
        <v>1426</v>
      </c>
      <c r="G129" s="111" t="s">
        <v>1914</v>
      </c>
      <c r="H129" s="113" t="s">
        <v>1915</v>
      </c>
      <c r="I129" s="111"/>
      <c r="J129" s="82" t="s">
        <v>1916</v>
      </c>
      <c r="K129" s="134" t="s">
        <v>1917</v>
      </c>
    </row>
    <row r="130">
      <c r="B130" s="110" t="s">
        <v>943</v>
      </c>
      <c r="C130" s="91" t="s">
        <v>1918</v>
      </c>
      <c r="D130" s="91"/>
      <c r="E130" s="138" t="s">
        <v>1702</v>
      </c>
      <c r="F130" s="111" t="s">
        <v>1426</v>
      </c>
      <c r="G130" s="148"/>
      <c r="H130" s="113" t="s">
        <v>1919</v>
      </c>
      <c r="I130" s="111"/>
      <c r="J130" s="82" t="s">
        <v>1830</v>
      </c>
      <c r="K130" s="134" t="s">
        <v>1920</v>
      </c>
    </row>
    <row r="131">
      <c r="B131" s="110" t="s">
        <v>1921</v>
      </c>
      <c r="C131" s="90" t="s">
        <v>1922</v>
      </c>
      <c r="D131" s="90"/>
      <c r="E131" s="138" t="s">
        <v>1401</v>
      </c>
      <c r="F131" s="144"/>
      <c r="G131" s="136"/>
      <c r="H131" s="136"/>
      <c r="I131" s="111"/>
      <c r="J131" s="82" t="s">
        <v>1923</v>
      </c>
      <c r="K131" s="134" t="s">
        <v>1924</v>
      </c>
    </row>
    <row r="132">
      <c r="B132" s="110" t="s">
        <v>1925</v>
      </c>
      <c r="C132" s="90" t="s">
        <v>1926</v>
      </c>
      <c r="D132" s="90"/>
      <c r="E132" s="138" t="s">
        <v>1631</v>
      </c>
      <c r="F132" s="144"/>
      <c r="G132" s="111"/>
      <c r="H132" s="111"/>
      <c r="I132" s="111"/>
      <c r="J132" s="140" t="s">
        <v>1804</v>
      </c>
      <c r="K132" s="134" t="s">
        <v>1927</v>
      </c>
    </row>
    <row r="133">
      <c r="B133" s="110" t="s">
        <v>1928</v>
      </c>
      <c r="C133" s="90" t="s">
        <v>1929</v>
      </c>
      <c r="D133" s="90" t="s">
        <v>1930</v>
      </c>
      <c r="E133" s="138" t="s">
        <v>1931</v>
      </c>
      <c r="F133" s="111" t="s">
        <v>1638</v>
      </c>
      <c r="G133" s="111" t="s">
        <v>1932</v>
      </c>
      <c r="H133" s="111"/>
      <c r="I133" s="111"/>
      <c r="J133" s="82" t="s">
        <v>1933</v>
      </c>
      <c r="K133" s="134" t="s">
        <v>1934</v>
      </c>
    </row>
    <row r="134">
      <c r="A134" s="80"/>
      <c r="B134" s="95"/>
      <c r="C134" s="80" t="s">
        <v>709</v>
      </c>
      <c r="E134" s="80" t="s">
        <v>710</v>
      </c>
      <c r="F134" s="80" t="s">
        <v>1353</v>
      </c>
      <c r="G134" s="80" t="s">
        <v>1354</v>
      </c>
      <c r="I134" s="80"/>
      <c r="J134" s="80" t="s">
        <v>714</v>
      </c>
      <c r="K134" s="80"/>
    </row>
    <row r="135">
      <c r="A135" s="83"/>
      <c r="B135" s="128"/>
      <c r="C135" s="83" t="s">
        <v>1355</v>
      </c>
      <c r="D135" s="83" t="s">
        <v>715</v>
      </c>
      <c r="E135" s="83" t="s">
        <v>1356</v>
      </c>
      <c r="F135" s="83" t="s">
        <v>1357</v>
      </c>
      <c r="G135" s="83" t="s">
        <v>1358</v>
      </c>
      <c r="H135" s="83" t="s">
        <v>1359</v>
      </c>
      <c r="I135" s="83" t="s">
        <v>1359</v>
      </c>
      <c r="J135" s="83"/>
      <c r="K135" s="83"/>
    </row>
    <row r="136">
      <c r="A136" s="84" t="s">
        <v>1935</v>
      </c>
      <c r="B136" s="110" t="s">
        <v>1936</v>
      </c>
      <c r="C136" s="91" t="s">
        <v>1937</v>
      </c>
      <c r="D136" s="91" t="s">
        <v>1645</v>
      </c>
      <c r="E136" s="138" t="s">
        <v>1421</v>
      </c>
      <c r="F136" s="144"/>
      <c r="G136" s="136"/>
      <c r="H136" s="136"/>
      <c r="I136" s="111"/>
      <c r="J136" s="82" t="s">
        <v>1938</v>
      </c>
      <c r="K136" s="134" t="s">
        <v>1939</v>
      </c>
    </row>
    <row r="137">
      <c r="B137" s="110" t="s">
        <v>946</v>
      </c>
      <c r="C137" s="91" t="s">
        <v>1940</v>
      </c>
      <c r="D137" s="91"/>
      <c r="E137" s="138" t="s">
        <v>1941</v>
      </c>
      <c r="F137" s="111" t="s">
        <v>1426</v>
      </c>
      <c r="G137" s="111" t="s">
        <v>1942</v>
      </c>
      <c r="H137" s="111"/>
      <c r="I137" s="111"/>
      <c r="J137" s="82" t="s">
        <v>1943</v>
      </c>
      <c r="K137" s="134" t="s">
        <v>1944</v>
      </c>
    </row>
    <row r="138">
      <c r="B138" s="110" t="s">
        <v>951</v>
      </c>
      <c r="C138" s="91" t="s">
        <v>1945</v>
      </c>
      <c r="D138" s="91" t="s">
        <v>1946</v>
      </c>
      <c r="E138" s="138" t="s">
        <v>1947</v>
      </c>
      <c r="F138" s="111" t="s">
        <v>1426</v>
      </c>
      <c r="G138" s="111" t="s">
        <v>1948</v>
      </c>
      <c r="H138" s="111"/>
      <c r="I138" s="111"/>
      <c r="J138" s="82" t="s">
        <v>1949</v>
      </c>
      <c r="K138" s="134" t="s">
        <v>1950</v>
      </c>
    </row>
    <row r="139">
      <c r="B139" s="110" t="s">
        <v>953</v>
      </c>
      <c r="C139" s="91" t="s">
        <v>1951</v>
      </c>
      <c r="D139" s="91"/>
      <c r="E139" s="138" t="s">
        <v>1952</v>
      </c>
      <c r="F139" s="111" t="s">
        <v>1426</v>
      </c>
      <c r="G139" s="111"/>
      <c r="H139" s="111" t="s">
        <v>1953</v>
      </c>
      <c r="I139" s="111"/>
      <c r="J139" s="82" t="s">
        <v>1687</v>
      </c>
      <c r="K139" s="134" t="s">
        <v>1954</v>
      </c>
    </row>
    <row r="140">
      <c r="B140" s="110" t="s">
        <v>1955</v>
      </c>
      <c r="C140" s="91" t="s">
        <v>1956</v>
      </c>
      <c r="D140" s="91"/>
      <c r="E140" s="138" t="s">
        <v>1957</v>
      </c>
      <c r="F140" s="111" t="s">
        <v>1426</v>
      </c>
      <c r="G140" s="136"/>
      <c r="H140" s="136"/>
      <c r="I140" s="111"/>
      <c r="J140" s="82" t="s">
        <v>1958</v>
      </c>
      <c r="K140" s="134" t="s">
        <v>1959</v>
      </c>
    </row>
    <row r="141">
      <c r="B141" s="110" t="s">
        <v>1960</v>
      </c>
      <c r="C141" s="90" t="s">
        <v>1961</v>
      </c>
      <c r="D141" s="90"/>
      <c r="E141" s="138" t="s">
        <v>1962</v>
      </c>
      <c r="F141" s="144"/>
      <c r="G141" s="136"/>
      <c r="H141" s="136"/>
      <c r="I141" s="111"/>
      <c r="J141" s="140" t="s">
        <v>1759</v>
      </c>
      <c r="K141" s="134" t="s">
        <v>1963</v>
      </c>
    </row>
    <row r="142">
      <c r="B142" s="110" t="s">
        <v>1964</v>
      </c>
      <c r="C142" s="90" t="s">
        <v>1965</v>
      </c>
      <c r="D142" s="90" t="s">
        <v>1966</v>
      </c>
      <c r="E142" s="138" t="s">
        <v>1967</v>
      </c>
      <c r="F142" s="111" t="s">
        <v>1674</v>
      </c>
      <c r="G142" s="111" t="s">
        <v>1968</v>
      </c>
      <c r="H142" s="111"/>
      <c r="I142" s="111"/>
      <c r="J142" s="149" t="s">
        <v>1969</v>
      </c>
      <c r="K142" s="134" t="s">
        <v>1970</v>
      </c>
    </row>
    <row r="143">
      <c r="A143" s="80"/>
      <c r="B143" s="95"/>
      <c r="C143" s="80" t="s">
        <v>709</v>
      </c>
      <c r="E143" s="80" t="s">
        <v>710</v>
      </c>
      <c r="F143" s="80" t="s">
        <v>1353</v>
      </c>
      <c r="G143" s="80" t="s">
        <v>1354</v>
      </c>
      <c r="I143" s="80"/>
      <c r="J143" s="80" t="s">
        <v>714</v>
      </c>
      <c r="K143" s="80"/>
    </row>
    <row r="144">
      <c r="A144" s="83"/>
      <c r="B144" s="128"/>
      <c r="C144" s="83" t="s">
        <v>1355</v>
      </c>
      <c r="D144" s="83" t="s">
        <v>715</v>
      </c>
      <c r="E144" s="83" t="s">
        <v>1356</v>
      </c>
      <c r="F144" s="83" t="s">
        <v>1357</v>
      </c>
      <c r="G144" s="83" t="s">
        <v>1358</v>
      </c>
      <c r="H144" s="83" t="s">
        <v>1359</v>
      </c>
      <c r="I144" s="83" t="s">
        <v>1359</v>
      </c>
      <c r="J144" s="83"/>
      <c r="K144" s="83"/>
    </row>
    <row r="145">
      <c r="A145" s="84" t="s">
        <v>1971</v>
      </c>
      <c r="B145" s="110" t="s">
        <v>1972</v>
      </c>
      <c r="C145" s="91" t="s">
        <v>1973</v>
      </c>
      <c r="D145" s="91" t="s">
        <v>1974</v>
      </c>
      <c r="E145" s="138" t="s">
        <v>1369</v>
      </c>
      <c r="F145" s="144"/>
      <c r="G145" s="136"/>
      <c r="H145" s="136"/>
      <c r="I145" s="136"/>
      <c r="J145" s="82" t="s">
        <v>1975</v>
      </c>
      <c r="K145" s="134" t="s">
        <v>1976</v>
      </c>
    </row>
    <row r="146">
      <c r="B146" s="110" t="s">
        <v>955</v>
      </c>
      <c r="C146" s="91" t="s">
        <v>1977</v>
      </c>
      <c r="D146" s="91"/>
      <c r="E146" s="138" t="s">
        <v>1978</v>
      </c>
      <c r="F146" s="111" t="s">
        <v>1426</v>
      </c>
      <c r="G146" s="111"/>
      <c r="H146" s="111" t="s">
        <v>1979</v>
      </c>
      <c r="I146" s="111" t="s">
        <v>1980</v>
      </c>
      <c r="J146" s="82" t="s">
        <v>1981</v>
      </c>
      <c r="K146" s="134" t="s">
        <v>1982</v>
      </c>
    </row>
    <row r="147">
      <c r="B147" s="110" t="s">
        <v>960</v>
      </c>
      <c r="C147" s="91" t="s">
        <v>1983</v>
      </c>
      <c r="D147" s="91" t="s">
        <v>1380</v>
      </c>
      <c r="E147" s="138" t="s">
        <v>1381</v>
      </c>
      <c r="F147" s="111" t="s">
        <v>1426</v>
      </c>
      <c r="G147" s="111"/>
      <c r="H147" s="111" t="s">
        <v>1984</v>
      </c>
      <c r="I147" s="111" t="s">
        <v>1985</v>
      </c>
      <c r="J147" s="82" t="s">
        <v>1986</v>
      </c>
      <c r="K147" s="134" t="s">
        <v>1987</v>
      </c>
    </row>
    <row r="148">
      <c r="B148" s="110" t="s">
        <v>963</v>
      </c>
      <c r="C148" s="91" t="s">
        <v>1988</v>
      </c>
      <c r="D148" s="91"/>
      <c r="E148" s="138" t="s">
        <v>1685</v>
      </c>
      <c r="F148" s="111" t="s">
        <v>1426</v>
      </c>
      <c r="G148" s="111" t="s">
        <v>1989</v>
      </c>
      <c r="H148" s="111" t="s">
        <v>1990</v>
      </c>
      <c r="I148" s="111"/>
      <c r="J148" s="82" t="s">
        <v>1991</v>
      </c>
      <c r="K148" s="134" t="s">
        <v>1992</v>
      </c>
    </row>
    <row r="149">
      <c r="B149" s="110" t="s">
        <v>965</v>
      </c>
      <c r="C149" s="91" t="s">
        <v>1993</v>
      </c>
      <c r="D149" s="91" t="s">
        <v>1701</v>
      </c>
      <c r="E149" s="138" t="s">
        <v>1702</v>
      </c>
      <c r="F149" s="111" t="s">
        <v>1426</v>
      </c>
      <c r="G149" s="111"/>
      <c r="H149" s="111" t="s">
        <v>1994</v>
      </c>
      <c r="I149" s="149" t="s">
        <v>1995</v>
      </c>
      <c r="J149" s="82" t="s">
        <v>1996</v>
      </c>
      <c r="K149" s="134" t="s">
        <v>1997</v>
      </c>
    </row>
    <row r="150">
      <c r="B150" s="110" t="s">
        <v>1998</v>
      </c>
      <c r="C150" s="90" t="s">
        <v>1999</v>
      </c>
      <c r="D150" s="90"/>
      <c r="E150" s="138" t="s">
        <v>2000</v>
      </c>
      <c r="F150" s="144"/>
      <c r="G150" s="136"/>
      <c r="H150" s="136"/>
      <c r="I150" s="111"/>
      <c r="J150" s="82" t="s">
        <v>2001</v>
      </c>
      <c r="K150" s="134" t="s">
        <v>2002</v>
      </c>
    </row>
    <row r="151">
      <c r="B151" s="110" t="s">
        <v>2003</v>
      </c>
      <c r="C151" s="90" t="s">
        <v>2004</v>
      </c>
      <c r="D151" s="90"/>
      <c r="E151" s="138" t="s">
        <v>1406</v>
      </c>
      <c r="F151" s="145"/>
      <c r="G151" s="111"/>
      <c r="H151" s="111"/>
      <c r="I151" s="111"/>
      <c r="J151" s="140" t="s">
        <v>2005</v>
      </c>
      <c r="K151" s="134" t="s">
        <v>2006</v>
      </c>
    </row>
    <row r="152">
      <c r="B152" s="110" t="s">
        <v>2007</v>
      </c>
      <c r="C152" s="90" t="s">
        <v>2008</v>
      </c>
      <c r="D152" s="90" t="s">
        <v>2009</v>
      </c>
      <c r="E152" s="138" t="s">
        <v>2010</v>
      </c>
      <c r="F152" s="111" t="s">
        <v>1719</v>
      </c>
      <c r="G152" s="111" t="s">
        <v>2011</v>
      </c>
      <c r="H152" s="111"/>
      <c r="I152" s="111"/>
      <c r="J152" s="82" t="s">
        <v>2012</v>
      </c>
      <c r="K152" s="134" t="s">
        <v>2013</v>
      </c>
    </row>
    <row r="153">
      <c r="A153" s="80"/>
      <c r="B153" s="95"/>
      <c r="C153" s="80" t="s">
        <v>709</v>
      </c>
      <c r="E153" s="80" t="s">
        <v>710</v>
      </c>
      <c r="F153" s="80" t="s">
        <v>1353</v>
      </c>
      <c r="G153" s="80" t="s">
        <v>1354</v>
      </c>
      <c r="I153" s="80"/>
      <c r="J153" s="80" t="s">
        <v>714</v>
      </c>
      <c r="K153" s="80"/>
    </row>
    <row r="154">
      <c r="A154" s="83"/>
      <c r="B154" s="128"/>
      <c r="C154" s="83" t="s">
        <v>1355</v>
      </c>
      <c r="D154" s="83" t="s">
        <v>715</v>
      </c>
      <c r="E154" s="83" t="s">
        <v>1356</v>
      </c>
      <c r="F154" s="83" t="s">
        <v>1357</v>
      </c>
      <c r="G154" s="83" t="s">
        <v>1358</v>
      </c>
      <c r="H154" s="83" t="s">
        <v>1359</v>
      </c>
      <c r="I154" s="83" t="s">
        <v>1359</v>
      </c>
      <c r="J154" s="83"/>
      <c r="K154" s="83"/>
    </row>
    <row r="155">
      <c r="A155" s="84" t="s">
        <v>2014</v>
      </c>
      <c r="B155" s="110" t="s">
        <v>2015</v>
      </c>
      <c r="C155" s="91" t="s">
        <v>2016</v>
      </c>
      <c r="D155" s="91" t="s">
        <v>2017</v>
      </c>
      <c r="E155" s="138" t="s">
        <v>1421</v>
      </c>
      <c r="F155" s="144"/>
      <c r="G155" s="136"/>
      <c r="H155" s="136"/>
      <c r="I155" s="111"/>
      <c r="J155" s="82" t="s">
        <v>2018</v>
      </c>
      <c r="K155" s="134" t="s">
        <v>2019</v>
      </c>
    </row>
    <row r="156">
      <c r="B156" s="110" t="s">
        <v>968</v>
      </c>
      <c r="C156" s="91" t="s">
        <v>2020</v>
      </c>
      <c r="D156" s="91" t="s">
        <v>1425</v>
      </c>
      <c r="E156" s="138" t="s">
        <v>1381</v>
      </c>
      <c r="F156" s="111" t="s">
        <v>1426</v>
      </c>
      <c r="G156" s="111"/>
      <c r="H156" s="150" t="s">
        <v>2021</v>
      </c>
      <c r="I156" s="111"/>
      <c r="J156" s="82" t="s">
        <v>2022</v>
      </c>
      <c r="K156" s="134" t="s">
        <v>2023</v>
      </c>
    </row>
    <row r="157">
      <c r="B157" s="110" t="s">
        <v>972</v>
      </c>
      <c r="C157" s="91" t="s">
        <v>2024</v>
      </c>
      <c r="D157" s="91" t="s">
        <v>1431</v>
      </c>
      <c r="E157" s="138" t="s">
        <v>1735</v>
      </c>
      <c r="F157" s="111" t="s">
        <v>1426</v>
      </c>
      <c r="G157" s="111" t="s">
        <v>2025</v>
      </c>
      <c r="H157" s="111"/>
      <c r="I157" s="111"/>
      <c r="J157" s="82" t="s">
        <v>2026</v>
      </c>
      <c r="K157" s="134" t="s">
        <v>2027</v>
      </c>
    </row>
    <row r="158">
      <c r="B158" s="110" t="s">
        <v>974</v>
      </c>
      <c r="C158" s="91" t="s">
        <v>2028</v>
      </c>
      <c r="D158" s="91" t="s">
        <v>2029</v>
      </c>
      <c r="E158" s="138" t="s">
        <v>1685</v>
      </c>
      <c r="F158" s="111" t="s">
        <v>1426</v>
      </c>
      <c r="G158" s="111"/>
      <c r="H158" s="150" t="s">
        <v>2030</v>
      </c>
      <c r="I158" s="111"/>
      <c r="J158" s="82" t="s">
        <v>2031</v>
      </c>
      <c r="K158" s="134" t="s">
        <v>2032</v>
      </c>
    </row>
    <row r="159">
      <c r="B159" s="110" t="s">
        <v>976</v>
      </c>
      <c r="C159" s="91" t="s">
        <v>2033</v>
      </c>
      <c r="D159" s="91" t="s">
        <v>1746</v>
      </c>
      <c r="E159" s="138" t="s">
        <v>1685</v>
      </c>
      <c r="F159" s="111" t="s">
        <v>1426</v>
      </c>
      <c r="G159" s="111"/>
      <c r="H159" s="111" t="s">
        <v>2034</v>
      </c>
      <c r="I159" s="111"/>
      <c r="J159" s="123" t="s">
        <v>2035</v>
      </c>
      <c r="K159" s="134" t="s">
        <v>2036</v>
      </c>
    </row>
    <row r="160">
      <c r="B160" s="110" t="s">
        <v>2037</v>
      </c>
      <c r="C160" s="90" t="s">
        <v>1752</v>
      </c>
      <c r="D160" s="90" t="s">
        <v>1753</v>
      </c>
      <c r="E160" s="86" t="s">
        <v>2038</v>
      </c>
      <c r="F160" s="144"/>
      <c r="G160" s="136"/>
      <c r="H160" s="136"/>
      <c r="I160" s="111"/>
      <c r="J160" s="82" t="s">
        <v>2039</v>
      </c>
      <c r="K160" s="134" t="s">
        <v>2040</v>
      </c>
    </row>
    <row r="161">
      <c r="B161" s="110" t="s">
        <v>2041</v>
      </c>
      <c r="C161" s="90" t="s">
        <v>2042</v>
      </c>
      <c r="D161" s="90" t="s">
        <v>217</v>
      </c>
      <c r="E161" s="138" t="s">
        <v>2043</v>
      </c>
      <c r="F161" s="144"/>
      <c r="G161" s="111"/>
      <c r="H161" s="111"/>
      <c r="I161" s="111"/>
      <c r="J161" s="149" t="s">
        <v>2044</v>
      </c>
      <c r="K161" s="134" t="s">
        <v>2045</v>
      </c>
    </row>
    <row r="162">
      <c r="B162" s="110" t="s">
        <v>2046</v>
      </c>
      <c r="C162" s="90" t="s">
        <v>2047</v>
      </c>
      <c r="D162" s="90" t="s">
        <v>1763</v>
      </c>
      <c r="E162" s="138" t="s">
        <v>2048</v>
      </c>
      <c r="F162" s="111" t="s">
        <v>1461</v>
      </c>
      <c r="G162" s="111" t="s">
        <v>2049</v>
      </c>
      <c r="H162" s="111"/>
      <c r="I162" s="111"/>
      <c r="J162" s="140" t="s">
        <v>2050</v>
      </c>
      <c r="K162" s="134" t="s">
        <v>2051</v>
      </c>
    </row>
    <row r="163">
      <c r="A163" s="80"/>
      <c r="B163" s="95"/>
      <c r="C163" s="80" t="s">
        <v>709</v>
      </c>
      <c r="E163" s="80" t="s">
        <v>710</v>
      </c>
      <c r="F163" s="80" t="s">
        <v>1353</v>
      </c>
      <c r="G163" s="80" t="s">
        <v>1354</v>
      </c>
      <c r="I163" s="80"/>
      <c r="J163" s="80" t="s">
        <v>714</v>
      </c>
      <c r="K163" s="80"/>
    </row>
    <row r="164">
      <c r="A164" s="83"/>
      <c r="B164" s="128"/>
      <c r="C164" s="83" t="s">
        <v>1355</v>
      </c>
      <c r="D164" s="83" t="s">
        <v>715</v>
      </c>
      <c r="E164" s="83" t="s">
        <v>1356</v>
      </c>
      <c r="F164" s="83" t="s">
        <v>69</v>
      </c>
      <c r="G164" s="83" t="s">
        <v>1358</v>
      </c>
      <c r="H164" s="83" t="s">
        <v>1359</v>
      </c>
      <c r="I164" s="83" t="s">
        <v>1359</v>
      </c>
      <c r="J164" s="83"/>
      <c r="K164" s="83"/>
    </row>
    <row r="165">
      <c r="A165" s="84" t="s">
        <v>2052</v>
      </c>
      <c r="B165" s="110" t="s">
        <v>2053</v>
      </c>
      <c r="C165" s="91" t="s">
        <v>2054</v>
      </c>
      <c r="D165" s="91" t="s">
        <v>1772</v>
      </c>
      <c r="E165" s="138"/>
      <c r="F165" s="151" t="s">
        <v>1369</v>
      </c>
      <c r="G165" s="136"/>
      <c r="H165" s="136"/>
      <c r="I165" s="136"/>
      <c r="J165" s="82" t="s">
        <v>2055</v>
      </c>
      <c r="K165" s="134" t="s">
        <v>2056</v>
      </c>
    </row>
    <row r="166">
      <c r="B166" s="110" t="s">
        <v>979</v>
      </c>
      <c r="C166" s="91" t="s">
        <v>2057</v>
      </c>
      <c r="D166" s="91" t="s">
        <v>1776</v>
      </c>
      <c r="E166" s="138" t="s">
        <v>1381</v>
      </c>
      <c r="F166" s="111" t="s">
        <v>1426</v>
      </c>
      <c r="G166" s="111"/>
      <c r="H166" s="111" t="s">
        <v>2058</v>
      </c>
      <c r="I166" s="136"/>
      <c r="J166" s="82" t="s">
        <v>2059</v>
      </c>
      <c r="K166" s="134" t="s">
        <v>2060</v>
      </c>
    </row>
    <row r="167">
      <c r="B167" s="110" t="s">
        <v>984</v>
      </c>
      <c r="C167" s="91" t="s">
        <v>2061</v>
      </c>
      <c r="D167" s="91" t="s">
        <v>1477</v>
      </c>
      <c r="E167" s="138" t="s">
        <v>1381</v>
      </c>
      <c r="F167" s="111" t="s">
        <v>1426</v>
      </c>
      <c r="G167" s="111"/>
      <c r="H167" s="111" t="s">
        <v>2062</v>
      </c>
      <c r="I167" s="111" t="s">
        <v>2063</v>
      </c>
      <c r="J167" s="123" t="s">
        <v>2064</v>
      </c>
      <c r="K167" s="134" t="s">
        <v>2065</v>
      </c>
    </row>
    <row r="168">
      <c r="B168" s="110" t="s">
        <v>986</v>
      </c>
      <c r="C168" s="91" t="s">
        <v>1787</v>
      </c>
      <c r="D168" s="91" t="s">
        <v>2066</v>
      </c>
      <c r="E168" s="138" t="s">
        <v>1685</v>
      </c>
      <c r="F168" s="111" t="s">
        <v>1426</v>
      </c>
      <c r="G168" s="111" t="s">
        <v>2067</v>
      </c>
      <c r="H168" s="111" t="s">
        <v>2068</v>
      </c>
      <c r="I168" s="111"/>
      <c r="J168" s="82" t="s">
        <v>2069</v>
      </c>
      <c r="K168" s="134" t="s">
        <v>2070</v>
      </c>
    </row>
    <row r="169">
      <c r="B169" s="110" t="s">
        <v>989</v>
      </c>
      <c r="C169" s="91" t="s">
        <v>2071</v>
      </c>
      <c r="D169" s="91"/>
      <c r="E169" s="138" t="s">
        <v>2072</v>
      </c>
      <c r="F169" s="111" t="s">
        <v>1426</v>
      </c>
      <c r="G169" s="111"/>
      <c r="H169" s="111" t="s">
        <v>2073</v>
      </c>
      <c r="I169" s="111" t="s">
        <v>2074</v>
      </c>
      <c r="J169" s="82" t="s">
        <v>2075</v>
      </c>
      <c r="K169" s="134" t="s">
        <v>2076</v>
      </c>
    </row>
    <row r="170">
      <c r="B170" s="110" t="s">
        <v>2077</v>
      </c>
      <c r="C170" s="90" t="s">
        <v>2078</v>
      </c>
      <c r="D170" s="90"/>
      <c r="E170" s="138" t="s">
        <v>2079</v>
      </c>
      <c r="F170" s="152"/>
      <c r="G170" s="136"/>
      <c r="H170" s="136"/>
      <c r="I170" s="111"/>
      <c r="J170" s="82" t="s">
        <v>2080</v>
      </c>
      <c r="K170" s="134" t="s">
        <v>2081</v>
      </c>
    </row>
    <row r="171">
      <c r="B171" s="110" t="s">
        <v>2082</v>
      </c>
      <c r="C171" s="90" t="s">
        <v>2083</v>
      </c>
      <c r="D171" s="90"/>
      <c r="E171" s="138" t="s">
        <v>2084</v>
      </c>
      <c r="F171" s="153"/>
      <c r="G171" s="136"/>
      <c r="H171" s="136"/>
      <c r="I171" s="111"/>
      <c r="J171" s="82" t="s">
        <v>2085</v>
      </c>
      <c r="K171" s="134" t="s">
        <v>2086</v>
      </c>
    </row>
    <row r="172">
      <c r="B172" s="110" t="s">
        <v>2087</v>
      </c>
      <c r="C172" s="90" t="s">
        <v>1499</v>
      </c>
      <c r="D172" s="90" t="s">
        <v>2088</v>
      </c>
      <c r="E172" s="138" t="s">
        <v>2089</v>
      </c>
      <c r="F172" s="111" t="s">
        <v>1502</v>
      </c>
      <c r="G172" s="111" t="s">
        <v>2090</v>
      </c>
      <c r="H172" s="111"/>
      <c r="I172" s="111"/>
      <c r="J172" s="82" t="s">
        <v>2091</v>
      </c>
      <c r="K172" s="134" t="s">
        <v>2092</v>
      </c>
    </row>
    <row r="173">
      <c r="A173" s="80"/>
      <c r="B173" s="95"/>
      <c r="C173" s="80" t="s">
        <v>709</v>
      </c>
      <c r="E173" s="80" t="s">
        <v>710</v>
      </c>
      <c r="F173" s="80" t="s">
        <v>1353</v>
      </c>
      <c r="G173" s="80" t="s">
        <v>1354</v>
      </c>
      <c r="I173" s="80"/>
      <c r="J173" s="80" t="s">
        <v>714</v>
      </c>
      <c r="K173" s="80"/>
    </row>
    <row r="174">
      <c r="A174" s="83"/>
      <c r="B174" s="128"/>
      <c r="C174" s="83" t="s">
        <v>1355</v>
      </c>
      <c r="D174" s="83" t="s">
        <v>715</v>
      </c>
      <c r="E174" s="83" t="s">
        <v>1356</v>
      </c>
      <c r="F174" s="83" t="s">
        <v>69</v>
      </c>
      <c r="G174" s="83" t="s">
        <v>1358</v>
      </c>
      <c r="H174" s="83" t="s">
        <v>1359</v>
      </c>
      <c r="I174" s="83" t="s">
        <v>1359</v>
      </c>
      <c r="J174" s="83"/>
      <c r="K174" s="83"/>
    </row>
    <row r="175">
      <c r="A175" s="84" t="s">
        <v>2093</v>
      </c>
      <c r="B175" s="110" t="s">
        <v>2094</v>
      </c>
      <c r="C175" s="91" t="s">
        <v>2095</v>
      </c>
      <c r="D175" s="91" t="s">
        <v>1509</v>
      </c>
      <c r="E175" s="138" t="s">
        <v>1510</v>
      </c>
      <c r="F175" s="144"/>
      <c r="G175" s="136"/>
      <c r="H175" s="136"/>
      <c r="I175" s="136"/>
      <c r="J175" s="82" t="s">
        <v>2096</v>
      </c>
      <c r="K175" s="134" t="s">
        <v>2097</v>
      </c>
    </row>
    <row r="176">
      <c r="B176" s="110" t="s">
        <v>992</v>
      </c>
      <c r="C176" s="91" t="s">
        <v>2098</v>
      </c>
      <c r="D176" s="91"/>
      <c r="E176" s="138" t="s">
        <v>1685</v>
      </c>
      <c r="F176" s="111" t="s">
        <v>1426</v>
      </c>
      <c r="G176" s="111"/>
      <c r="H176" s="111" t="s">
        <v>2099</v>
      </c>
      <c r="I176" s="111"/>
      <c r="J176" s="82" t="s">
        <v>2100</v>
      </c>
      <c r="K176" s="134" t="s">
        <v>2101</v>
      </c>
    </row>
    <row r="177">
      <c r="B177" s="110" t="s">
        <v>996</v>
      </c>
      <c r="C177" s="91" t="s">
        <v>1518</v>
      </c>
      <c r="D177" s="91"/>
      <c r="E177" s="138" t="s">
        <v>2102</v>
      </c>
      <c r="F177" s="111" t="s">
        <v>1426</v>
      </c>
      <c r="G177" s="111" t="s">
        <v>2103</v>
      </c>
      <c r="H177" s="111"/>
      <c r="I177" s="111"/>
      <c r="J177" s="82" t="s">
        <v>2100</v>
      </c>
      <c r="K177" s="134" t="s">
        <v>2104</v>
      </c>
    </row>
    <row r="178">
      <c r="B178" s="110" t="s">
        <v>998</v>
      </c>
      <c r="C178" s="91" t="s">
        <v>1825</v>
      </c>
      <c r="D178" s="91"/>
      <c r="E178" s="138" t="s">
        <v>1741</v>
      </c>
      <c r="F178" s="111" t="s">
        <v>1426</v>
      </c>
      <c r="G178" s="111"/>
      <c r="H178" s="111" t="s">
        <v>2105</v>
      </c>
      <c r="I178" s="111"/>
      <c r="J178" s="82" t="s">
        <v>2100</v>
      </c>
      <c r="K178" s="134" t="s">
        <v>2106</v>
      </c>
    </row>
    <row r="179">
      <c r="B179" s="110" t="s">
        <v>1000</v>
      </c>
      <c r="C179" s="91" t="s">
        <v>2107</v>
      </c>
      <c r="D179" s="91"/>
      <c r="E179" s="138" t="s">
        <v>2072</v>
      </c>
      <c r="F179" s="111" t="s">
        <v>1426</v>
      </c>
      <c r="G179" s="111"/>
      <c r="H179" s="111" t="s">
        <v>2108</v>
      </c>
      <c r="I179" s="111"/>
      <c r="J179" s="82" t="s">
        <v>2109</v>
      </c>
      <c r="K179" s="134" t="s">
        <v>2110</v>
      </c>
    </row>
    <row r="180">
      <c r="B180" s="110" t="s">
        <v>2111</v>
      </c>
      <c r="C180" s="90" t="s">
        <v>2112</v>
      </c>
      <c r="D180" s="90" t="s">
        <v>1532</v>
      </c>
      <c r="E180" s="138" t="s">
        <v>2113</v>
      </c>
      <c r="F180" s="144"/>
      <c r="G180" s="111"/>
      <c r="H180" s="111"/>
      <c r="I180" s="111"/>
      <c r="J180" s="82" t="s">
        <v>2114</v>
      </c>
      <c r="K180" s="134" t="s">
        <v>2115</v>
      </c>
    </row>
    <row r="181">
      <c r="B181" s="110" t="s">
        <v>2116</v>
      </c>
      <c r="C181" s="90" t="s">
        <v>2117</v>
      </c>
      <c r="D181" s="90" t="s">
        <v>1538</v>
      </c>
      <c r="E181" s="138" t="s">
        <v>2118</v>
      </c>
      <c r="F181" s="144"/>
      <c r="G181" s="136"/>
      <c r="H181" s="136"/>
      <c r="I181" s="111"/>
      <c r="J181" s="82" t="s">
        <v>2119</v>
      </c>
      <c r="K181" s="134" t="s">
        <v>2120</v>
      </c>
    </row>
    <row r="182">
      <c r="A182" s="84"/>
      <c r="B182" s="110" t="s">
        <v>2121</v>
      </c>
      <c r="C182" s="90" t="s">
        <v>2122</v>
      </c>
      <c r="D182" s="90"/>
      <c r="E182" s="138" t="s">
        <v>1843</v>
      </c>
      <c r="F182" s="144"/>
      <c r="G182" s="136"/>
      <c r="H182" s="136"/>
      <c r="I182" s="111"/>
      <c r="J182" s="154" t="s">
        <v>2044</v>
      </c>
      <c r="K182" s="134"/>
    </row>
    <row r="183">
      <c r="A183" s="84"/>
      <c r="B183" s="110" t="s">
        <v>2123</v>
      </c>
      <c r="C183" s="90" t="s">
        <v>2124</v>
      </c>
      <c r="D183" s="90" t="s">
        <v>1549</v>
      </c>
      <c r="E183" s="138" t="s">
        <v>2125</v>
      </c>
      <c r="F183" s="111" t="s">
        <v>1551</v>
      </c>
      <c r="G183" s="111" t="s">
        <v>2126</v>
      </c>
      <c r="H183" s="136"/>
      <c r="I183" s="111"/>
      <c r="J183" s="82" t="s">
        <v>2127</v>
      </c>
      <c r="K183" s="131" t="s">
        <v>2128</v>
      </c>
    </row>
    <row r="184">
      <c r="A184" s="80"/>
      <c r="B184" s="95"/>
      <c r="C184" s="80" t="s">
        <v>709</v>
      </c>
      <c r="E184" s="80" t="s">
        <v>710</v>
      </c>
      <c r="F184" s="80" t="s">
        <v>1353</v>
      </c>
      <c r="G184" s="80" t="s">
        <v>1354</v>
      </c>
      <c r="I184" s="80"/>
      <c r="J184" s="80" t="s">
        <v>714</v>
      </c>
      <c r="K184" s="80"/>
    </row>
    <row r="185">
      <c r="A185" s="83"/>
      <c r="B185" s="128"/>
      <c r="C185" s="83" t="s">
        <v>1355</v>
      </c>
      <c r="D185" s="83" t="s">
        <v>715</v>
      </c>
      <c r="E185" s="83" t="s">
        <v>1356</v>
      </c>
      <c r="F185" s="83" t="s">
        <v>69</v>
      </c>
      <c r="G185" s="83" t="s">
        <v>1358</v>
      </c>
      <c r="H185" s="83" t="s">
        <v>1359</v>
      </c>
      <c r="I185" s="83" t="s">
        <v>1359</v>
      </c>
      <c r="J185" s="83"/>
      <c r="K185" s="83"/>
    </row>
    <row r="186">
      <c r="A186" s="84" t="s">
        <v>2129</v>
      </c>
      <c r="B186" s="110" t="s">
        <v>2130</v>
      </c>
      <c r="C186" s="91" t="s">
        <v>2131</v>
      </c>
      <c r="D186" s="91" t="s">
        <v>1558</v>
      </c>
      <c r="E186" s="138" t="s">
        <v>1510</v>
      </c>
      <c r="F186" s="144"/>
      <c r="G186" s="136"/>
      <c r="H186" s="136"/>
      <c r="I186" s="136"/>
      <c r="J186" s="82" t="s">
        <v>2132</v>
      </c>
      <c r="K186" s="134" t="s">
        <v>2133</v>
      </c>
    </row>
    <row r="187">
      <c r="B187" s="110" t="s">
        <v>1004</v>
      </c>
      <c r="C187" s="91" t="s">
        <v>2134</v>
      </c>
      <c r="D187" s="91" t="s">
        <v>1562</v>
      </c>
      <c r="E187" s="138" t="s">
        <v>2135</v>
      </c>
      <c r="F187" s="111" t="s">
        <v>1426</v>
      </c>
      <c r="G187" s="111" t="s">
        <v>2136</v>
      </c>
      <c r="H187" s="111"/>
      <c r="I187" s="136"/>
      <c r="J187" s="82" t="s">
        <v>2137</v>
      </c>
      <c r="K187" s="134" t="s">
        <v>2138</v>
      </c>
    </row>
    <row r="188">
      <c r="B188" s="110" t="s">
        <v>1009</v>
      </c>
      <c r="C188" s="91" t="s">
        <v>1862</v>
      </c>
      <c r="D188" s="91" t="s">
        <v>1569</v>
      </c>
      <c r="E188" s="138" t="s">
        <v>1863</v>
      </c>
      <c r="F188" s="111" t="s">
        <v>1426</v>
      </c>
      <c r="G188" s="111"/>
      <c r="H188" s="111" t="s">
        <v>2139</v>
      </c>
      <c r="I188" s="111" t="s">
        <v>2140</v>
      </c>
      <c r="J188" s="82" t="s">
        <v>2141</v>
      </c>
      <c r="K188" s="134" t="s">
        <v>2142</v>
      </c>
    </row>
    <row r="189">
      <c r="B189" s="110" t="s">
        <v>1013</v>
      </c>
      <c r="C189" s="91" t="s">
        <v>1867</v>
      </c>
      <c r="D189" s="91" t="s">
        <v>1868</v>
      </c>
      <c r="E189" s="138" t="s">
        <v>2143</v>
      </c>
      <c r="F189" s="111" t="s">
        <v>1426</v>
      </c>
      <c r="G189" s="111"/>
      <c r="H189" s="111" t="s">
        <v>2144</v>
      </c>
      <c r="I189" s="111" t="s">
        <v>2145</v>
      </c>
      <c r="J189" s="82" t="s">
        <v>2146</v>
      </c>
      <c r="K189" s="134" t="s">
        <v>2147</v>
      </c>
    </row>
    <row r="190">
      <c r="B190" s="110" t="s">
        <v>1015</v>
      </c>
      <c r="C190" s="91" t="s">
        <v>2148</v>
      </c>
      <c r="D190" s="91" t="s">
        <v>1873</v>
      </c>
      <c r="E190" s="138" t="s">
        <v>2149</v>
      </c>
      <c r="F190" s="111" t="s">
        <v>1426</v>
      </c>
      <c r="G190" s="111"/>
      <c r="H190" s="111" t="s">
        <v>2150</v>
      </c>
      <c r="I190" s="111" t="s">
        <v>2151</v>
      </c>
      <c r="J190" s="82" t="s">
        <v>2152</v>
      </c>
      <c r="K190" s="134" t="s">
        <v>2153</v>
      </c>
    </row>
    <row r="191">
      <c r="B191" s="110" t="s">
        <v>1017</v>
      </c>
      <c r="C191" s="90" t="s">
        <v>2154</v>
      </c>
      <c r="D191" s="90"/>
      <c r="E191" s="138" t="s">
        <v>1702</v>
      </c>
      <c r="F191" s="111" t="s">
        <v>1426</v>
      </c>
      <c r="G191" s="111"/>
      <c r="H191" s="111" t="s">
        <v>2155</v>
      </c>
      <c r="I191" s="111" t="s">
        <v>2156</v>
      </c>
      <c r="J191" s="82" t="s">
        <v>2157</v>
      </c>
      <c r="K191" s="134" t="s">
        <v>2158</v>
      </c>
    </row>
    <row r="192">
      <c r="B192" s="110" t="s">
        <v>2159</v>
      </c>
      <c r="C192" s="90" t="s">
        <v>2160</v>
      </c>
      <c r="D192" s="90"/>
      <c r="E192" s="138" t="s">
        <v>2079</v>
      </c>
      <c r="F192" s="145"/>
      <c r="G192" s="136"/>
      <c r="H192" s="136"/>
      <c r="I192" s="111"/>
      <c r="J192" s="82" t="s">
        <v>2161</v>
      </c>
      <c r="K192" s="134" t="s">
        <v>2162</v>
      </c>
    </row>
    <row r="193">
      <c r="A193" s="84"/>
      <c r="B193" s="110" t="s">
        <v>2163</v>
      </c>
      <c r="C193" s="90" t="s">
        <v>2164</v>
      </c>
      <c r="D193" s="90"/>
      <c r="E193" s="138" t="s">
        <v>2165</v>
      </c>
      <c r="F193" s="145"/>
      <c r="G193" s="111"/>
      <c r="H193" s="111"/>
      <c r="I193" s="111"/>
      <c r="J193" s="140" t="s">
        <v>2166</v>
      </c>
      <c r="K193" s="134" t="s">
        <v>2167</v>
      </c>
    </row>
    <row r="194">
      <c r="A194" s="84"/>
      <c r="B194" s="110" t="s">
        <v>2168</v>
      </c>
      <c r="C194" s="90" t="s">
        <v>2169</v>
      </c>
      <c r="D194" s="90" t="s">
        <v>1593</v>
      </c>
      <c r="E194" s="138" t="s">
        <v>2170</v>
      </c>
      <c r="F194" s="111" t="s">
        <v>1595</v>
      </c>
      <c r="G194" s="111" t="s">
        <v>2171</v>
      </c>
      <c r="H194" s="111"/>
      <c r="I194" s="111"/>
      <c r="J194" s="82" t="s">
        <v>2172</v>
      </c>
      <c r="K194" s="134" t="s">
        <v>2173</v>
      </c>
    </row>
    <row r="195">
      <c r="A195" s="80"/>
      <c r="B195" s="95"/>
      <c r="C195" s="80" t="s">
        <v>709</v>
      </c>
      <c r="E195" s="80" t="s">
        <v>710</v>
      </c>
      <c r="F195" s="80" t="s">
        <v>1353</v>
      </c>
      <c r="G195" s="80" t="s">
        <v>1354</v>
      </c>
      <c r="I195" s="80"/>
      <c r="J195" s="80" t="s">
        <v>714</v>
      </c>
      <c r="K195" s="80"/>
    </row>
    <row r="196">
      <c r="A196" s="83"/>
      <c r="B196" s="128"/>
      <c r="C196" s="83" t="s">
        <v>1355</v>
      </c>
      <c r="D196" s="83" t="s">
        <v>715</v>
      </c>
      <c r="E196" s="83" t="s">
        <v>1356</v>
      </c>
      <c r="F196" s="83" t="s">
        <v>1357</v>
      </c>
      <c r="G196" s="83" t="s">
        <v>1358</v>
      </c>
      <c r="H196" s="83" t="s">
        <v>1359</v>
      </c>
      <c r="I196" s="83" t="s">
        <v>1359</v>
      </c>
      <c r="J196" s="83"/>
      <c r="K196" s="83"/>
    </row>
    <row r="197">
      <c r="A197" s="84" t="s">
        <v>2174</v>
      </c>
      <c r="B197" s="110" t="s">
        <v>2175</v>
      </c>
      <c r="C197" s="91" t="s">
        <v>2176</v>
      </c>
      <c r="D197" s="91" t="s">
        <v>2177</v>
      </c>
      <c r="E197" s="138" t="s">
        <v>1369</v>
      </c>
      <c r="F197" s="139"/>
      <c r="G197" s="136"/>
      <c r="H197" s="136"/>
      <c r="I197" s="136"/>
      <c r="J197" s="82" t="s">
        <v>2178</v>
      </c>
      <c r="K197" s="134" t="s">
        <v>2179</v>
      </c>
    </row>
    <row r="198">
      <c r="B198" s="110" t="s">
        <v>1021</v>
      </c>
      <c r="C198" s="91" t="s">
        <v>2180</v>
      </c>
      <c r="D198" s="91" t="s">
        <v>2181</v>
      </c>
      <c r="E198" s="138" t="s">
        <v>2182</v>
      </c>
      <c r="F198" s="111" t="s">
        <v>1426</v>
      </c>
      <c r="G198" s="111"/>
      <c r="H198" s="111" t="s">
        <v>2183</v>
      </c>
      <c r="I198" s="111" t="s">
        <v>2184</v>
      </c>
      <c r="J198" s="82" t="s">
        <v>2185</v>
      </c>
      <c r="K198" s="134" t="s">
        <v>2186</v>
      </c>
    </row>
    <row r="199">
      <c r="B199" s="110" t="s">
        <v>1027</v>
      </c>
      <c r="C199" s="91" t="s">
        <v>2187</v>
      </c>
      <c r="D199" s="91" t="s">
        <v>1387</v>
      </c>
      <c r="E199" s="138" t="s">
        <v>2188</v>
      </c>
      <c r="F199" s="111" t="s">
        <v>1426</v>
      </c>
      <c r="G199" s="111"/>
      <c r="H199" s="150" t="s">
        <v>2189</v>
      </c>
      <c r="I199" s="111" t="s">
        <v>2190</v>
      </c>
      <c r="J199" s="82" t="s">
        <v>2191</v>
      </c>
      <c r="K199" s="134" t="s">
        <v>2192</v>
      </c>
    </row>
    <row r="200">
      <c r="B200" s="110" t="s">
        <v>1029</v>
      </c>
      <c r="C200" s="91" t="s">
        <v>2193</v>
      </c>
      <c r="D200" s="91" t="s">
        <v>1490</v>
      </c>
      <c r="E200" s="138" t="s">
        <v>2194</v>
      </c>
      <c r="F200" s="111" t="s">
        <v>1426</v>
      </c>
      <c r="G200" s="111"/>
      <c r="H200" s="111" t="s">
        <v>2195</v>
      </c>
      <c r="I200" s="111" t="s">
        <v>2196</v>
      </c>
      <c r="J200" s="82" t="s">
        <v>2197</v>
      </c>
      <c r="K200" s="134" t="s">
        <v>2198</v>
      </c>
    </row>
    <row r="201">
      <c r="B201" s="110" t="s">
        <v>1031</v>
      </c>
      <c r="C201" s="91" t="s">
        <v>2199</v>
      </c>
      <c r="D201" s="91"/>
      <c r="E201" s="138" t="s">
        <v>2200</v>
      </c>
      <c r="F201" s="111" t="s">
        <v>1426</v>
      </c>
      <c r="G201" s="111" t="s">
        <v>2201</v>
      </c>
      <c r="H201" s="111"/>
      <c r="I201" s="111"/>
      <c r="J201" s="82" t="s">
        <v>2109</v>
      </c>
      <c r="K201" s="134" t="s">
        <v>2202</v>
      </c>
    </row>
    <row r="202">
      <c r="B202" s="110" t="s">
        <v>2203</v>
      </c>
      <c r="C202" s="90" t="s">
        <v>2204</v>
      </c>
      <c r="D202" s="90"/>
      <c r="E202" s="138" t="s">
        <v>1451</v>
      </c>
      <c r="F202" s="144"/>
      <c r="G202" s="136"/>
      <c r="H202" s="136"/>
      <c r="I202" s="111"/>
      <c r="J202" s="82" t="s">
        <v>2205</v>
      </c>
      <c r="K202" s="134" t="s">
        <v>2206</v>
      </c>
    </row>
    <row r="203">
      <c r="B203" s="110" t="s">
        <v>2207</v>
      </c>
      <c r="C203" s="90" t="s">
        <v>2208</v>
      </c>
      <c r="D203" s="90"/>
      <c r="E203" s="138" t="s">
        <v>2209</v>
      </c>
      <c r="F203" s="144"/>
      <c r="G203" s="111"/>
      <c r="H203" s="111"/>
      <c r="I203" s="111"/>
      <c r="J203" s="140" t="s">
        <v>2005</v>
      </c>
      <c r="K203" s="134" t="s">
        <v>2210</v>
      </c>
    </row>
    <row r="204">
      <c r="A204" s="84"/>
      <c r="B204" s="110" t="s">
        <v>2211</v>
      </c>
      <c r="C204" s="90" t="s">
        <v>2212</v>
      </c>
      <c r="D204" s="90" t="s">
        <v>1636</v>
      </c>
      <c r="E204" s="138" t="s">
        <v>2213</v>
      </c>
      <c r="F204" s="111" t="s">
        <v>1638</v>
      </c>
      <c r="G204" s="111" t="s">
        <v>2214</v>
      </c>
      <c r="H204" s="136"/>
      <c r="I204" s="111"/>
      <c r="J204" s="82" t="s">
        <v>2215</v>
      </c>
      <c r="K204" s="134" t="s">
        <v>2216</v>
      </c>
    </row>
    <row r="205">
      <c r="A205" s="80"/>
      <c r="B205" s="95"/>
      <c r="C205" s="80" t="s">
        <v>709</v>
      </c>
      <c r="E205" s="80" t="s">
        <v>710</v>
      </c>
      <c r="F205" s="80" t="s">
        <v>1353</v>
      </c>
      <c r="G205" s="80" t="s">
        <v>1354</v>
      </c>
      <c r="I205" s="80"/>
      <c r="J205" s="80" t="s">
        <v>714</v>
      </c>
      <c r="K205" s="80"/>
    </row>
    <row r="206">
      <c r="A206" s="83"/>
      <c r="B206" s="128"/>
      <c r="C206" s="83" t="s">
        <v>1355</v>
      </c>
      <c r="D206" s="83" t="s">
        <v>715</v>
      </c>
      <c r="E206" s="83" t="s">
        <v>1356</v>
      </c>
      <c r="F206" s="83" t="s">
        <v>1357</v>
      </c>
      <c r="G206" s="83" t="s">
        <v>1358</v>
      </c>
      <c r="H206" s="83" t="s">
        <v>1359</v>
      </c>
      <c r="I206" s="83" t="s">
        <v>1359</v>
      </c>
      <c r="J206" s="83"/>
      <c r="K206" s="83"/>
    </row>
    <row r="207">
      <c r="A207" s="84" t="s">
        <v>2217</v>
      </c>
      <c r="B207" s="110" t="s">
        <v>2218</v>
      </c>
      <c r="C207" s="91" t="s">
        <v>2219</v>
      </c>
      <c r="D207" s="91" t="s">
        <v>1645</v>
      </c>
      <c r="E207" s="138" t="s">
        <v>1369</v>
      </c>
      <c r="F207" s="155"/>
      <c r="G207" s="136"/>
      <c r="H207" s="136"/>
      <c r="I207" s="111"/>
      <c r="J207" s="82" t="s">
        <v>2220</v>
      </c>
      <c r="K207" s="134" t="s">
        <v>2221</v>
      </c>
    </row>
    <row r="208">
      <c r="B208" s="110" t="s">
        <v>1034</v>
      </c>
      <c r="C208" s="91" t="s">
        <v>2222</v>
      </c>
      <c r="D208" s="91"/>
      <c r="E208" s="138" t="s">
        <v>2223</v>
      </c>
      <c r="F208" s="111" t="s">
        <v>1426</v>
      </c>
      <c r="G208" s="111" t="s">
        <v>2224</v>
      </c>
      <c r="H208" s="111"/>
      <c r="I208" s="111"/>
      <c r="J208" s="82" t="s">
        <v>2225</v>
      </c>
      <c r="K208" s="134" t="s">
        <v>2226</v>
      </c>
    </row>
    <row r="209">
      <c r="B209" s="110" t="s">
        <v>1038</v>
      </c>
      <c r="C209" s="91" t="s">
        <v>2227</v>
      </c>
      <c r="D209" s="91"/>
      <c r="E209" s="138" t="s">
        <v>2228</v>
      </c>
      <c r="F209" s="111" t="s">
        <v>1426</v>
      </c>
      <c r="G209" s="111" t="s">
        <v>2229</v>
      </c>
      <c r="H209" s="111"/>
      <c r="I209" s="111"/>
      <c r="J209" s="82" t="s">
        <v>2230</v>
      </c>
      <c r="K209" s="134" t="s">
        <v>2231</v>
      </c>
    </row>
    <row r="210">
      <c r="B210" s="110" t="s">
        <v>2232</v>
      </c>
      <c r="C210" s="91" t="s">
        <v>2233</v>
      </c>
      <c r="D210" s="91"/>
      <c r="E210" s="138" t="s">
        <v>2234</v>
      </c>
      <c r="F210" s="111" t="s">
        <v>1426</v>
      </c>
      <c r="G210" s="111"/>
      <c r="H210" s="111" t="s">
        <v>2235</v>
      </c>
      <c r="I210" s="111"/>
      <c r="J210" s="82" t="s">
        <v>2230</v>
      </c>
      <c r="K210" s="134" t="s">
        <v>2236</v>
      </c>
    </row>
    <row r="211">
      <c r="B211" s="110" t="s">
        <v>1039</v>
      </c>
      <c r="C211" s="91" t="s">
        <v>2237</v>
      </c>
      <c r="D211" s="91"/>
      <c r="E211" s="138" t="s">
        <v>1702</v>
      </c>
      <c r="F211" s="111" t="s">
        <v>1426</v>
      </c>
      <c r="G211" s="136"/>
      <c r="H211" s="111" t="s">
        <v>2238</v>
      </c>
      <c r="I211" s="111"/>
      <c r="J211" s="82" t="s">
        <v>2239</v>
      </c>
      <c r="K211" s="134" t="s">
        <v>2240</v>
      </c>
    </row>
    <row r="212">
      <c r="B212" s="110" t="s">
        <v>2241</v>
      </c>
      <c r="C212" s="90" t="s">
        <v>2242</v>
      </c>
      <c r="D212" s="90" t="s">
        <v>2243</v>
      </c>
      <c r="E212" s="138" t="s">
        <v>2244</v>
      </c>
      <c r="F212" s="144"/>
      <c r="G212" s="136"/>
      <c r="H212" s="136"/>
      <c r="I212" s="111"/>
      <c r="J212" s="82" t="s">
        <v>2161</v>
      </c>
      <c r="K212" s="134" t="s">
        <v>2245</v>
      </c>
    </row>
    <row r="213">
      <c r="B213" s="110" t="s">
        <v>2246</v>
      </c>
      <c r="C213" s="90" t="s">
        <v>2247</v>
      </c>
      <c r="D213" s="90"/>
      <c r="E213" s="138" t="s">
        <v>2248</v>
      </c>
      <c r="F213" s="144"/>
      <c r="G213" s="111"/>
      <c r="H213" s="111"/>
      <c r="I213" s="111"/>
      <c r="J213" s="82" t="s">
        <v>2044</v>
      </c>
      <c r="K213" s="134" t="s">
        <v>2249</v>
      </c>
    </row>
    <row r="214">
      <c r="A214" s="84"/>
      <c r="B214" s="110" t="s">
        <v>2250</v>
      </c>
      <c r="C214" s="90" t="s">
        <v>2251</v>
      </c>
      <c r="D214" s="90" t="s">
        <v>1966</v>
      </c>
      <c r="E214" s="138" t="s">
        <v>2252</v>
      </c>
      <c r="F214" s="111" t="s">
        <v>1674</v>
      </c>
      <c r="G214" s="111" t="s">
        <v>2253</v>
      </c>
      <c r="H214" s="111"/>
      <c r="I214" s="111"/>
      <c r="J214" s="82" t="s">
        <v>2254</v>
      </c>
      <c r="K214" s="134" t="s">
        <v>2255</v>
      </c>
    </row>
    <row r="215">
      <c r="A215" s="80"/>
      <c r="B215" s="95"/>
      <c r="C215" s="80" t="s">
        <v>709</v>
      </c>
      <c r="E215" s="80" t="s">
        <v>710</v>
      </c>
      <c r="F215" s="80" t="s">
        <v>1353</v>
      </c>
      <c r="G215" s="80" t="s">
        <v>1354</v>
      </c>
      <c r="I215" s="80"/>
      <c r="J215" s="80" t="s">
        <v>714</v>
      </c>
      <c r="K215" s="80"/>
    </row>
    <row r="216">
      <c r="A216" s="83"/>
      <c r="B216" s="128"/>
      <c r="C216" s="83" t="s">
        <v>1355</v>
      </c>
      <c r="D216" s="83" t="s">
        <v>715</v>
      </c>
      <c r="E216" s="83" t="s">
        <v>1356</v>
      </c>
      <c r="F216" s="83" t="s">
        <v>1357</v>
      </c>
      <c r="G216" s="83" t="s">
        <v>1358</v>
      </c>
      <c r="H216" s="83" t="s">
        <v>1359</v>
      </c>
      <c r="I216" s="83" t="s">
        <v>1359</v>
      </c>
      <c r="J216" s="83"/>
      <c r="K216" s="83"/>
    </row>
    <row r="217">
      <c r="A217" s="84" t="s">
        <v>2256</v>
      </c>
      <c r="B217" s="110" t="s">
        <v>2257</v>
      </c>
      <c r="C217" s="91" t="s">
        <v>2258</v>
      </c>
      <c r="D217" s="91" t="s">
        <v>2259</v>
      </c>
      <c r="E217" s="138" t="s">
        <v>1369</v>
      </c>
      <c r="F217" s="144"/>
      <c r="G217" s="136"/>
      <c r="H217" s="136"/>
      <c r="I217" s="111"/>
      <c r="J217" s="82" t="s">
        <v>2260</v>
      </c>
      <c r="K217" s="134" t="s">
        <v>2261</v>
      </c>
    </row>
    <row r="218">
      <c r="B218" s="110" t="s">
        <v>1041</v>
      </c>
      <c r="C218" s="91" t="s">
        <v>2262</v>
      </c>
      <c r="D218" s="91"/>
      <c r="E218" s="138" t="s">
        <v>1381</v>
      </c>
      <c r="F218" s="111" t="s">
        <v>1426</v>
      </c>
      <c r="G218" s="111"/>
      <c r="H218" s="111" t="s">
        <v>2263</v>
      </c>
      <c r="I218" s="136"/>
      <c r="J218" s="123" t="s">
        <v>2264</v>
      </c>
      <c r="K218" s="134" t="s">
        <v>2265</v>
      </c>
    </row>
    <row r="219">
      <c r="B219" s="110" t="s">
        <v>1046</v>
      </c>
      <c r="C219" s="91" t="s">
        <v>2266</v>
      </c>
      <c r="D219" s="91" t="s">
        <v>2267</v>
      </c>
      <c r="E219" s="138" t="s">
        <v>1978</v>
      </c>
      <c r="F219" s="111" t="s">
        <v>1426</v>
      </c>
      <c r="G219" s="111"/>
      <c r="H219" s="111" t="s">
        <v>2268</v>
      </c>
      <c r="I219" s="111" t="s">
        <v>2269</v>
      </c>
      <c r="J219" s="82" t="s">
        <v>2270</v>
      </c>
      <c r="K219" s="134" t="s">
        <v>2271</v>
      </c>
    </row>
    <row r="220">
      <c r="B220" s="110" t="s">
        <v>1048</v>
      </c>
      <c r="C220" s="91" t="s">
        <v>2272</v>
      </c>
      <c r="D220" s="156"/>
      <c r="E220" s="138" t="s">
        <v>1685</v>
      </c>
      <c r="F220" s="111" t="s">
        <v>1426</v>
      </c>
      <c r="G220" s="111"/>
      <c r="H220" s="111" t="s">
        <v>2273</v>
      </c>
      <c r="I220" s="111" t="s">
        <v>2274</v>
      </c>
      <c r="J220" s="82" t="s">
        <v>2275</v>
      </c>
      <c r="K220" s="134" t="s">
        <v>2276</v>
      </c>
    </row>
    <row r="221">
      <c r="B221" s="110" t="s">
        <v>1050</v>
      </c>
      <c r="C221" s="91" t="s">
        <v>2277</v>
      </c>
      <c r="D221" s="91"/>
      <c r="E221" s="138" t="s">
        <v>2278</v>
      </c>
      <c r="F221" s="111" t="s">
        <v>1426</v>
      </c>
      <c r="G221" s="111"/>
      <c r="H221" s="111" t="s">
        <v>2279</v>
      </c>
      <c r="I221" s="111" t="s">
        <v>2280</v>
      </c>
      <c r="J221" s="82" t="s">
        <v>2281</v>
      </c>
      <c r="K221" s="134" t="s">
        <v>2282</v>
      </c>
    </row>
    <row r="222">
      <c r="B222" s="110" t="s">
        <v>2283</v>
      </c>
      <c r="C222" s="91" t="s">
        <v>1708</v>
      </c>
      <c r="D222" s="91"/>
      <c r="E222" s="86" t="s">
        <v>1451</v>
      </c>
      <c r="F222" s="144"/>
      <c r="G222" s="136"/>
      <c r="H222" s="136"/>
      <c r="I222" s="111"/>
      <c r="J222" s="82" t="s">
        <v>2284</v>
      </c>
      <c r="K222" s="134" t="s">
        <v>2285</v>
      </c>
    </row>
    <row r="223">
      <c r="B223" s="110" t="s">
        <v>2286</v>
      </c>
      <c r="C223" s="91" t="s">
        <v>2287</v>
      </c>
      <c r="D223" s="91"/>
      <c r="E223" s="138" t="s">
        <v>1406</v>
      </c>
      <c r="F223" s="144"/>
      <c r="G223" s="136"/>
      <c r="H223" s="136"/>
      <c r="I223" s="111"/>
      <c r="J223" s="82" t="s">
        <v>2288</v>
      </c>
      <c r="K223" s="134" t="s">
        <v>2289</v>
      </c>
    </row>
    <row r="224">
      <c r="B224" s="110" t="s">
        <v>2290</v>
      </c>
      <c r="C224" s="90" t="s">
        <v>2291</v>
      </c>
      <c r="D224" s="91" t="s">
        <v>1410</v>
      </c>
      <c r="E224" s="138" t="s">
        <v>2292</v>
      </c>
      <c r="F224" s="111" t="s">
        <v>1719</v>
      </c>
      <c r="G224" s="111" t="s">
        <v>2293</v>
      </c>
      <c r="H224" s="111"/>
      <c r="I224" s="111"/>
      <c r="J224" s="82" t="s">
        <v>2294</v>
      </c>
      <c r="K224" s="134" t="s">
        <v>2295</v>
      </c>
    </row>
    <row r="225">
      <c r="A225" s="80"/>
      <c r="B225" s="95"/>
      <c r="C225" s="80" t="s">
        <v>709</v>
      </c>
      <c r="E225" s="80" t="s">
        <v>710</v>
      </c>
      <c r="F225" s="80" t="s">
        <v>1353</v>
      </c>
      <c r="G225" s="80" t="s">
        <v>1354</v>
      </c>
      <c r="I225" s="80"/>
      <c r="J225" s="80" t="s">
        <v>714</v>
      </c>
      <c r="K225" s="80"/>
    </row>
    <row r="226">
      <c r="A226" s="83"/>
      <c r="B226" s="128"/>
      <c r="C226" s="83" t="s">
        <v>1355</v>
      </c>
      <c r="D226" s="83" t="s">
        <v>715</v>
      </c>
      <c r="E226" s="83" t="s">
        <v>1356</v>
      </c>
      <c r="F226" s="83" t="s">
        <v>1357</v>
      </c>
      <c r="G226" s="83" t="s">
        <v>1358</v>
      </c>
      <c r="H226" s="83" t="s">
        <v>1359</v>
      </c>
      <c r="I226" s="83" t="s">
        <v>1359</v>
      </c>
      <c r="J226" s="83"/>
      <c r="K226" s="83"/>
    </row>
    <row r="227">
      <c r="A227" s="84" t="s">
        <v>2296</v>
      </c>
      <c r="B227" s="110" t="s">
        <v>2297</v>
      </c>
      <c r="C227" s="91" t="s">
        <v>2298</v>
      </c>
      <c r="D227" s="91" t="s">
        <v>2299</v>
      </c>
      <c r="E227" s="138" t="s">
        <v>2300</v>
      </c>
      <c r="F227" s="144"/>
      <c r="G227" s="136"/>
      <c r="H227" s="136"/>
      <c r="I227" s="111"/>
      <c r="J227" s="157" t="s">
        <v>2301</v>
      </c>
      <c r="K227" s="134" t="s">
        <v>2302</v>
      </c>
    </row>
    <row r="228">
      <c r="B228" s="110" t="s">
        <v>1053</v>
      </c>
      <c r="C228" s="91" t="s">
        <v>2303</v>
      </c>
      <c r="D228" s="91" t="s">
        <v>2304</v>
      </c>
      <c r="E228" s="138" t="s">
        <v>2305</v>
      </c>
      <c r="F228" s="111" t="s">
        <v>1426</v>
      </c>
      <c r="G228" s="111" t="s">
        <v>2306</v>
      </c>
      <c r="H228" s="111"/>
      <c r="I228" s="111"/>
      <c r="J228" s="82" t="s">
        <v>2307</v>
      </c>
      <c r="K228" s="134" t="s">
        <v>2308</v>
      </c>
    </row>
    <row r="229">
      <c r="B229" s="110" t="s">
        <v>1057</v>
      </c>
      <c r="C229" s="91" t="s">
        <v>2309</v>
      </c>
      <c r="D229" s="91" t="s">
        <v>2310</v>
      </c>
      <c r="E229" s="138" t="s">
        <v>2311</v>
      </c>
      <c r="F229" s="111" t="s">
        <v>1426</v>
      </c>
      <c r="G229" s="111"/>
      <c r="H229" s="111" t="s">
        <v>2312</v>
      </c>
      <c r="I229" s="111"/>
      <c r="J229" s="82" t="s">
        <v>2313</v>
      </c>
      <c r="K229" s="134" t="s">
        <v>2314</v>
      </c>
    </row>
    <row r="230">
      <c r="B230" s="110" t="s">
        <v>1060</v>
      </c>
      <c r="C230" s="91" t="s">
        <v>2315</v>
      </c>
      <c r="D230" s="91" t="s">
        <v>2316</v>
      </c>
      <c r="E230" s="138" t="s">
        <v>1741</v>
      </c>
      <c r="F230" s="111" t="s">
        <v>1426</v>
      </c>
      <c r="G230" s="111"/>
      <c r="H230" s="111" t="s">
        <v>2317</v>
      </c>
      <c r="I230" s="111" t="s">
        <v>2318</v>
      </c>
      <c r="J230" s="82" t="s">
        <v>2319</v>
      </c>
      <c r="K230" s="134" t="s">
        <v>2320</v>
      </c>
    </row>
    <row r="231">
      <c r="B231" s="110" t="s">
        <v>1061</v>
      </c>
      <c r="C231" s="91" t="s">
        <v>2321</v>
      </c>
      <c r="D231" s="91" t="s">
        <v>1746</v>
      </c>
      <c r="E231" s="138" t="s">
        <v>1702</v>
      </c>
      <c r="F231" s="111" t="s">
        <v>1426</v>
      </c>
      <c r="G231" s="111"/>
      <c r="H231" s="111" t="s">
        <v>2322</v>
      </c>
      <c r="I231" s="111" t="s">
        <v>2323</v>
      </c>
      <c r="J231" s="82" t="s">
        <v>2324</v>
      </c>
      <c r="K231" s="134" t="s">
        <v>2325</v>
      </c>
    </row>
    <row r="232">
      <c r="B232" s="110" t="s">
        <v>2326</v>
      </c>
      <c r="C232" s="91" t="s">
        <v>2327</v>
      </c>
      <c r="D232" s="91" t="s">
        <v>2328</v>
      </c>
      <c r="E232" s="86" t="s">
        <v>1451</v>
      </c>
      <c r="F232" s="144"/>
      <c r="G232" s="136"/>
      <c r="H232" s="136"/>
      <c r="I232" s="111"/>
      <c r="J232" s="82" t="s">
        <v>2329</v>
      </c>
      <c r="K232" s="134" t="s">
        <v>2330</v>
      </c>
    </row>
    <row r="233">
      <c r="B233" s="110" t="s">
        <v>2331</v>
      </c>
      <c r="C233" s="91" t="s">
        <v>2332</v>
      </c>
      <c r="D233" s="91" t="s">
        <v>217</v>
      </c>
      <c r="E233" s="138" t="s">
        <v>1455</v>
      </c>
      <c r="F233" s="111"/>
      <c r="G233" s="136"/>
      <c r="H233" s="136"/>
      <c r="I233" s="111"/>
      <c r="J233" s="82" t="s">
        <v>2333</v>
      </c>
      <c r="K233" s="134" t="s">
        <v>2334</v>
      </c>
    </row>
    <row r="234">
      <c r="B234" s="110" t="s">
        <v>2335</v>
      </c>
      <c r="C234" s="90" t="s">
        <v>2336</v>
      </c>
      <c r="D234" s="90" t="s">
        <v>1459</v>
      </c>
      <c r="E234" s="138" t="s">
        <v>2337</v>
      </c>
      <c r="F234" s="111" t="s">
        <v>1461</v>
      </c>
      <c r="G234" s="111" t="s">
        <v>2338</v>
      </c>
      <c r="H234" s="111"/>
      <c r="I234" s="111"/>
      <c r="J234" s="149" t="s">
        <v>2339</v>
      </c>
      <c r="K234" s="134" t="s">
        <v>2340</v>
      </c>
    </row>
    <row r="235">
      <c r="A235" s="80"/>
      <c r="B235" s="95"/>
      <c r="C235" s="80" t="s">
        <v>709</v>
      </c>
      <c r="E235" s="80" t="s">
        <v>710</v>
      </c>
      <c r="F235" s="80" t="s">
        <v>1353</v>
      </c>
      <c r="G235" s="80" t="s">
        <v>1354</v>
      </c>
      <c r="I235" s="80"/>
      <c r="J235" s="80" t="s">
        <v>714</v>
      </c>
      <c r="K235" s="80"/>
    </row>
    <row r="236">
      <c r="A236" s="83"/>
      <c r="B236" s="128"/>
      <c r="C236" s="83" t="s">
        <v>1355</v>
      </c>
      <c r="D236" s="83" t="s">
        <v>715</v>
      </c>
      <c r="E236" s="83" t="s">
        <v>1356</v>
      </c>
      <c r="F236" s="83" t="s">
        <v>1357</v>
      </c>
      <c r="G236" s="83" t="s">
        <v>1358</v>
      </c>
      <c r="H236" s="83" t="s">
        <v>1359</v>
      </c>
      <c r="I236" s="83" t="s">
        <v>1359</v>
      </c>
      <c r="J236" s="83"/>
      <c r="K236" s="83"/>
    </row>
    <row r="237">
      <c r="A237" s="84" t="s">
        <v>2341</v>
      </c>
      <c r="B237" s="110" t="s">
        <v>2342</v>
      </c>
      <c r="C237" s="91" t="s">
        <v>2343</v>
      </c>
      <c r="D237" s="91" t="s">
        <v>1772</v>
      </c>
      <c r="E237" s="138" t="s">
        <v>1369</v>
      </c>
      <c r="F237" s="144"/>
      <c r="G237" s="136"/>
      <c r="H237" s="136"/>
      <c r="I237" s="136"/>
      <c r="J237" s="82" t="s">
        <v>2344</v>
      </c>
      <c r="K237" s="134" t="s">
        <v>2345</v>
      </c>
    </row>
    <row r="238">
      <c r="B238" s="110" t="s">
        <v>1064</v>
      </c>
      <c r="C238" s="91" t="s">
        <v>2346</v>
      </c>
      <c r="D238" s="91" t="s">
        <v>2347</v>
      </c>
      <c r="E238" s="138" t="s">
        <v>1381</v>
      </c>
      <c r="F238" s="144"/>
      <c r="G238" s="111"/>
      <c r="H238" s="111" t="s">
        <v>2348</v>
      </c>
      <c r="I238" s="136"/>
      <c r="J238" s="82" t="s">
        <v>2349</v>
      </c>
      <c r="K238" s="134" t="s">
        <v>2350</v>
      </c>
    </row>
    <row r="239">
      <c r="B239" s="110" t="s">
        <v>1069</v>
      </c>
      <c r="C239" s="91" t="s">
        <v>2351</v>
      </c>
      <c r="D239" s="91" t="s">
        <v>2352</v>
      </c>
      <c r="E239" s="138" t="s">
        <v>1782</v>
      </c>
      <c r="F239" s="144"/>
      <c r="G239" s="111"/>
      <c r="H239" s="111" t="s">
        <v>2353</v>
      </c>
      <c r="I239" s="136"/>
      <c r="J239" s="82" t="s">
        <v>2354</v>
      </c>
      <c r="K239" s="134" t="s">
        <v>2355</v>
      </c>
    </row>
    <row r="240">
      <c r="B240" s="110" t="s">
        <v>1071</v>
      </c>
      <c r="C240" s="91" t="s">
        <v>2356</v>
      </c>
      <c r="D240" s="91" t="s">
        <v>1788</v>
      </c>
      <c r="E240" s="138" t="s">
        <v>1741</v>
      </c>
      <c r="F240" s="144"/>
      <c r="G240" s="111"/>
      <c r="H240" s="111" t="s">
        <v>2357</v>
      </c>
      <c r="I240" s="111" t="s">
        <v>2358</v>
      </c>
      <c r="J240" s="82" t="s">
        <v>2359</v>
      </c>
      <c r="K240" s="134" t="s">
        <v>2360</v>
      </c>
    </row>
    <row r="241">
      <c r="B241" s="110" t="s">
        <v>1073</v>
      </c>
      <c r="C241" s="91" t="s">
        <v>2361</v>
      </c>
      <c r="D241" s="91" t="s">
        <v>1490</v>
      </c>
      <c r="E241" s="138" t="s">
        <v>1702</v>
      </c>
      <c r="F241" s="144"/>
      <c r="G241" s="111"/>
      <c r="H241" s="111" t="s">
        <v>2362</v>
      </c>
      <c r="I241" s="111" t="s">
        <v>2363</v>
      </c>
      <c r="J241" s="82" t="s">
        <v>2364</v>
      </c>
      <c r="K241" s="134" t="s">
        <v>2365</v>
      </c>
    </row>
    <row r="242">
      <c r="B242" s="110" t="s">
        <v>2366</v>
      </c>
      <c r="C242" s="90" t="s">
        <v>2367</v>
      </c>
      <c r="D242" s="90"/>
      <c r="E242" s="138" t="s">
        <v>2079</v>
      </c>
      <c r="F242" s="144"/>
      <c r="G242" s="136"/>
      <c r="H242" s="136"/>
      <c r="I242" s="111"/>
      <c r="J242" s="82" t="s">
        <v>2284</v>
      </c>
      <c r="K242" s="134" t="s">
        <v>2368</v>
      </c>
    </row>
    <row r="243">
      <c r="B243" s="110" t="s">
        <v>2369</v>
      </c>
      <c r="C243" s="91" t="s">
        <v>1405</v>
      </c>
      <c r="D243" s="91"/>
      <c r="E243" s="138" t="s">
        <v>2248</v>
      </c>
      <c r="F243" s="144"/>
      <c r="G243" s="136"/>
      <c r="H243" s="136"/>
      <c r="I243" s="111"/>
      <c r="J243" s="82" t="s">
        <v>2370</v>
      </c>
      <c r="K243" s="134" t="s">
        <v>2371</v>
      </c>
    </row>
    <row r="244">
      <c r="B244" s="110" t="s">
        <v>2372</v>
      </c>
      <c r="C244" s="91" t="s">
        <v>2373</v>
      </c>
      <c r="D244" s="91" t="s">
        <v>2374</v>
      </c>
      <c r="E244" s="138" t="s">
        <v>2375</v>
      </c>
      <c r="F244" s="144" t="s">
        <v>1502</v>
      </c>
      <c r="G244" s="111" t="s">
        <v>2376</v>
      </c>
      <c r="H244" s="111"/>
      <c r="I244" s="111"/>
      <c r="J244" s="82" t="s">
        <v>2377</v>
      </c>
      <c r="K244" s="134" t="s">
        <v>2378</v>
      </c>
    </row>
    <row r="245">
      <c r="B245" s="158"/>
      <c r="C245" s="90"/>
      <c r="D245" s="90"/>
      <c r="E245" s="138"/>
      <c r="F245" s="144"/>
      <c r="G245" s="111"/>
      <c r="H245" s="111"/>
      <c r="I245" s="111"/>
      <c r="J245" s="82"/>
      <c r="K245" s="134"/>
    </row>
    <row r="246">
      <c r="A246" s="80"/>
      <c r="B246" s="95"/>
      <c r="C246" s="80" t="s">
        <v>709</v>
      </c>
      <c r="E246" s="80" t="s">
        <v>710</v>
      </c>
      <c r="F246" s="80" t="s">
        <v>1353</v>
      </c>
      <c r="G246" s="80" t="s">
        <v>1354</v>
      </c>
      <c r="I246" s="80"/>
      <c r="J246" s="80" t="s">
        <v>714</v>
      </c>
      <c r="K246" s="80"/>
    </row>
    <row r="247">
      <c r="A247" s="83"/>
      <c r="B247" s="128"/>
      <c r="C247" s="83" t="s">
        <v>1355</v>
      </c>
      <c r="D247" s="83" t="s">
        <v>715</v>
      </c>
      <c r="E247" s="83" t="s">
        <v>1356</v>
      </c>
      <c r="F247" s="83" t="s">
        <v>1357</v>
      </c>
      <c r="G247" s="83" t="s">
        <v>1358</v>
      </c>
      <c r="H247" s="83" t="s">
        <v>1359</v>
      </c>
      <c r="I247" s="83" t="s">
        <v>1359</v>
      </c>
      <c r="J247" s="83"/>
      <c r="K247" s="83"/>
    </row>
    <row r="248">
      <c r="A248" s="84" t="s">
        <v>2379</v>
      </c>
      <c r="B248" s="110" t="s">
        <v>2380</v>
      </c>
      <c r="C248" s="90" t="s">
        <v>2381</v>
      </c>
      <c r="D248" s="90" t="s">
        <v>1509</v>
      </c>
      <c r="E248" s="138"/>
      <c r="F248" s="144"/>
      <c r="G248" s="136"/>
      <c r="H248" s="136"/>
      <c r="I248" s="136"/>
      <c r="J248" s="82" t="s">
        <v>2382</v>
      </c>
      <c r="K248" s="134" t="s">
        <v>2383</v>
      </c>
    </row>
    <row r="249">
      <c r="B249" s="110" t="s">
        <v>1075</v>
      </c>
      <c r="C249" s="90" t="s">
        <v>2384</v>
      </c>
      <c r="D249" s="90"/>
      <c r="E249" s="138" t="s">
        <v>2385</v>
      </c>
      <c r="F249" s="111" t="s">
        <v>1426</v>
      </c>
      <c r="G249" s="111" t="s">
        <v>2386</v>
      </c>
      <c r="H249" s="111"/>
      <c r="I249" s="111"/>
      <c r="J249" s="82" t="s">
        <v>2387</v>
      </c>
      <c r="K249" s="134" t="s">
        <v>2388</v>
      </c>
    </row>
    <row r="250">
      <c r="B250" s="110" t="s">
        <v>1080</v>
      </c>
      <c r="C250" s="90" t="s">
        <v>2389</v>
      </c>
      <c r="D250" s="90"/>
      <c r="E250" s="138" t="s">
        <v>2390</v>
      </c>
      <c r="F250" s="111" t="s">
        <v>1426</v>
      </c>
      <c r="G250" s="111"/>
      <c r="H250" s="111" t="s">
        <v>2391</v>
      </c>
      <c r="I250" s="111"/>
      <c r="J250" s="82" t="s">
        <v>2387</v>
      </c>
      <c r="K250" s="134" t="s">
        <v>2392</v>
      </c>
    </row>
    <row r="251">
      <c r="B251" s="110" t="s">
        <v>1081</v>
      </c>
      <c r="C251" s="90" t="s">
        <v>2393</v>
      </c>
      <c r="D251" s="90"/>
      <c r="E251" s="138" t="s">
        <v>1685</v>
      </c>
      <c r="F251" s="111" t="s">
        <v>1426</v>
      </c>
      <c r="G251" s="111"/>
      <c r="H251" s="111" t="s">
        <v>2394</v>
      </c>
      <c r="I251" s="111"/>
      <c r="J251" s="82" t="s">
        <v>2387</v>
      </c>
      <c r="K251" s="134" t="s">
        <v>2395</v>
      </c>
    </row>
    <row r="252">
      <c r="B252" s="110" t="s">
        <v>1083</v>
      </c>
      <c r="C252" s="90" t="s">
        <v>2396</v>
      </c>
      <c r="D252" s="90"/>
      <c r="E252" s="138" t="s">
        <v>2397</v>
      </c>
      <c r="F252" s="111" t="s">
        <v>1426</v>
      </c>
      <c r="G252" s="111"/>
      <c r="H252" s="111" t="s">
        <v>2398</v>
      </c>
      <c r="I252" s="111"/>
      <c r="J252" s="82" t="s">
        <v>2399</v>
      </c>
      <c r="K252" s="134" t="s">
        <v>2400</v>
      </c>
    </row>
    <row r="253">
      <c r="B253" s="110" t="s">
        <v>2401</v>
      </c>
      <c r="C253" s="90" t="s">
        <v>2367</v>
      </c>
      <c r="D253" s="90" t="s">
        <v>2402</v>
      </c>
      <c r="E253" s="138" t="s">
        <v>2403</v>
      </c>
      <c r="F253" s="144"/>
      <c r="G253" s="136"/>
      <c r="H253" s="136"/>
      <c r="I253" s="111"/>
      <c r="J253" s="82" t="s">
        <v>2404</v>
      </c>
      <c r="K253" s="134" t="s">
        <v>2405</v>
      </c>
    </row>
    <row r="254">
      <c r="B254" s="110" t="s">
        <v>2406</v>
      </c>
      <c r="C254" s="90" t="s">
        <v>2407</v>
      </c>
      <c r="D254" s="90" t="s">
        <v>1538</v>
      </c>
      <c r="E254" s="138" t="s">
        <v>2408</v>
      </c>
      <c r="F254" s="144"/>
      <c r="G254" s="111"/>
      <c r="H254" s="111"/>
      <c r="I254" s="111"/>
      <c r="J254" s="123" t="s">
        <v>2409</v>
      </c>
      <c r="K254" s="134" t="s">
        <v>2410</v>
      </c>
    </row>
    <row r="255">
      <c r="B255" s="110" t="s">
        <v>2411</v>
      </c>
      <c r="C255" s="90" t="s">
        <v>2412</v>
      </c>
      <c r="D255" s="90"/>
      <c r="E255" s="138" t="s">
        <v>2413</v>
      </c>
      <c r="F255" s="145"/>
      <c r="G255" s="136"/>
      <c r="H255" s="136"/>
      <c r="I255" s="111"/>
      <c r="J255" s="140" t="s">
        <v>2414</v>
      </c>
      <c r="K255" s="134" t="s">
        <v>2415</v>
      </c>
    </row>
    <row r="256">
      <c r="B256" s="110" t="s">
        <v>2416</v>
      </c>
      <c r="C256" s="90" t="s">
        <v>2417</v>
      </c>
      <c r="D256" s="90" t="s">
        <v>2418</v>
      </c>
      <c r="E256" s="138" t="s">
        <v>2419</v>
      </c>
      <c r="F256" s="111" t="s">
        <v>1551</v>
      </c>
      <c r="G256" s="111" t="s">
        <v>2420</v>
      </c>
      <c r="H256" s="111"/>
      <c r="I256" s="111"/>
      <c r="J256" s="82" t="s">
        <v>2421</v>
      </c>
      <c r="K256" s="134" t="s">
        <v>2422</v>
      </c>
    </row>
    <row r="257">
      <c r="A257" s="80"/>
      <c r="B257" s="95"/>
      <c r="C257" s="80" t="s">
        <v>709</v>
      </c>
      <c r="E257" s="80" t="s">
        <v>710</v>
      </c>
      <c r="F257" s="80" t="s">
        <v>1353</v>
      </c>
      <c r="G257" s="80" t="s">
        <v>1354</v>
      </c>
      <c r="I257" s="80"/>
      <c r="J257" s="80" t="s">
        <v>714</v>
      </c>
      <c r="K257" s="80"/>
    </row>
    <row r="258">
      <c r="A258" s="83"/>
      <c r="B258" s="128"/>
      <c r="C258" s="83" t="s">
        <v>1355</v>
      </c>
      <c r="D258" s="83" t="s">
        <v>715</v>
      </c>
      <c r="E258" s="83" t="s">
        <v>1356</v>
      </c>
      <c r="F258" s="83" t="s">
        <v>1357</v>
      </c>
      <c r="G258" s="83" t="s">
        <v>1358</v>
      </c>
      <c r="H258" s="83" t="s">
        <v>1359</v>
      </c>
      <c r="I258" s="83" t="s">
        <v>1359</v>
      </c>
      <c r="J258" s="83"/>
      <c r="K258" s="83"/>
    </row>
    <row r="259">
      <c r="A259" s="84" t="s">
        <v>2423</v>
      </c>
      <c r="B259" s="110" t="s">
        <v>2424</v>
      </c>
      <c r="C259" s="90" t="s">
        <v>2425</v>
      </c>
      <c r="D259" s="90" t="s">
        <v>1558</v>
      </c>
      <c r="E259" s="138" t="s">
        <v>1510</v>
      </c>
      <c r="F259" s="144"/>
      <c r="G259" s="159"/>
      <c r="H259" s="136"/>
      <c r="I259" s="136"/>
      <c r="J259" s="82" t="s">
        <v>2426</v>
      </c>
      <c r="K259" s="134" t="s">
        <v>2427</v>
      </c>
    </row>
    <row r="260">
      <c r="B260" s="110" t="s">
        <v>1088</v>
      </c>
      <c r="C260" s="90" t="s">
        <v>2428</v>
      </c>
      <c r="D260" s="90" t="s">
        <v>1562</v>
      </c>
      <c r="E260" s="138" t="s">
        <v>2135</v>
      </c>
      <c r="F260" s="111" t="s">
        <v>1426</v>
      </c>
      <c r="G260" s="111" t="s">
        <v>2429</v>
      </c>
      <c r="H260" s="111"/>
      <c r="I260" s="136"/>
      <c r="J260" s="82" t="s">
        <v>2430</v>
      </c>
      <c r="K260" s="134" t="s">
        <v>2431</v>
      </c>
    </row>
    <row r="261">
      <c r="B261" s="110" t="s">
        <v>1093</v>
      </c>
      <c r="C261" s="90" t="s">
        <v>2432</v>
      </c>
      <c r="D261" s="90" t="s">
        <v>1569</v>
      </c>
      <c r="E261" s="138" t="s">
        <v>2433</v>
      </c>
      <c r="F261" s="111" t="s">
        <v>1426</v>
      </c>
      <c r="G261" s="111"/>
      <c r="H261" s="111" t="s">
        <v>2434</v>
      </c>
      <c r="I261" s="111" t="s">
        <v>2435</v>
      </c>
      <c r="J261" s="82" t="s">
        <v>2436</v>
      </c>
      <c r="K261" s="134" t="s">
        <v>2437</v>
      </c>
    </row>
    <row r="262">
      <c r="B262" s="110" t="s">
        <v>1096</v>
      </c>
      <c r="C262" s="90" t="s">
        <v>2438</v>
      </c>
      <c r="D262" s="90" t="s">
        <v>1868</v>
      </c>
      <c r="E262" s="138" t="s">
        <v>1685</v>
      </c>
      <c r="F262" s="111" t="s">
        <v>1426</v>
      </c>
      <c r="G262" s="111"/>
      <c r="H262" s="111" t="s">
        <v>2439</v>
      </c>
      <c r="I262" s="111" t="s">
        <v>2440</v>
      </c>
      <c r="J262" s="82" t="s">
        <v>2441</v>
      </c>
      <c r="K262" s="134" t="s">
        <v>2442</v>
      </c>
    </row>
    <row r="263">
      <c r="B263" s="110" t="s">
        <v>1098</v>
      </c>
      <c r="C263" s="90" t="s">
        <v>2443</v>
      </c>
      <c r="D263" s="90" t="s">
        <v>2444</v>
      </c>
      <c r="E263" s="138" t="s">
        <v>1685</v>
      </c>
      <c r="F263" s="111" t="s">
        <v>1426</v>
      </c>
      <c r="G263" s="111" t="s">
        <v>2445</v>
      </c>
      <c r="H263" s="111" t="s">
        <v>2446</v>
      </c>
      <c r="I263" s="111"/>
      <c r="J263" s="82" t="s">
        <v>2447</v>
      </c>
      <c r="K263" s="134" t="s">
        <v>2448</v>
      </c>
    </row>
    <row r="264">
      <c r="B264" s="110" t="s">
        <v>1100</v>
      </c>
      <c r="C264" s="90" t="s">
        <v>2449</v>
      </c>
      <c r="D264" s="90"/>
      <c r="E264" s="138" t="s">
        <v>1685</v>
      </c>
      <c r="F264" s="111" t="s">
        <v>1426</v>
      </c>
      <c r="G264" s="111"/>
      <c r="H264" s="111" t="s">
        <v>2450</v>
      </c>
      <c r="I264" s="111" t="s">
        <v>2451</v>
      </c>
      <c r="J264" s="82" t="s">
        <v>2452</v>
      </c>
      <c r="K264" s="134" t="s">
        <v>2453</v>
      </c>
    </row>
    <row r="265">
      <c r="B265" s="110" t="s">
        <v>1102</v>
      </c>
      <c r="C265" s="90" t="s">
        <v>2454</v>
      </c>
      <c r="D265" s="90"/>
      <c r="E265" s="138" t="s">
        <v>1702</v>
      </c>
      <c r="F265" s="111" t="s">
        <v>1426</v>
      </c>
      <c r="G265" s="111"/>
      <c r="H265" s="111" t="s">
        <v>2455</v>
      </c>
      <c r="I265" s="111" t="s">
        <v>2456</v>
      </c>
      <c r="J265" s="82" t="s">
        <v>2457</v>
      </c>
      <c r="K265" s="134" t="s">
        <v>2458</v>
      </c>
    </row>
    <row r="266">
      <c r="B266" s="110" t="s">
        <v>2459</v>
      </c>
      <c r="C266" s="90" t="s">
        <v>2460</v>
      </c>
      <c r="D266" s="90"/>
      <c r="E266" s="138" t="s">
        <v>2079</v>
      </c>
      <c r="F266" s="144"/>
      <c r="G266" s="136"/>
      <c r="H266" s="136"/>
      <c r="I266" s="111"/>
      <c r="J266" s="82" t="s">
        <v>2461</v>
      </c>
      <c r="K266" s="134" t="s">
        <v>2462</v>
      </c>
    </row>
    <row r="267">
      <c r="B267" s="110" t="s">
        <v>2463</v>
      </c>
      <c r="C267" s="90" t="s">
        <v>2464</v>
      </c>
      <c r="D267" s="90"/>
      <c r="E267" s="138" t="s">
        <v>1888</v>
      </c>
      <c r="F267" s="145"/>
      <c r="G267" s="136"/>
      <c r="H267" s="136"/>
      <c r="I267" s="111"/>
      <c r="J267" s="82" t="s">
        <v>2465</v>
      </c>
      <c r="K267" s="134" t="s">
        <v>2466</v>
      </c>
    </row>
    <row r="268">
      <c r="B268" s="110" t="s">
        <v>2467</v>
      </c>
      <c r="C268" s="90" t="s">
        <v>2468</v>
      </c>
      <c r="D268" s="90" t="s">
        <v>1593</v>
      </c>
      <c r="E268" s="138" t="s">
        <v>2469</v>
      </c>
      <c r="F268" s="111" t="s">
        <v>1595</v>
      </c>
      <c r="G268" s="111" t="s">
        <v>2470</v>
      </c>
      <c r="H268" s="111"/>
      <c r="I268" s="111"/>
      <c r="J268" s="82" t="s">
        <v>2471</v>
      </c>
      <c r="K268" s="134" t="s">
        <v>2472</v>
      </c>
    </row>
    <row r="269">
      <c r="A269" s="80"/>
      <c r="B269" s="95"/>
      <c r="C269" s="80" t="s">
        <v>709</v>
      </c>
      <c r="E269" s="80" t="s">
        <v>710</v>
      </c>
      <c r="F269" s="80" t="s">
        <v>1353</v>
      </c>
      <c r="G269" s="80" t="s">
        <v>1354</v>
      </c>
      <c r="I269" s="80"/>
      <c r="J269" s="80" t="s">
        <v>714</v>
      </c>
      <c r="K269" s="80"/>
    </row>
    <row r="270">
      <c r="A270" s="83"/>
      <c r="B270" s="128"/>
      <c r="C270" s="83" t="s">
        <v>1355</v>
      </c>
      <c r="D270" s="83" t="s">
        <v>715</v>
      </c>
      <c r="E270" s="83" t="s">
        <v>1356</v>
      </c>
      <c r="F270" s="83" t="s">
        <v>1357</v>
      </c>
      <c r="G270" s="83" t="s">
        <v>1358</v>
      </c>
      <c r="H270" s="83" t="s">
        <v>1359</v>
      </c>
      <c r="I270" s="83" t="s">
        <v>1359</v>
      </c>
      <c r="J270" s="83"/>
      <c r="K270" s="83"/>
    </row>
    <row r="271">
      <c r="A271" s="84" t="s">
        <v>2473</v>
      </c>
      <c r="B271" s="110" t="s">
        <v>2474</v>
      </c>
      <c r="C271" s="90" t="s">
        <v>2475</v>
      </c>
      <c r="D271" s="90" t="s">
        <v>1602</v>
      </c>
      <c r="E271" s="138" t="s">
        <v>1510</v>
      </c>
      <c r="F271" s="87"/>
      <c r="G271" s="136"/>
      <c r="H271" s="136"/>
      <c r="I271" s="136"/>
      <c r="J271" s="82" t="s">
        <v>2476</v>
      </c>
      <c r="K271" s="134" t="s">
        <v>2477</v>
      </c>
    </row>
    <row r="272">
      <c r="B272" s="110" t="s">
        <v>1105</v>
      </c>
      <c r="C272" s="90" t="s">
        <v>2478</v>
      </c>
      <c r="D272" s="90"/>
      <c r="E272" s="138" t="s">
        <v>1685</v>
      </c>
      <c r="F272" s="111" t="s">
        <v>1426</v>
      </c>
      <c r="G272" s="111" t="s">
        <v>2479</v>
      </c>
      <c r="H272" s="111"/>
      <c r="I272" s="136"/>
      <c r="J272" s="82" t="s">
        <v>2480</v>
      </c>
      <c r="K272" s="134" t="s">
        <v>2481</v>
      </c>
    </row>
    <row r="273">
      <c r="B273" s="110" t="s">
        <v>1110</v>
      </c>
      <c r="C273" s="90" t="s">
        <v>2482</v>
      </c>
      <c r="D273" s="90" t="s">
        <v>2483</v>
      </c>
      <c r="E273" s="138" t="s">
        <v>2484</v>
      </c>
      <c r="F273" s="111" t="s">
        <v>1426</v>
      </c>
      <c r="G273" s="111"/>
      <c r="H273" s="111" t="s">
        <v>2485</v>
      </c>
      <c r="I273" s="111"/>
      <c r="J273" s="82" t="s">
        <v>2275</v>
      </c>
      <c r="K273" s="134" t="s">
        <v>2486</v>
      </c>
    </row>
    <row r="274">
      <c r="B274" s="110" t="s">
        <v>1112</v>
      </c>
      <c r="C274" s="90" t="s">
        <v>2487</v>
      </c>
      <c r="D274" s="90"/>
      <c r="E274" s="138" t="s">
        <v>1685</v>
      </c>
      <c r="F274" s="111" t="s">
        <v>1426</v>
      </c>
      <c r="G274" s="111"/>
      <c r="H274" s="111" t="s">
        <v>2488</v>
      </c>
      <c r="I274" s="111"/>
      <c r="J274" s="82" t="s">
        <v>2480</v>
      </c>
      <c r="K274" s="134" t="s">
        <v>2489</v>
      </c>
    </row>
    <row r="275">
      <c r="B275" s="110" t="s">
        <v>1115</v>
      </c>
      <c r="C275" s="90" t="s">
        <v>2490</v>
      </c>
      <c r="D275" s="90"/>
      <c r="E275" s="138" t="s">
        <v>2491</v>
      </c>
      <c r="F275" s="111" t="s">
        <v>1426</v>
      </c>
      <c r="G275" s="111"/>
      <c r="H275" s="111" t="s">
        <v>2492</v>
      </c>
      <c r="I275" s="111"/>
      <c r="J275" s="82" t="s">
        <v>2399</v>
      </c>
      <c r="K275" s="134" t="s">
        <v>2493</v>
      </c>
    </row>
    <row r="276">
      <c r="B276" s="110" t="s">
        <v>2494</v>
      </c>
      <c r="C276" s="90" t="s">
        <v>2495</v>
      </c>
      <c r="D276" s="90"/>
      <c r="E276" s="138" t="s">
        <v>1451</v>
      </c>
      <c r="F276" s="111"/>
      <c r="G276" s="136"/>
      <c r="H276" s="136"/>
      <c r="I276" s="111"/>
      <c r="J276" s="82" t="s">
        <v>2496</v>
      </c>
      <c r="K276" s="134" t="s">
        <v>2497</v>
      </c>
    </row>
    <row r="277">
      <c r="B277" s="110" t="s">
        <v>2498</v>
      </c>
      <c r="C277" s="90" t="s">
        <v>2499</v>
      </c>
      <c r="D277" s="90"/>
      <c r="E277" s="138" t="s">
        <v>2209</v>
      </c>
      <c r="F277" s="111"/>
      <c r="G277" s="111"/>
      <c r="H277" s="111"/>
      <c r="I277" s="111"/>
      <c r="J277" s="140" t="s">
        <v>2370</v>
      </c>
      <c r="K277" s="134" t="s">
        <v>2500</v>
      </c>
    </row>
    <row r="278">
      <c r="B278" s="110" t="s">
        <v>2501</v>
      </c>
      <c r="C278" s="90" t="s">
        <v>2502</v>
      </c>
      <c r="D278" s="90" t="s">
        <v>2503</v>
      </c>
      <c r="E278" s="138" t="s">
        <v>2504</v>
      </c>
      <c r="F278" s="111" t="s">
        <v>1638</v>
      </c>
      <c r="G278" s="111" t="s">
        <v>2505</v>
      </c>
      <c r="H278" s="111"/>
      <c r="I278" s="111"/>
      <c r="J278" s="149" t="s">
        <v>2506</v>
      </c>
      <c r="K278" s="134" t="s">
        <v>2507</v>
      </c>
    </row>
    <row r="279">
      <c r="A279" s="80"/>
      <c r="B279" s="95"/>
      <c r="C279" s="80" t="s">
        <v>709</v>
      </c>
      <c r="E279" s="80" t="s">
        <v>710</v>
      </c>
      <c r="F279" s="80" t="s">
        <v>1353</v>
      </c>
      <c r="G279" s="80" t="s">
        <v>1354</v>
      </c>
      <c r="I279" s="80"/>
      <c r="J279" s="80" t="s">
        <v>714</v>
      </c>
      <c r="K279" s="80"/>
    </row>
    <row r="280">
      <c r="A280" s="83"/>
      <c r="B280" s="128"/>
      <c r="C280" s="83" t="s">
        <v>1355</v>
      </c>
      <c r="D280" s="83" t="s">
        <v>715</v>
      </c>
      <c r="E280" s="83" t="s">
        <v>1356</v>
      </c>
      <c r="F280" s="83" t="s">
        <v>1357</v>
      </c>
      <c r="G280" s="83" t="s">
        <v>1358</v>
      </c>
      <c r="H280" s="83" t="s">
        <v>1359</v>
      </c>
      <c r="I280" s="83" t="s">
        <v>1359</v>
      </c>
      <c r="J280" s="83"/>
      <c r="K280" s="83"/>
    </row>
    <row r="281">
      <c r="A281" s="84" t="s">
        <v>2508</v>
      </c>
      <c r="B281" s="110" t="s">
        <v>2509</v>
      </c>
      <c r="C281" s="90" t="s">
        <v>2510</v>
      </c>
      <c r="D281" s="90" t="s">
        <v>1645</v>
      </c>
      <c r="E281" s="138" t="s">
        <v>1421</v>
      </c>
      <c r="F281" s="144"/>
      <c r="G281" s="136"/>
      <c r="H281" s="136"/>
      <c r="I281" s="111"/>
      <c r="J281" s="82" t="s">
        <v>2511</v>
      </c>
      <c r="K281" s="134" t="s">
        <v>2512</v>
      </c>
    </row>
    <row r="282">
      <c r="B282" s="110" t="s">
        <v>1118</v>
      </c>
      <c r="C282" s="90" t="s">
        <v>2513</v>
      </c>
      <c r="D282" s="90"/>
      <c r="E282" s="138" t="s">
        <v>2514</v>
      </c>
      <c r="F282" s="111" t="s">
        <v>1426</v>
      </c>
      <c r="G282" s="111" t="s">
        <v>2515</v>
      </c>
      <c r="H282" s="111"/>
      <c r="I282" s="111"/>
      <c r="J282" s="82" t="s">
        <v>2516</v>
      </c>
      <c r="K282" s="134" t="s">
        <v>2517</v>
      </c>
    </row>
    <row r="283">
      <c r="B283" s="110" t="s">
        <v>1122</v>
      </c>
      <c r="C283" s="90" t="s">
        <v>2518</v>
      </c>
      <c r="D283" s="90"/>
      <c r="E283" s="138" t="s">
        <v>2519</v>
      </c>
      <c r="F283" s="111" t="s">
        <v>1426</v>
      </c>
      <c r="G283" s="111"/>
      <c r="H283" s="111" t="s">
        <v>2520</v>
      </c>
      <c r="I283" s="111"/>
      <c r="J283" s="82" t="s">
        <v>2521</v>
      </c>
      <c r="K283" s="134" t="s">
        <v>2522</v>
      </c>
    </row>
    <row r="284">
      <c r="B284" s="110" t="s">
        <v>1124</v>
      </c>
      <c r="C284" s="90" t="s">
        <v>2523</v>
      </c>
      <c r="D284" s="90" t="s">
        <v>2524</v>
      </c>
      <c r="E284" s="138" t="s">
        <v>2223</v>
      </c>
      <c r="F284" s="111" t="s">
        <v>1426</v>
      </c>
      <c r="G284" s="111"/>
      <c r="H284" s="111" t="s">
        <v>2525</v>
      </c>
      <c r="I284" s="111"/>
      <c r="J284" s="82" t="s">
        <v>2521</v>
      </c>
      <c r="K284" s="134" t="s">
        <v>2526</v>
      </c>
    </row>
    <row r="285">
      <c r="B285" s="110" t="s">
        <v>1127</v>
      </c>
      <c r="C285" s="90" t="s">
        <v>2527</v>
      </c>
      <c r="D285" s="90" t="s">
        <v>2528</v>
      </c>
      <c r="E285" s="138" t="s">
        <v>2529</v>
      </c>
      <c r="F285" s="111" t="s">
        <v>1426</v>
      </c>
      <c r="G285" s="136"/>
      <c r="H285" s="111" t="s">
        <v>2530</v>
      </c>
      <c r="I285" s="111"/>
      <c r="J285" s="82" t="s">
        <v>2531</v>
      </c>
      <c r="K285" s="134" t="s">
        <v>2532</v>
      </c>
    </row>
    <row r="286">
      <c r="B286" s="110" t="s">
        <v>2533</v>
      </c>
      <c r="C286" s="90" t="s">
        <v>2534</v>
      </c>
      <c r="D286" s="90"/>
      <c r="E286" s="138" t="s">
        <v>1666</v>
      </c>
      <c r="F286" s="145"/>
      <c r="G286" s="111"/>
      <c r="H286" s="111"/>
      <c r="I286" s="111"/>
      <c r="J286" s="82" t="s">
        <v>2535</v>
      </c>
      <c r="K286" s="134" t="s">
        <v>2536</v>
      </c>
    </row>
    <row r="287">
      <c r="B287" s="110" t="s">
        <v>2537</v>
      </c>
      <c r="C287" s="90" t="s">
        <v>1803</v>
      </c>
      <c r="D287" s="90"/>
      <c r="E287" s="138" t="s">
        <v>1406</v>
      </c>
      <c r="F287" s="144"/>
      <c r="G287" s="111"/>
      <c r="H287" s="111"/>
      <c r="I287" s="111"/>
      <c r="J287" s="82" t="s">
        <v>2333</v>
      </c>
      <c r="K287" s="134" t="s">
        <v>2538</v>
      </c>
    </row>
    <row r="288">
      <c r="B288" s="110" t="s">
        <v>2539</v>
      </c>
      <c r="C288" s="90" t="s">
        <v>2540</v>
      </c>
      <c r="D288" s="90" t="s">
        <v>2541</v>
      </c>
      <c r="E288" s="138" t="s">
        <v>2542</v>
      </c>
      <c r="F288" s="111" t="s">
        <v>1674</v>
      </c>
      <c r="G288" s="111" t="s">
        <v>2543</v>
      </c>
      <c r="H288" s="136"/>
      <c r="I288" s="111"/>
      <c r="J288" s="82" t="s">
        <v>2544</v>
      </c>
      <c r="K288" s="134" t="s">
        <v>2545</v>
      </c>
    </row>
    <row r="289">
      <c r="A289" s="80"/>
      <c r="B289" s="95"/>
      <c r="C289" s="80" t="s">
        <v>709</v>
      </c>
      <c r="E289" s="80" t="s">
        <v>710</v>
      </c>
      <c r="F289" s="80" t="s">
        <v>1353</v>
      </c>
      <c r="G289" s="80" t="s">
        <v>1354</v>
      </c>
      <c r="I289" s="80"/>
      <c r="J289" s="80" t="s">
        <v>714</v>
      </c>
      <c r="K289" s="80"/>
    </row>
    <row r="290">
      <c r="A290" s="83"/>
      <c r="B290" s="128"/>
      <c r="C290" s="83" t="s">
        <v>1355</v>
      </c>
      <c r="D290" s="83" t="s">
        <v>715</v>
      </c>
      <c r="E290" s="83" t="s">
        <v>1356</v>
      </c>
      <c r="F290" s="83" t="s">
        <v>1357</v>
      </c>
      <c r="G290" s="83" t="s">
        <v>1358</v>
      </c>
      <c r="H290" s="83" t="s">
        <v>1359</v>
      </c>
      <c r="I290" s="83" t="s">
        <v>1359</v>
      </c>
      <c r="J290" s="83"/>
      <c r="K290" s="83"/>
    </row>
    <row r="291">
      <c r="A291" s="84" t="s">
        <v>2546</v>
      </c>
      <c r="B291" s="110" t="s">
        <v>2547</v>
      </c>
      <c r="C291" s="91" t="s">
        <v>2548</v>
      </c>
      <c r="D291" s="91" t="s">
        <v>2549</v>
      </c>
      <c r="E291" s="138" t="s">
        <v>1369</v>
      </c>
      <c r="F291" s="111"/>
      <c r="G291" s="136"/>
      <c r="H291" s="136"/>
      <c r="I291" s="136"/>
      <c r="J291" s="123" t="s">
        <v>2550</v>
      </c>
      <c r="K291" s="134" t="s">
        <v>2551</v>
      </c>
    </row>
    <row r="292">
      <c r="B292" s="110" t="s">
        <v>1130</v>
      </c>
      <c r="C292" s="91" t="s">
        <v>2552</v>
      </c>
      <c r="D292" s="91"/>
      <c r="E292" s="138" t="s">
        <v>1381</v>
      </c>
      <c r="F292" s="111" t="s">
        <v>1426</v>
      </c>
      <c r="G292" s="111"/>
      <c r="H292" s="111" t="s">
        <v>2553</v>
      </c>
      <c r="I292" s="136"/>
      <c r="J292" s="123" t="s">
        <v>2264</v>
      </c>
      <c r="K292" s="134" t="s">
        <v>2554</v>
      </c>
    </row>
    <row r="293">
      <c r="B293" s="110" t="s">
        <v>1134</v>
      </c>
      <c r="C293" s="91" t="s">
        <v>2555</v>
      </c>
      <c r="D293" s="91" t="s">
        <v>2267</v>
      </c>
      <c r="E293" s="138" t="s">
        <v>1978</v>
      </c>
      <c r="F293" s="111" t="s">
        <v>1426</v>
      </c>
      <c r="G293" s="111"/>
      <c r="H293" s="111" t="s">
        <v>2556</v>
      </c>
      <c r="I293" s="111"/>
      <c r="J293" s="123" t="s">
        <v>2557</v>
      </c>
      <c r="K293" s="134" t="s">
        <v>2558</v>
      </c>
    </row>
    <row r="294">
      <c r="B294" s="110" t="s">
        <v>1136</v>
      </c>
      <c r="C294" s="91" t="s">
        <v>2559</v>
      </c>
      <c r="D294" s="91"/>
      <c r="E294" s="138" t="s">
        <v>2385</v>
      </c>
      <c r="F294" s="111" t="s">
        <v>1426</v>
      </c>
      <c r="G294" s="111"/>
      <c r="H294" s="111" t="s">
        <v>2560</v>
      </c>
      <c r="I294" s="111" t="s">
        <v>2561</v>
      </c>
      <c r="J294" s="123" t="s">
        <v>2275</v>
      </c>
      <c r="K294" s="134" t="s">
        <v>2562</v>
      </c>
    </row>
    <row r="295">
      <c r="B295" s="110" t="s">
        <v>1137</v>
      </c>
      <c r="C295" s="91" t="s">
        <v>2277</v>
      </c>
      <c r="D295" s="91"/>
      <c r="E295" s="138" t="s">
        <v>1702</v>
      </c>
      <c r="F295" s="111" t="s">
        <v>1426</v>
      </c>
      <c r="G295" s="114"/>
      <c r="H295" s="111" t="s">
        <v>2563</v>
      </c>
      <c r="I295" s="114" t="s">
        <v>2564</v>
      </c>
      <c r="J295" s="123" t="s">
        <v>2565</v>
      </c>
      <c r="K295" s="134" t="s">
        <v>2566</v>
      </c>
    </row>
    <row r="296">
      <c r="B296" s="110" t="s">
        <v>2567</v>
      </c>
      <c r="C296" s="91" t="s">
        <v>1708</v>
      </c>
      <c r="D296" s="91"/>
      <c r="E296" s="138" t="s">
        <v>2079</v>
      </c>
      <c r="F296" s="111"/>
      <c r="G296" s="136"/>
      <c r="H296" s="136"/>
      <c r="I296" s="111"/>
      <c r="J296" s="88" t="s">
        <v>2284</v>
      </c>
      <c r="K296" s="134" t="s">
        <v>2568</v>
      </c>
    </row>
    <row r="297">
      <c r="B297" s="110" t="s">
        <v>2569</v>
      </c>
      <c r="C297" s="91" t="s">
        <v>2570</v>
      </c>
      <c r="D297" s="91"/>
      <c r="E297" s="138" t="s">
        <v>2248</v>
      </c>
      <c r="F297" s="111"/>
      <c r="G297" s="111"/>
      <c r="H297" s="111"/>
      <c r="I297" s="111"/>
      <c r="J297" s="82" t="s">
        <v>2333</v>
      </c>
      <c r="K297" s="134" t="s">
        <v>2571</v>
      </c>
    </row>
    <row r="298">
      <c r="B298" s="110" t="s">
        <v>2572</v>
      </c>
      <c r="C298" s="91" t="s">
        <v>2573</v>
      </c>
      <c r="D298" s="91" t="s">
        <v>1410</v>
      </c>
      <c r="E298" s="138" t="s">
        <v>2574</v>
      </c>
      <c r="F298" s="111" t="s">
        <v>1719</v>
      </c>
      <c r="G298" s="111" t="s">
        <v>2575</v>
      </c>
      <c r="H298" s="111"/>
      <c r="I298" s="111"/>
      <c r="J298" s="88" t="s">
        <v>2294</v>
      </c>
      <c r="K298" s="134" t="s">
        <v>2576</v>
      </c>
    </row>
    <row r="299">
      <c r="A299" s="80"/>
      <c r="B299" s="95"/>
      <c r="C299" s="80" t="s">
        <v>709</v>
      </c>
      <c r="E299" s="80" t="s">
        <v>710</v>
      </c>
      <c r="F299" s="80" t="s">
        <v>1353</v>
      </c>
      <c r="G299" s="80" t="s">
        <v>1354</v>
      </c>
      <c r="I299" s="80"/>
      <c r="J299" s="80" t="s">
        <v>714</v>
      </c>
      <c r="K299" s="80"/>
    </row>
    <row r="300">
      <c r="A300" s="83"/>
      <c r="B300" s="128"/>
      <c r="C300" s="83" t="s">
        <v>1355</v>
      </c>
      <c r="D300" s="83" t="s">
        <v>715</v>
      </c>
      <c r="E300" s="83" t="s">
        <v>1356</v>
      </c>
      <c r="F300" s="83" t="s">
        <v>1357</v>
      </c>
      <c r="G300" s="83" t="s">
        <v>1358</v>
      </c>
      <c r="H300" s="83" t="s">
        <v>1359</v>
      </c>
      <c r="I300" s="83" t="s">
        <v>1359</v>
      </c>
      <c r="J300" s="83"/>
      <c r="K300" s="83"/>
    </row>
    <row r="301">
      <c r="A301" s="84" t="s">
        <v>2577</v>
      </c>
      <c r="B301" s="110" t="s">
        <v>2578</v>
      </c>
      <c r="C301" s="91" t="s">
        <v>2579</v>
      </c>
      <c r="D301" s="91" t="s">
        <v>1420</v>
      </c>
      <c r="E301" s="138" t="s">
        <v>1421</v>
      </c>
      <c r="F301" s="144"/>
      <c r="G301" s="136"/>
      <c r="H301" s="136"/>
      <c r="I301" s="111"/>
      <c r="J301" s="154" t="s">
        <v>2580</v>
      </c>
      <c r="K301" s="134" t="s">
        <v>2581</v>
      </c>
    </row>
    <row r="302">
      <c r="B302" s="110" t="s">
        <v>1139</v>
      </c>
      <c r="C302" s="91" t="s">
        <v>2303</v>
      </c>
      <c r="D302" s="91" t="s">
        <v>2304</v>
      </c>
      <c r="E302" s="138" t="s">
        <v>2582</v>
      </c>
      <c r="F302" s="111" t="s">
        <v>1426</v>
      </c>
      <c r="G302" s="111" t="s">
        <v>2583</v>
      </c>
      <c r="H302" s="111"/>
      <c r="I302" s="111"/>
      <c r="J302" s="111" t="s">
        <v>2307</v>
      </c>
      <c r="K302" s="134" t="s">
        <v>2584</v>
      </c>
    </row>
    <row r="303">
      <c r="B303" s="110" t="s">
        <v>1144</v>
      </c>
      <c r="C303" s="91" t="s">
        <v>2309</v>
      </c>
      <c r="D303" s="91" t="s">
        <v>1431</v>
      </c>
      <c r="E303" s="138" t="s">
        <v>2585</v>
      </c>
      <c r="F303" s="111" t="s">
        <v>1426</v>
      </c>
      <c r="G303" s="111"/>
      <c r="H303" s="111" t="s">
        <v>2586</v>
      </c>
      <c r="I303" s="111"/>
      <c r="J303" s="111" t="s">
        <v>2313</v>
      </c>
      <c r="K303" s="134" t="s">
        <v>2587</v>
      </c>
    </row>
    <row r="304">
      <c r="B304" s="110" t="s">
        <v>1145</v>
      </c>
      <c r="C304" s="91" t="s">
        <v>1739</v>
      </c>
      <c r="D304" s="91" t="s">
        <v>1740</v>
      </c>
      <c r="E304" s="138" t="s">
        <v>2385</v>
      </c>
      <c r="F304" s="111" t="s">
        <v>1426</v>
      </c>
      <c r="G304" s="111"/>
      <c r="H304" s="111" t="s">
        <v>2588</v>
      </c>
      <c r="I304" s="111"/>
      <c r="J304" s="111" t="s">
        <v>2589</v>
      </c>
      <c r="K304" s="134" t="s">
        <v>2590</v>
      </c>
    </row>
    <row r="305">
      <c r="B305" s="110" t="s">
        <v>1146</v>
      </c>
      <c r="C305" s="91" t="s">
        <v>2321</v>
      </c>
      <c r="D305" s="91" t="s">
        <v>1746</v>
      </c>
      <c r="E305" s="138" t="s">
        <v>1702</v>
      </c>
      <c r="F305" s="111" t="s">
        <v>1426</v>
      </c>
      <c r="G305" s="111"/>
      <c r="H305" s="111" t="s">
        <v>2591</v>
      </c>
      <c r="I305" s="111"/>
      <c r="J305" s="111" t="s">
        <v>2592</v>
      </c>
      <c r="K305" s="134" t="s">
        <v>2593</v>
      </c>
    </row>
    <row r="306">
      <c r="B306" s="110" t="s">
        <v>2594</v>
      </c>
      <c r="C306" s="91" t="s">
        <v>2327</v>
      </c>
      <c r="D306" s="91" t="s">
        <v>2328</v>
      </c>
      <c r="E306" s="86" t="s">
        <v>1451</v>
      </c>
      <c r="F306" s="144"/>
      <c r="G306" s="136"/>
      <c r="H306" s="136"/>
      <c r="I306" s="111"/>
      <c r="J306" s="111" t="s">
        <v>2329</v>
      </c>
      <c r="K306" s="134" t="s">
        <v>2595</v>
      </c>
    </row>
    <row r="307">
      <c r="B307" s="110" t="s">
        <v>2596</v>
      </c>
      <c r="C307" s="91" t="s">
        <v>2597</v>
      </c>
      <c r="D307" s="91" t="s">
        <v>217</v>
      </c>
      <c r="E307" s="138" t="s">
        <v>1455</v>
      </c>
      <c r="F307" s="144"/>
      <c r="G307" s="136"/>
      <c r="H307" s="136"/>
      <c r="I307" s="111"/>
      <c r="J307" s="82" t="s">
        <v>2333</v>
      </c>
      <c r="K307" s="134" t="s">
        <v>2598</v>
      </c>
    </row>
    <row r="308">
      <c r="B308" s="110" t="s">
        <v>2599</v>
      </c>
      <c r="C308" s="91" t="s">
        <v>2600</v>
      </c>
      <c r="D308" s="91" t="s">
        <v>1459</v>
      </c>
      <c r="E308" s="138" t="s">
        <v>2601</v>
      </c>
      <c r="F308" s="111" t="s">
        <v>1765</v>
      </c>
      <c r="G308" s="111" t="s">
        <v>2602</v>
      </c>
      <c r="H308" s="111"/>
      <c r="I308" s="111"/>
      <c r="J308" s="154" t="s">
        <v>2339</v>
      </c>
      <c r="K308" s="134" t="s">
        <v>2603</v>
      </c>
    </row>
    <row r="309">
      <c r="A309" s="80"/>
      <c r="B309" s="95"/>
      <c r="C309" s="80" t="s">
        <v>709</v>
      </c>
      <c r="E309" s="80" t="s">
        <v>710</v>
      </c>
      <c r="F309" s="80" t="s">
        <v>1353</v>
      </c>
      <c r="G309" s="80" t="s">
        <v>1354</v>
      </c>
      <c r="I309" s="80"/>
      <c r="J309" s="80" t="s">
        <v>714</v>
      </c>
      <c r="K309" s="80"/>
    </row>
    <row r="310">
      <c r="A310" s="83"/>
      <c r="B310" s="128"/>
      <c r="C310" s="83" t="s">
        <v>1355</v>
      </c>
      <c r="D310" s="83" t="s">
        <v>715</v>
      </c>
      <c r="E310" s="83" t="s">
        <v>1356</v>
      </c>
      <c r="F310" s="83" t="s">
        <v>1357</v>
      </c>
      <c r="G310" s="83" t="s">
        <v>1358</v>
      </c>
      <c r="H310" s="83" t="s">
        <v>1359</v>
      </c>
      <c r="I310" s="83" t="s">
        <v>1359</v>
      </c>
      <c r="J310" s="83"/>
      <c r="K310" s="83"/>
    </row>
    <row r="311">
      <c r="A311" s="84" t="s">
        <v>2604</v>
      </c>
      <c r="B311" s="110" t="s">
        <v>2605</v>
      </c>
      <c r="C311" s="91" t="s">
        <v>2606</v>
      </c>
      <c r="D311" s="91" t="s">
        <v>1772</v>
      </c>
      <c r="E311" s="138" t="s">
        <v>1369</v>
      </c>
      <c r="F311" s="144"/>
      <c r="G311" s="136"/>
      <c r="H311" s="136"/>
      <c r="I311" s="136"/>
      <c r="J311" s="111" t="s">
        <v>2607</v>
      </c>
      <c r="K311" s="134" t="s">
        <v>2608</v>
      </c>
    </row>
    <row r="312">
      <c r="B312" s="110" t="s">
        <v>1148</v>
      </c>
      <c r="C312" s="91" t="s">
        <v>2609</v>
      </c>
      <c r="D312" s="91" t="s">
        <v>2347</v>
      </c>
      <c r="E312" s="138" t="s">
        <v>1381</v>
      </c>
      <c r="F312" s="111" t="s">
        <v>1426</v>
      </c>
      <c r="G312" s="111"/>
      <c r="H312" s="111" t="s">
        <v>2610</v>
      </c>
      <c r="I312" s="136"/>
      <c r="J312" s="111" t="s">
        <v>2611</v>
      </c>
      <c r="K312" s="134" t="s">
        <v>2612</v>
      </c>
    </row>
    <row r="313">
      <c r="B313" s="110" t="s">
        <v>1152</v>
      </c>
      <c r="C313" s="91" t="s">
        <v>2613</v>
      </c>
      <c r="D313" s="91" t="s">
        <v>2614</v>
      </c>
      <c r="E313" s="138" t="s">
        <v>2615</v>
      </c>
      <c r="F313" s="111" t="s">
        <v>1426</v>
      </c>
      <c r="G313" s="111"/>
      <c r="H313" s="111" t="s">
        <v>2616</v>
      </c>
      <c r="I313" s="136"/>
      <c r="J313" s="111" t="s">
        <v>2557</v>
      </c>
      <c r="K313" s="134" t="s">
        <v>2617</v>
      </c>
    </row>
    <row r="314">
      <c r="B314" s="110" t="s">
        <v>1153</v>
      </c>
      <c r="C314" s="91" t="s">
        <v>2618</v>
      </c>
      <c r="D314" s="91" t="s">
        <v>2619</v>
      </c>
      <c r="E314" s="138" t="s">
        <v>1741</v>
      </c>
      <c r="F314" s="111" t="s">
        <v>1426</v>
      </c>
      <c r="G314" s="111"/>
      <c r="H314" s="111" t="s">
        <v>2620</v>
      </c>
      <c r="I314" s="111" t="s">
        <v>2621</v>
      </c>
      <c r="J314" s="111" t="s">
        <v>2611</v>
      </c>
      <c r="K314" s="134" t="s">
        <v>2622</v>
      </c>
    </row>
    <row r="315">
      <c r="B315" s="110" t="s">
        <v>1154</v>
      </c>
      <c r="C315" s="91" t="s">
        <v>2623</v>
      </c>
      <c r="D315" s="91"/>
      <c r="E315" s="138" t="s">
        <v>2624</v>
      </c>
      <c r="F315" s="111" t="s">
        <v>1426</v>
      </c>
      <c r="G315" s="111"/>
      <c r="H315" s="111" t="s">
        <v>2625</v>
      </c>
      <c r="I315" s="111" t="s">
        <v>2626</v>
      </c>
      <c r="J315" s="111" t="s">
        <v>2565</v>
      </c>
      <c r="K315" s="134" t="s">
        <v>2627</v>
      </c>
    </row>
    <row r="316">
      <c r="B316" s="110" t="s">
        <v>2628</v>
      </c>
      <c r="C316" s="91" t="s">
        <v>2629</v>
      </c>
      <c r="D316" s="91"/>
      <c r="E316" s="138" t="s">
        <v>2630</v>
      </c>
      <c r="F316" s="144"/>
      <c r="G316" s="136"/>
      <c r="H316" s="136"/>
      <c r="I316" s="111"/>
      <c r="J316" s="88" t="s">
        <v>2631</v>
      </c>
      <c r="K316" s="134" t="s">
        <v>2632</v>
      </c>
    </row>
    <row r="317">
      <c r="B317" s="110" t="s">
        <v>2633</v>
      </c>
      <c r="C317" s="91" t="s">
        <v>2634</v>
      </c>
      <c r="D317" s="91"/>
      <c r="E317" s="138" t="s">
        <v>1406</v>
      </c>
      <c r="F317" s="144"/>
      <c r="G317" s="111"/>
      <c r="H317" s="111"/>
      <c r="I317" s="111"/>
      <c r="J317" s="140" t="s">
        <v>2370</v>
      </c>
      <c r="K317" s="134" t="s">
        <v>2635</v>
      </c>
    </row>
    <row r="318">
      <c r="B318" s="110" t="s">
        <v>2636</v>
      </c>
      <c r="C318" s="91" t="s">
        <v>2637</v>
      </c>
      <c r="D318" s="91" t="s">
        <v>2638</v>
      </c>
      <c r="E318" s="138" t="s">
        <v>2639</v>
      </c>
      <c r="F318" s="111" t="s">
        <v>1502</v>
      </c>
      <c r="G318" s="111" t="s">
        <v>2640</v>
      </c>
      <c r="H318" s="111"/>
      <c r="I318" s="111"/>
      <c r="J318" s="111" t="s">
        <v>2641</v>
      </c>
      <c r="K318" s="134" t="s">
        <v>2642</v>
      </c>
    </row>
    <row r="319">
      <c r="A319" s="80"/>
      <c r="B319" s="95"/>
      <c r="C319" s="80" t="s">
        <v>709</v>
      </c>
      <c r="E319" s="80" t="s">
        <v>710</v>
      </c>
      <c r="F319" s="80" t="s">
        <v>1353</v>
      </c>
      <c r="G319" s="80" t="s">
        <v>1354</v>
      </c>
      <c r="I319" s="80"/>
      <c r="J319" s="80" t="s">
        <v>714</v>
      </c>
      <c r="K319" s="80"/>
    </row>
    <row r="320">
      <c r="A320" s="83"/>
      <c r="B320" s="128"/>
      <c r="C320" s="83" t="s">
        <v>1355</v>
      </c>
      <c r="D320" s="83" t="s">
        <v>715</v>
      </c>
      <c r="E320" s="83" t="s">
        <v>1356</v>
      </c>
      <c r="F320" s="83" t="s">
        <v>1357</v>
      </c>
      <c r="G320" s="83" t="s">
        <v>1358</v>
      </c>
      <c r="H320" s="83" t="s">
        <v>1359</v>
      </c>
      <c r="I320" s="83" t="s">
        <v>1359</v>
      </c>
      <c r="J320" s="83"/>
      <c r="K320" s="83"/>
    </row>
    <row r="321">
      <c r="A321" s="84" t="s">
        <v>2643</v>
      </c>
      <c r="B321" s="110" t="s">
        <v>2644</v>
      </c>
      <c r="C321" s="91" t="s">
        <v>2645</v>
      </c>
      <c r="D321" s="91" t="s">
        <v>1509</v>
      </c>
      <c r="E321" s="138" t="s">
        <v>1510</v>
      </c>
      <c r="F321" s="144"/>
      <c r="G321" s="136"/>
      <c r="H321" s="136"/>
      <c r="I321" s="136"/>
      <c r="J321" s="88" t="s">
        <v>2382</v>
      </c>
      <c r="K321" s="134" t="s">
        <v>2646</v>
      </c>
    </row>
    <row r="322">
      <c r="B322" s="110" t="s">
        <v>1157</v>
      </c>
      <c r="C322" s="91" t="s">
        <v>2647</v>
      </c>
      <c r="D322" s="91"/>
      <c r="E322" s="138" t="s">
        <v>1685</v>
      </c>
      <c r="F322" s="111" t="s">
        <v>1426</v>
      </c>
      <c r="G322" s="111"/>
      <c r="H322" s="111" t="s">
        <v>2648</v>
      </c>
      <c r="I322" s="111"/>
      <c r="J322" s="88" t="s">
        <v>2480</v>
      </c>
      <c r="K322" s="134" t="s">
        <v>2649</v>
      </c>
    </row>
    <row r="323">
      <c r="B323" s="110" t="s">
        <v>1161</v>
      </c>
      <c r="C323" s="91" t="s">
        <v>2650</v>
      </c>
      <c r="D323" s="91"/>
      <c r="E323" s="138" t="s">
        <v>2390</v>
      </c>
      <c r="F323" s="111" t="s">
        <v>1426</v>
      </c>
      <c r="G323" s="111" t="s">
        <v>2651</v>
      </c>
      <c r="H323" s="111"/>
      <c r="I323" s="111"/>
      <c r="J323" s="88" t="s">
        <v>2480</v>
      </c>
      <c r="K323" s="134" t="s">
        <v>2652</v>
      </c>
    </row>
    <row r="324">
      <c r="B324" s="110" t="s">
        <v>1162</v>
      </c>
      <c r="C324" s="91" t="s">
        <v>2653</v>
      </c>
      <c r="D324" s="91"/>
      <c r="E324" s="138" t="s">
        <v>1685</v>
      </c>
      <c r="F324" s="111" t="s">
        <v>1426</v>
      </c>
      <c r="G324" s="111"/>
      <c r="H324" s="111" t="s">
        <v>2654</v>
      </c>
      <c r="I324" s="111"/>
      <c r="J324" s="88" t="s">
        <v>2480</v>
      </c>
      <c r="K324" s="134" t="s">
        <v>2655</v>
      </c>
    </row>
    <row r="325">
      <c r="B325" s="110" t="s">
        <v>1163</v>
      </c>
      <c r="C325" s="91" t="s">
        <v>2396</v>
      </c>
      <c r="D325" s="91"/>
      <c r="E325" s="138" t="s">
        <v>1685</v>
      </c>
      <c r="F325" s="111" t="s">
        <v>1426</v>
      </c>
      <c r="G325" s="111"/>
      <c r="H325" s="111" t="s">
        <v>2656</v>
      </c>
      <c r="I325" s="111"/>
      <c r="J325" s="88" t="s">
        <v>2399</v>
      </c>
      <c r="K325" s="134" t="s">
        <v>2657</v>
      </c>
    </row>
    <row r="326">
      <c r="B326" s="110" t="s">
        <v>2658</v>
      </c>
      <c r="C326" s="91" t="s">
        <v>2659</v>
      </c>
      <c r="D326" s="91" t="s">
        <v>2402</v>
      </c>
      <c r="E326" s="138" t="s">
        <v>2660</v>
      </c>
      <c r="F326" s="144"/>
      <c r="G326" s="136"/>
      <c r="H326" s="136"/>
      <c r="I326" s="111"/>
      <c r="J326" s="88" t="s">
        <v>2661</v>
      </c>
      <c r="K326" s="134" t="s">
        <v>2662</v>
      </c>
    </row>
    <row r="327">
      <c r="B327" s="110" t="s">
        <v>2663</v>
      </c>
      <c r="C327" s="91" t="s">
        <v>2664</v>
      </c>
      <c r="D327" s="91" t="s">
        <v>1538</v>
      </c>
      <c r="E327" s="138" t="s">
        <v>2665</v>
      </c>
      <c r="F327" s="144"/>
      <c r="G327" s="111"/>
      <c r="H327" s="111"/>
      <c r="I327" s="111"/>
      <c r="J327" s="88" t="s">
        <v>2666</v>
      </c>
      <c r="K327" s="134" t="s">
        <v>2667</v>
      </c>
    </row>
    <row r="328">
      <c r="B328" s="110" t="s">
        <v>2668</v>
      </c>
      <c r="C328" s="91" t="s">
        <v>2669</v>
      </c>
      <c r="D328" s="91"/>
      <c r="E328" s="138" t="s">
        <v>1843</v>
      </c>
      <c r="F328" s="111"/>
      <c r="G328" s="136"/>
      <c r="H328" s="136"/>
      <c r="I328" s="111"/>
      <c r="J328" s="82" t="s">
        <v>2414</v>
      </c>
      <c r="K328" s="134" t="s">
        <v>2670</v>
      </c>
    </row>
    <row r="329">
      <c r="B329" s="110" t="s">
        <v>2671</v>
      </c>
      <c r="C329" s="91" t="s">
        <v>2672</v>
      </c>
      <c r="D329" s="91" t="s">
        <v>1549</v>
      </c>
      <c r="E329" s="138" t="s">
        <v>2673</v>
      </c>
      <c r="F329" s="111" t="s">
        <v>1551</v>
      </c>
      <c r="G329" s="111" t="s">
        <v>2674</v>
      </c>
      <c r="H329" s="111"/>
      <c r="I329" s="111"/>
      <c r="J329" s="88" t="s">
        <v>2421</v>
      </c>
      <c r="K329" s="134" t="s">
        <v>2675</v>
      </c>
    </row>
    <row r="330">
      <c r="A330" s="80"/>
      <c r="B330" s="95"/>
      <c r="C330" s="80" t="s">
        <v>709</v>
      </c>
      <c r="E330" s="80" t="s">
        <v>710</v>
      </c>
      <c r="F330" s="80" t="s">
        <v>1353</v>
      </c>
      <c r="G330" s="80" t="s">
        <v>1354</v>
      </c>
      <c r="I330" s="80"/>
      <c r="J330" s="80" t="s">
        <v>714</v>
      </c>
      <c r="K330" s="80"/>
    </row>
    <row r="331">
      <c r="A331" s="83"/>
      <c r="B331" s="128"/>
      <c r="C331" s="83" t="s">
        <v>1355</v>
      </c>
      <c r="D331" s="83" t="s">
        <v>715</v>
      </c>
      <c r="E331" s="83" t="s">
        <v>1356</v>
      </c>
      <c r="F331" s="83" t="s">
        <v>1357</v>
      </c>
      <c r="G331" s="83" t="s">
        <v>1358</v>
      </c>
      <c r="H331" s="83" t="s">
        <v>1359</v>
      </c>
      <c r="I331" s="83" t="s">
        <v>1359</v>
      </c>
      <c r="J331" s="83"/>
      <c r="K331" s="83"/>
    </row>
    <row r="332">
      <c r="A332" s="84" t="s">
        <v>2676</v>
      </c>
      <c r="B332" s="110" t="s">
        <v>2677</v>
      </c>
      <c r="C332" s="91" t="s">
        <v>2678</v>
      </c>
      <c r="D332" s="91" t="s">
        <v>1558</v>
      </c>
      <c r="E332" s="138"/>
      <c r="F332" s="144"/>
      <c r="G332" s="136"/>
      <c r="H332" s="136"/>
      <c r="I332" s="136"/>
      <c r="J332" s="88" t="s">
        <v>2426</v>
      </c>
      <c r="K332" s="134" t="s">
        <v>2679</v>
      </c>
    </row>
    <row r="333">
      <c r="B333" s="110" t="s">
        <v>1165</v>
      </c>
      <c r="C333" s="91" t="s">
        <v>2680</v>
      </c>
      <c r="D333" s="91" t="s">
        <v>1562</v>
      </c>
      <c r="E333" s="138" t="s">
        <v>2135</v>
      </c>
      <c r="F333" s="111" t="s">
        <v>1426</v>
      </c>
      <c r="G333" s="111"/>
      <c r="H333" s="111" t="s">
        <v>2681</v>
      </c>
      <c r="I333" s="136"/>
      <c r="J333" s="88" t="s">
        <v>2682</v>
      </c>
      <c r="K333" s="134" t="s">
        <v>2683</v>
      </c>
    </row>
    <row r="334">
      <c r="B334" s="110" t="s">
        <v>1169</v>
      </c>
      <c r="C334" s="91" t="s">
        <v>2684</v>
      </c>
      <c r="D334" s="91" t="s">
        <v>1569</v>
      </c>
      <c r="E334" s="138" t="s">
        <v>2433</v>
      </c>
      <c r="F334" s="111" t="s">
        <v>1426</v>
      </c>
      <c r="G334" s="111"/>
      <c r="H334" s="111" t="s">
        <v>2685</v>
      </c>
      <c r="I334" s="111" t="s">
        <v>2686</v>
      </c>
      <c r="J334" s="88" t="s">
        <v>2452</v>
      </c>
      <c r="K334" s="134" t="s">
        <v>2687</v>
      </c>
    </row>
    <row r="335">
      <c r="B335" s="110" t="s">
        <v>1171</v>
      </c>
      <c r="C335" s="91" t="s">
        <v>2688</v>
      </c>
      <c r="D335" s="91" t="s">
        <v>1868</v>
      </c>
      <c r="E335" s="138" t="s">
        <v>1685</v>
      </c>
      <c r="F335" s="111" t="s">
        <v>1426</v>
      </c>
      <c r="G335" s="111"/>
      <c r="H335" s="111" t="s">
        <v>2689</v>
      </c>
      <c r="I335" s="111" t="s">
        <v>2690</v>
      </c>
      <c r="J335" s="88" t="s">
        <v>2682</v>
      </c>
      <c r="K335" s="134" t="s">
        <v>2691</v>
      </c>
    </row>
    <row r="336">
      <c r="B336" s="110" t="s">
        <v>1173</v>
      </c>
      <c r="C336" s="91" t="s">
        <v>2692</v>
      </c>
      <c r="D336" s="91" t="s">
        <v>1873</v>
      </c>
      <c r="E336" s="138" t="s">
        <v>1702</v>
      </c>
      <c r="F336" s="111" t="s">
        <v>1426</v>
      </c>
      <c r="G336" s="111" t="s">
        <v>2693</v>
      </c>
      <c r="H336" s="111" t="s">
        <v>2694</v>
      </c>
      <c r="I336" s="111"/>
      <c r="J336" s="88" t="s">
        <v>2452</v>
      </c>
      <c r="K336" s="134" t="s">
        <v>2695</v>
      </c>
    </row>
    <row r="337">
      <c r="B337" s="110" t="s">
        <v>1174</v>
      </c>
      <c r="C337" s="91" t="s">
        <v>2696</v>
      </c>
      <c r="D337" s="91"/>
      <c r="E337" s="138" t="s">
        <v>1685</v>
      </c>
      <c r="F337" s="111" t="s">
        <v>1426</v>
      </c>
      <c r="G337" s="111"/>
      <c r="H337" s="111" t="s">
        <v>2697</v>
      </c>
      <c r="I337" s="111" t="s">
        <v>2698</v>
      </c>
      <c r="J337" s="88" t="s">
        <v>2452</v>
      </c>
      <c r="K337" s="134" t="s">
        <v>2699</v>
      </c>
    </row>
    <row r="338">
      <c r="B338" s="110" t="s">
        <v>1175</v>
      </c>
      <c r="C338" s="91" t="s">
        <v>2454</v>
      </c>
      <c r="D338" s="91"/>
      <c r="E338" s="138" t="s">
        <v>1741</v>
      </c>
      <c r="F338" s="111" t="s">
        <v>1426</v>
      </c>
      <c r="G338" s="111"/>
      <c r="H338" s="111" t="s">
        <v>2700</v>
      </c>
      <c r="I338" s="111" t="s">
        <v>2701</v>
      </c>
      <c r="J338" s="88" t="s">
        <v>2457</v>
      </c>
      <c r="K338" s="134" t="s">
        <v>2702</v>
      </c>
    </row>
    <row r="339">
      <c r="B339" s="110" t="s">
        <v>2703</v>
      </c>
      <c r="C339" s="91" t="s">
        <v>2704</v>
      </c>
      <c r="D339" s="91"/>
      <c r="E339" s="138" t="s">
        <v>2000</v>
      </c>
      <c r="F339" s="144"/>
      <c r="G339" s="136"/>
      <c r="H339" s="136"/>
      <c r="I339" s="111"/>
      <c r="J339" s="88" t="s">
        <v>2461</v>
      </c>
      <c r="K339" s="134" t="s">
        <v>2705</v>
      </c>
    </row>
    <row r="340">
      <c r="B340" s="110" t="s">
        <v>2706</v>
      </c>
      <c r="C340" s="91" t="s">
        <v>2707</v>
      </c>
      <c r="D340" s="91"/>
      <c r="E340" s="138" t="s">
        <v>1888</v>
      </c>
      <c r="F340" s="145"/>
      <c r="G340" s="136"/>
      <c r="H340" s="136"/>
      <c r="I340" s="111"/>
      <c r="J340" s="82" t="s">
        <v>2414</v>
      </c>
      <c r="K340" s="134" t="s">
        <v>2708</v>
      </c>
    </row>
    <row r="341">
      <c r="B341" s="110" t="s">
        <v>2709</v>
      </c>
      <c r="C341" s="91" t="s">
        <v>2710</v>
      </c>
      <c r="D341" s="91" t="s">
        <v>1593</v>
      </c>
      <c r="E341" s="138" t="s">
        <v>2711</v>
      </c>
      <c r="F341" s="111" t="s">
        <v>1595</v>
      </c>
      <c r="G341" s="111" t="s">
        <v>2712</v>
      </c>
      <c r="H341" s="111"/>
      <c r="I341" s="111"/>
      <c r="J341" s="88" t="s">
        <v>2713</v>
      </c>
      <c r="K341" s="134" t="s">
        <v>2714</v>
      </c>
    </row>
    <row r="342">
      <c r="A342" s="80"/>
      <c r="B342" s="95"/>
      <c r="C342" s="80" t="s">
        <v>709</v>
      </c>
      <c r="E342" s="80" t="s">
        <v>710</v>
      </c>
      <c r="F342" s="80" t="s">
        <v>1353</v>
      </c>
      <c r="G342" s="80" t="s">
        <v>1354</v>
      </c>
      <c r="I342" s="80"/>
      <c r="J342" s="80" t="s">
        <v>714</v>
      </c>
      <c r="K342" s="80"/>
    </row>
    <row r="343">
      <c r="A343" s="83"/>
      <c r="B343" s="128"/>
      <c r="C343" s="83" t="s">
        <v>1355</v>
      </c>
      <c r="D343" s="83" t="s">
        <v>715</v>
      </c>
      <c r="E343" s="83" t="s">
        <v>1356</v>
      </c>
      <c r="F343" s="83" t="s">
        <v>1357</v>
      </c>
      <c r="G343" s="83" t="s">
        <v>1358</v>
      </c>
      <c r="H343" s="83" t="s">
        <v>1359</v>
      </c>
      <c r="I343" s="83" t="s">
        <v>1359</v>
      </c>
      <c r="J343" s="83"/>
      <c r="K343" s="83"/>
    </row>
    <row r="344">
      <c r="A344" s="84" t="s">
        <v>2715</v>
      </c>
      <c r="B344" s="110" t="s">
        <v>2716</v>
      </c>
      <c r="C344" s="91" t="s">
        <v>2717</v>
      </c>
      <c r="D344" s="91" t="s">
        <v>2718</v>
      </c>
      <c r="E344" s="138" t="s">
        <v>1510</v>
      </c>
      <c r="F344" s="139"/>
      <c r="G344" s="136"/>
      <c r="H344" s="136"/>
      <c r="I344" s="136"/>
      <c r="J344" s="88" t="s">
        <v>2476</v>
      </c>
      <c r="K344" s="134" t="s">
        <v>2719</v>
      </c>
    </row>
    <row r="345">
      <c r="B345" s="110" t="s">
        <v>1179</v>
      </c>
      <c r="C345" s="91" t="s">
        <v>2720</v>
      </c>
      <c r="D345" s="91"/>
      <c r="E345" s="138" t="s">
        <v>1741</v>
      </c>
      <c r="F345" s="111" t="s">
        <v>1426</v>
      </c>
      <c r="G345" s="111"/>
      <c r="H345" s="111" t="s">
        <v>2721</v>
      </c>
      <c r="I345" s="111"/>
      <c r="J345" s="88" t="s">
        <v>2722</v>
      </c>
      <c r="K345" s="134" t="s">
        <v>2723</v>
      </c>
    </row>
    <row r="346">
      <c r="B346" s="110" t="s">
        <v>1183</v>
      </c>
      <c r="C346" s="91" t="s">
        <v>2724</v>
      </c>
      <c r="D346" s="91"/>
      <c r="E346" s="138" t="s">
        <v>1908</v>
      </c>
      <c r="F346" s="111" t="s">
        <v>1426</v>
      </c>
      <c r="G346" s="111" t="s">
        <v>2725</v>
      </c>
      <c r="H346" s="113"/>
      <c r="I346" s="111"/>
      <c r="J346" s="88" t="s">
        <v>2387</v>
      </c>
      <c r="K346" s="134" t="s">
        <v>2726</v>
      </c>
    </row>
    <row r="347">
      <c r="B347" s="110" t="s">
        <v>1184</v>
      </c>
      <c r="C347" s="91" t="s">
        <v>2487</v>
      </c>
      <c r="D347" s="91" t="s">
        <v>1788</v>
      </c>
      <c r="E347" s="138" t="s">
        <v>2385</v>
      </c>
      <c r="F347" s="111" t="s">
        <v>1426</v>
      </c>
      <c r="G347" s="111"/>
      <c r="H347" s="150" t="s">
        <v>2727</v>
      </c>
      <c r="I347" s="111"/>
      <c r="J347" s="88" t="s">
        <v>2728</v>
      </c>
      <c r="K347" s="134" t="s">
        <v>2729</v>
      </c>
    </row>
    <row r="348">
      <c r="B348" s="110" t="s">
        <v>1185</v>
      </c>
      <c r="C348" s="91" t="s">
        <v>2490</v>
      </c>
      <c r="D348" s="91"/>
      <c r="E348" s="138" t="s">
        <v>1702</v>
      </c>
      <c r="F348" s="111" t="s">
        <v>1426</v>
      </c>
      <c r="G348" s="111"/>
      <c r="H348" s="113" t="s">
        <v>2730</v>
      </c>
      <c r="I348" s="111"/>
      <c r="J348" s="88" t="s">
        <v>2399</v>
      </c>
      <c r="K348" s="134" t="s">
        <v>2731</v>
      </c>
    </row>
    <row r="349">
      <c r="B349" s="110" t="s">
        <v>2732</v>
      </c>
      <c r="C349" s="91" t="s">
        <v>2733</v>
      </c>
      <c r="D349" s="91"/>
      <c r="E349" s="138" t="s">
        <v>2630</v>
      </c>
      <c r="F349" s="144"/>
      <c r="G349" s="136"/>
      <c r="H349" s="111"/>
      <c r="I349" s="111"/>
      <c r="J349" s="88" t="s">
        <v>2496</v>
      </c>
      <c r="K349" s="134" t="s">
        <v>2734</v>
      </c>
    </row>
    <row r="350">
      <c r="B350" s="110" t="s">
        <v>2735</v>
      </c>
      <c r="C350" s="90" t="s">
        <v>1926</v>
      </c>
      <c r="D350" s="90"/>
      <c r="E350" s="138" t="s">
        <v>2209</v>
      </c>
      <c r="F350" s="139"/>
      <c r="G350" s="111"/>
      <c r="H350" s="111"/>
      <c r="I350" s="111"/>
      <c r="J350" s="82" t="s">
        <v>2370</v>
      </c>
      <c r="K350" s="134" t="s">
        <v>2736</v>
      </c>
    </row>
    <row r="351">
      <c r="B351" s="110" t="s">
        <v>2737</v>
      </c>
      <c r="C351" s="91" t="s">
        <v>2502</v>
      </c>
      <c r="D351" s="91" t="s">
        <v>2503</v>
      </c>
      <c r="E351" s="138" t="s">
        <v>2738</v>
      </c>
      <c r="F351" s="111" t="s">
        <v>1638</v>
      </c>
      <c r="G351" s="111" t="s">
        <v>2739</v>
      </c>
      <c r="H351" s="111"/>
      <c r="I351" s="111"/>
      <c r="J351" s="88" t="s">
        <v>2506</v>
      </c>
      <c r="K351" s="134" t="s">
        <v>2740</v>
      </c>
    </row>
    <row r="352">
      <c r="A352" s="80"/>
      <c r="B352" s="95"/>
      <c r="C352" s="80" t="s">
        <v>709</v>
      </c>
      <c r="E352" s="80" t="s">
        <v>710</v>
      </c>
      <c r="F352" s="80" t="s">
        <v>1353</v>
      </c>
      <c r="G352" s="80" t="s">
        <v>1354</v>
      </c>
      <c r="I352" s="80"/>
      <c r="J352" s="80" t="s">
        <v>714</v>
      </c>
      <c r="K352" s="80"/>
    </row>
    <row r="353">
      <c r="A353" s="83"/>
      <c r="B353" s="128"/>
      <c r="C353" s="83" t="s">
        <v>1355</v>
      </c>
      <c r="D353" s="83" t="s">
        <v>715</v>
      </c>
      <c r="E353" s="83" t="s">
        <v>1356</v>
      </c>
      <c r="F353" s="83" t="s">
        <v>1357</v>
      </c>
      <c r="G353" s="83" t="s">
        <v>1358</v>
      </c>
      <c r="H353" s="83" t="s">
        <v>1359</v>
      </c>
      <c r="I353" s="83" t="s">
        <v>1359</v>
      </c>
      <c r="J353" s="83"/>
      <c r="K353" s="83"/>
    </row>
    <row r="354">
      <c r="A354" s="84" t="s">
        <v>2741</v>
      </c>
      <c r="B354" s="110" t="s">
        <v>2742</v>
      </c>
      <c r="C354" s="91" t="s">
        <v>2743</v>
      </c>
      <c r="D354" s="91" t="s">
        <v>2744</v>
      </c>
      <c r="E354" s="138" t="s">
        <v>1421</v>
      </c>
      <c r="F354" s="144"/>
      <c r="G354" s="136"/>
      <c r="H354" s="136"/>
      <c r="I354" s="111"/>
      <c r="J354" s="88" t="s">
        <v>2511</v>
      </c>
      <c r="K354" s="134" t="s">
        <v>2745</v>
      </c>
    </row>
    <row r="355">
      <c r="B355" s="110" t="s">
        <v>1187</v>
      </c>
      <c r="C355" s="91" t="s">
        <v>2746</v>
      </c>
      <c r="D355" s="91"/>
      <c r="E355" s="138" t="s">
        <v>2747</v>
      </c>
      <c r="F355" s="111" t="s">
        <v>1426</v>
      </c>
      <c r="G355" s="111" t="s">
        <v>2748</v>
      </c>
      <c r="H355" s="111"/>
      <c r="I355" s="111"/>
      <c r="J355" s="88" t="s">
        <v>2521</v>
      </c>
      <c r="K355" s="134" t="s">
        <v>2749</v>
      </c>
    </row>
    <row r="356">
      <c r="B356" s="110" t="s">
        <v>2750</v>
      </c>
      <c r="C356" s="91" t="s">
        <v>2751</v>
      </c>
      <c r="D356" s="91"/>
      <c r="E356" s="138" t="s">
        <v>1741</v>
      </c>
      <c r="F356" s="111" t="s">
        <v>1426</v>
      </c>
      <c r="G356" s="111" t="s">
        <v>2752</v>
      </c>
      <c r="H356" s="111"/>
      <c r="I356" s="111"/>
      <c r="J356" s="88" t="s">
        <v>2521</v>
      </c>
      <c r="K356" s="134" t="s">
        <v>2753</v>
      </c>
    </row>
    <row r="357">
      <c r="B357" s="110" t="s">
        <v>1191</v>
      </c>
      <c r="C357" s="91" t="s">
        <v>2754</v>
      </c>
      <c r="D357" s="91"/>
      <c r="E357" s="138" t="s">
        <v>1702</v>
      </c>
      <c r="F357" s="111" t="s">
        <v>1426</v>
      </c>
      <c r="G357" s="111"/>
      <c r="H357" s="111" t="s">
        <v>2755</v>
      </c>
      <c r="I357" s="111"/>
      <c r="J357" s="88" t="s">
        <v>2531</v>
      </c>
      <c r="K357" s="134" t="s">
        <v>2756</v>
      </c>
    </row>
    <row r="358">
      <c r="B358" s="110" t="s">
        <v>2757</v>
      </c>
      <c r="C358" s="91" t="s">
        <v>2758</v>
      </c>
      <c r="D358" s="91"/>
      <c r="E358" s="138" t="s">
        <v>2759</v>
      </c>
      <c r="F358" s="111"/>
      <c r="G358" s="136"/>
      <c r="H358" s="136"/>
      <c r="I358" s="111"/>
      <c r="J358" s="160" t="s">
        <v>2461</v>
      </c>
      <c r="K358" s="134" t="s">
        <v>2760</v>
      </c>
    </row>
    <row r="359">
      <c r="B359" s="110" t="s">
        <v>2761</v>
      </c>
      <c r="C359" s="91" t="s">
        <v>2762</v>
      </c>
      <c r="D359" s="91"/>
      <c r="E359" s="138" t="s">
        <v>1406</v>
      </c>
      <c r="F359" s="144"/>
      <c r="G359" s="111"/>
      <c r="H359" s="111"/>
      <c r="I359" s="111"/>
      <c r="J359" s="82" t="s">
        <v>2763</v>
      </c>
      <c r="K359" s="134" t="s">
        <v>2764</v>
      </c>
    </row>
    <row r="360">
      <c r="B360" s="110" t="s">
        <v>2765</v>
      </c>
      <c r="C360" s="91" t="s">
        <v>2766</v>
      </c>
      <c r="D360" s="91" t="s">
        <v>1966</v>
      </c>
      <c r="E360" s="138" t="s">
        <v>2767</v>
      </c>
      <c r="F360" s="111" t="s">
        <v>1674</v>
      </c>
      <c r="G360" s="111" t="s">
        <v>2768</v>
      </c>
      <c r="H360" s="111"/>
      <c r="I360" s="111"/>
      <c r="J360" s="160" t="s">
        <v>2544</v>
      </c>
      <c r="K360" s="134" t="s">
        <v>2769</v>
      </c>
    </row>
    <row r="361">
      <c r="A361" s="80"/>
      <c r="B361" s="95"/>
      <c r="C361" s="80" t="s">
        <v>709</v>
      </c>
      <c r="E361" s="80" t="s">
        <v>710</v>
      </c>
      <c r="F361" s="80" t="s">
        <v>1353</v>
      </c>
      <c r="G361" s="80" t="s">
        <v>1354</v>
      </c>
      <c r="I361" s="80"/>
      <c r="J361" s="80" t="s">
        <v>714</v>
      </c>
      <c r="K361" s="80"/>
    </row>
    <row r="362">
      <c r="A362" s="83"/>
      <c r="B362" s="128"/>
      <c r="C362" s="83" t="s">
        <v>1355</v>
      </c>
      <c r="D362" s="83" t="s">
        <v>715</v>
      </c>
      <c r="E362" s="83" t="s">
        <v>1356</v>
      </c>
      <c r="F362" s="83" t="s">
        <v>1357</v>
      </c>
      <c r="G362" s="83" t="s">
        <v>1358</v>
      </c>
      <c r="H362" s="83" t="s">
        <v>1359</v>
      </c>
      <c r="I362" s="83" t="s">
        <v>1359</v>
      </c>
      <c r="J362" s="83"/>
      <c r="K362" s="83"/>
    </row>
    <row r="363">
      <c r="A363" s="84" t="s">
        <v>2770</v>
      </c>
      <c r="B363" s="110" t="s">
        <v>2771</v>
      </c>
      <c r="C363" s="91" t="s">
        <v>2772</v>
      </c>
      <c r="D363" s="91" t="s">
        <v>2773</v>
      </c>
      <c r="E363" s="138" t="s">
        <v>1369</v>
      </c>
      <c r="F363" s="144"/>
      <c r="G363" s="136"/>
      <c r="H363" s="136"/>
      <c r="I363" s="136"/>
      <c r="J363" s="82" t="s">
        <v>2774</v>
      </c>
      <c r="K363" s="134" t="s">
        <v>2775</v>
      </c>
    </row>
    <row r="364">
      <c r="B364" s="110" t="s">
        <v>1193</v>
      </c>
      <c r="C364" s="91" t="s">
        <v>2776</v>
      </c>
      <c r="D364" s="91"/>
      <c r="E364" s="138" t="s">
        <v>1381</v>
      </c>
      <c r="F364" s="111" t="s">
        <v>1426</v>
      </c>
      <c r="G364" s="111"/>
      <c r="H364" s="111" t="s">
        <v>2777</v>
      </c>
      <c r="I364" s="136"/>
      <c r="J364" s="82" t="s">
        <v>2778</v>
      </c>
      <c r="K364" s="134" t="s">
        <v>2779</v>
      </c>
    </row>
    <row r="365">
      <c r="B365" s="110" t="s">
        <v>1198</v>
      </c>
      <c r="C365" s="91" t="s">
        <v>2780</v>
      </c>
      <c r="D365" s="91" t="s">
        <v>1380</v>
      </c>
      <c r="E365" s="138" t="s">
        <v>1978</v>
      </c>
      <c r="F365" s="111" t="s">
        <v>1426</v>
      </c>
      <c r="G365" s="111"/>
      <c r="H365" s="111" t="s">
        <v>2781</v>
      </c>
      <c r="I365" s="136"/>
      <c r="J365" s="82" t="s">
        <v>2782</v>
      </c>
      <c r="K365" s="134" t="s">
        <v>2783</v>
      </c>
    </row>
    <row r="366">
      <c r="B366" s="110" t="s">
        <v>1200</v>
      </c>
      <c r="C366" s="91" t="s">
        <v>2559</v>
      </c>
      <c r="D366" s="91" t="s">
        <v>1701</v>
      </c>
      <c r="E366" s="138" t="s">
        <v>1685</v>
      </c>
      <c r="F366" s="111" t="s">
        <v>1426</v>
      </c>
      <c r="G366" s="111"/>
      <c r="H366" s="111" t="s">
        <v>2784</v>
      </c>
      <c r="I366" s="111" t="s">
        <v>2785</v>
      </c>
      <c r="J366" s="82" t="s">
        <v>2786</v>
      </c>
      <c r="K366" s="134" t="s">
        <v>2787</v>
      </c>
    </row>
    <row r="367">
      <c r="B367" s="110" t="s">
        <v>1202</v>
      </c>
      <c r="C367" s="91" t="s">
        <v>2788</v>
      </c>
      <c r="D367" s="91"/>
      <c r="E367" s="138" t="s">
        <v>1702</v>
      </c>
      <c r="F367" s="111" t="s">
        <v>1426</v>
      </c>
      <c r="G367" s="111"/>
      <c r="H367" s="111" t="s">
        <v>2789</v>
      </c>
      <c r="I367" s="111" t="s">
        <v>2790</v>
      </c>
      <c r="J367" s="82" t="s">
        <v>2791</v>
      </c>
      <c r="K367" s="134" t="s">
        <v>2792</v>
      </c>
    </row>
    <row r="368">
      <c r="B368" s="110" t="s">
        <v>2793</v>
      </c>
      <c r="C368" s="91" t="s">
        <v>2794</v>
      </c>
      <c r="D368" s="91"/>
      <c r="E368" s="138" t="s">
        <v>2079</v>
      </c>
      <c r="F368" s="144"/>
      <c r="G368" s="136"/>
      <c r="H368" s="136"/>
      <c r="I368" s="111"/>
      <c r="J368" s="88" t="s">
        <v>2795</v>
      </c>
      <c r="K368" s="134" t="s">
        <v>2796</v>
      </c>
    </row>
    <row r="369">
      <c r="B369" s="110" t="s">
        <v>2797</v>
      </c>
      <c r="C369" s="91" t="s">
        <v>2570</v>
      </c>
      <c r="D369" s="91"/>
      <c r="E369" s="138" t="s">
        <v>1406</v>
      </c>
      <c r="F369" s="144"/>
      <c r="G369" s="136"/>
      <c r="H369" s="136"/>
      <c r="I369" s="111"/>
      <c r="J369" s="82" t="s">
        <v>2798</v>
      </c>
      <c r="K369" s="134" t="s">
        <v>2799</v>
      </c>
    </row>
    <row r="370">
      <c r="B370" s="110" t="s">
        <v>2800</v>
      </c>
      <c r="C370" s="91" t="s">
        <v>2801</v>
      </c>
      <c r="D370" s="91" t="s">
        <v>1410</v>
      </c>
      <c r="E370" s="138" t="s">
        <v>2802</v>
      </c>
      <c r="F370" s="111" t="s">
        <v>1719</v>
      </c>
      <c r="G370" s="111" t="s">
        <v>2803</v>
      </c>
      <c r="H370" s="111"/>
      <c r="I370" s="111"/>
      <c r="J370" s="82" t="s">
        <v>2804</v>
      </c>
      <c r="K370" s="134" t="s">
        <v>2805</v>
      </c>
    </row>
    <row r="371">
      <c r="A371" s="80"/>
      <c r="B371" s="95"/>
      <c r="C371" s="80" t="s">
        <v>709</v>
      </c>
      <c r="E371" s="80" t="s">
        <v>710</v>
      </c>
      <c r="F371" s="80" t="s">
        <v>1353</v>
      </c>
      <c r="G371" s="80" t="s">
        <v>1354</v>
      </c>
      <c r="I371" s="80"/>
      <c r="J371" s="80" t="s">
        <v>714</v>
      </c>
      <c r="K371" s="80"/>
    </row>
    <row r="372">
      <c r="A372" s="83"/>
      <c r="B372" s="128"/>
      <c r="C372" s="83" t="s">
        <v>1355</v>
      </c>
      <c r="D372" s="83" t="s">
        <v>715</v>
      </c>
      <c r="E372" s="83" t="s">
        <v>1356</v>
      </c>
      <c r="F372" s="83" t="s">
        <v>1357</v>
      </c>
      <c r="G372" s="83" t="s">
        <v>1358</v>
      </c>
      <c r="H372" s="83" t="s">
        <v>1359</v>
      </c>
      <c r="I372" s="83" t="s">
        <v>1359</v>
      </c>
      <c r="J372" s="83"/>
      <c r="K372" s="83"/>
    </row>
    <row r="373">
      <c r="A373" s="84" t="s">
        <v>2806</v>
      </c>
      <c r="B373" s="110" t="s">
        <v>2807</v>
      </c>
      <c r="C373" s="91" t="s">
        <v>2808</v>
      </c>
      <c r="D373" s="91" t="s">
        <v>2017</v>
      </c>
      <c r="E373" s="138" t="s">
        <v>1421</v>
      </c>
      <c r="F373" s="144"/>
      <c r="G373" s="136"/>
      <c r="H373" s="136"/>
      <c r="I373" s="111"/>
      <c r="J373" s="111" t="s">
        <v>2809</v>
      </c>
      <c r="K373" s="161" t="s">
        <v>2810</v>
      </c>
    </row>
    <row r="374">
      <c r="B374" s="110" t="s">
        <v>1205</v>
      </c>
      <c r="C374" s="91" t="s">
        <v>2303</v>
      </c>
      <c r="D374" s="91" t="s">
        <v>1425</v>
      </c>
      <c r="E374" s="138" t="s">
        <v>1381</v>
      </c>
      <c r="F374" s="111" t="s">
        <v>1426</v>
      </c>
      <c r="G374" s="111"/>
      <c r="H374" s="111" t="s">
        <v>2811</v>
      </c>
      <c r="I374" s="111"/>
      <c r="J374" s="111" t="s">
        <v>2812</v>
      </c>
      <c r="K374" s="161" t="s">
        <v>2813</v>
      </c>
    </row>
    <row r="375">
      <c r="B375" s="110" t="s">
        <v>1210</v>
      </c>
      <c r="C375" s="91" t="s">
        <v>2309</v>
      </c>
      <c r="D375" s="91" t="s">
        <v>1431</v>
      </c>
      <c r="E375" s="138" t="s">
        <v>1735</v>
      </c>
      <c r="F375" s="111" t="s">
        <v>1426</v>
      </c>
      <c r="G375" s="150" t="s">
        <v>2814</v>
      </c>
      <c r="H375" s="111"/>
      <c r="I375" s="111"/>
      <c r="J375" s="111" t="s">
        <v>2815</v>
      </c>
      <c r="K375" s="161" t="s">
        <v>2816</v>
      </c>
    </row>
    <row r="376">
      <c r="B376" s="110" t="s">
        <v>1212</v>
      </c>
      <c r="C376" s="91" t="s">
        <v>1739</v>
      </c>
      <c r="D376" s="91" t="s">
        <v>2817</v>
      </c>
      <c r="E376" s="138" t="s">
        <v>1685</v>
      </c>
      <c r="F376" s="111" t="s">
        <v>1426</v>
      </c>
      <c r="G376" s="111"/>
      <c r="H376" s="111" t="s">
        <v>2818</v>
      </c>
      <c r="I376" s="111"/>
      <c r="J376" s="111" t="s">
        <v>2819</v>
      </c>
      <c r="K376" s="161" t="s">
        <v>2820</v>
      </c>
    </row>
    <row r="377">
      <c r="B377" s="110" t="s">
        <v>1214</v>
      </c>
      <c r="C377" s="91" t="s">
        <v>2821</v>
      </c>
      <c r="D377" s="91" t="s">
        <v>2822</v>
      </c>
      <c r="E377" s="138" t="s">
        <v>2823</v>
      </c>
      <c r="F377" s="111" t="s">
        <v>1426</v>
      </c>
      <c r="G377" s="111"/>
      <c r="H377" s="111" t="s">
        <v>2824</v>
      </c>
      <c r="I377" s="111"/>
      <c r="J377" s="111" t="s">
        <v>2825</v>
      </c>
      <c r="K377" s="161" t="s">
        <v>2826</v>
      </c>
    </row>
    <row r="378">
      <c r="B378" s="110" t="s">
        <v>2827</v>
      </c>
      <c r="C378" s="91" t="s">
        <v>2327</v>
      </c>
      <c r="D378" s="91" t="s">
        <v>2328</v>
      </c>
      <c r="E378" s="86" t="s">
        <v>1451</v>
      </c>
      <c r="F378" s="144"/>
      <c r="G378" s="136"/>
      <c r="H378" s="136"/>
      <c r="I378" s="111"/>
      <c r="J378" s="111" t="s">
        <v>2828</v>
      </c>
      <c r="K378" s="161" t="s">
        <v>2829</v>
      </c>
    </row>
    <row r="379">
      <c r="B379" s="110" t="s">
        <v>2830</v>
      </c>
      <c r="C379" s="91" t="s">
        <v>2597</v>
      </c>
      <c r="D379" s="91" t="s">
        <v>217</v>
      </c>
      <c r="E379" s="138" t="s">
        <v>1455</v>
      </c>
      <c r="F379" s="144"/>
      <c r="G379" s="136"/>
      <c r="H379" s="136"/>
      <c r="I379" s="111"/>
      <c r="J379" s="82" t="s">
        <v>2798</v>
      </c>
      <c r="K379" s="161" t="s">
        <v>2831</v>
      </c>
    </row>
    <row r="380">
      <c r="B380" s="110" t="s">
        <v>2832</v>
      </c>
      <c r="C380" s="91" t="s">
        <v>2600</v>
      </c>
      <c r="D380" s="91" t="s">
        <v>2833</v>
      </c>
      <c r="E380" s="138" t="s">
        <v>2834</v>
      </c>
      <c r="F380" s="111" t="s">
        <v>1765</v>
      </c>
      <c r="G380" s="111" t="s">
        <v>2835</v>
      </c>
      <c r="H380" s="111"/>
      <c r="I380" s="111"/>
      <c r="J380" s="154" t="s">
        <v>2836</v>
      </c>
      <c r="K380" s="161" t="s">
        <v>2837</v>
      </c>
    </row>
    <row r="381">
      <c r="A381" s="80"/>
      <c r="B381" s="95"/>
      <c r="C381" s="80" t="s">
        <v>709</v>
      </c>
      <c r="E381" s="80" t="s">
        <v>710</v>
      </c>
      <c r="F381" s="80" t="s">
        <v>1353</v>
      </c>
      <c r="G381" s="80" t="s">
        <v>1354</v>
      </c>
      <c r="I381" s="80"/>
      <c r="J381" s="80" t="s">
        <v>714</v>
      </c>
      <c r="K381" s="80"/>
    </row>
    <row r="382">
      <c r="A382" s="83"/>
      <c r="B382" s="128"/>
      <c r="C382" s="83" t="s">
        <v>1355</v>
      </c>
      <c r="D382" s="83" t="s">
        <v>715</v>
      </c>
      <c r="E382" s="83" t="s">
        <v>1356</v>
      </c>
      <c r="F382" s="83" t="s">
        <v>1357</v>
      </c>
      <c r="G382" s="83" t="s">
        <v>1358</v>
      </c>
      <c r="H382" s="83" t="s">
        <v>1359</v>
      </c>
      <c r="I382" s="83" t="s">
        <v>1359</v>
      </c>
      <c r="J382" s="83"/>
      <c r="K382" s="83"/>
    </row>
    <row r="383">
      <c r="A383" s="84" t="s">
        <v>2838</v>
      </c>
      <c r="B383" s="110" t="s">
        <v>2839</v>
      </c>
      <c r="C383" s="91" t="s">
        <v>2840</v>
      </c>
      <c r="D383" s="91" t="s">
        <v>1772</v>
      </c>
      <c r="E383" s="138" t="s">
        <v>1369</v>
      </c>
      <c r="F383" s="144"/>
      <c r="G383" s="136"/>
      <c r="H383" s="136"/>
      <c r="I383" s="136"/>
      <c r="J383" s="88" t="s">
        <v>2841</v>
      </c>
      <c r="K383" s="161" t="s">
        <v>2842</v>
      </c>
    </row>
    <row r="384">
      <c r="B384" s="110" t="s">
        <v>1217</v>
      </c>
      <c r="C384" s="91" t="s">
        <v>2843</v>
      </c>
      <c r="D384" s="91" t="s">
        <v>2844</v>
      </c>
      <c r="E384" s="138" t="s">
        <v>1381</v>
      </c>
      <c r="F384" s="111" t="s">
        <v>1426</v>
      </c>
      <c r="G384" s="111"/>
      <c r="H384" s="111" t="s">
        <v>2845</v>
      </c>
      <c r="I384" s="136"/>
      <c r="J384" s="88" t="s">
        <v>2846</v>
      </c>
      <c r="K384" s="161" t="s">
        <v>2847</v>
      </c>
    </row>
    <row r="385">
      <c r="B385" s="110" t="s">
        <v>1221</v>
      </c>
      <c r="C385" s="91" t="s">
        <v>2848</v>
      </c>
      <c r="D385" s="91" t="s">
        <v>1477</v>
      </c>
      <c r="E385" s="138" t="s">
        <v>1782</v>
      </c>
      <c r="F385" s="111" t="s">
        <v>1426</v>
      </c>
      <c r="G385" s="111"/>
      <c r="H385" s="111" t="s">
        <v>2849</v>
      </c>
      <c r="I385" s="111"/>
      <c r="J385" s="88" t="s">
        <v>2850</v>
      </c>
      <c r="K385" s="161" t="s">
        <v>2851</v>
      </c>
    </row>
    <row r="386">
      <c r="B386" s="110" t="s">
        <v>1224</v>
      </c>
      <c r="C386" s="91" t="s">
        <v>2852</v>
      </c>
      <c r="D386" s="91" t="s">
        <v>2853</v>
      </c>
      <c r="E386" s="138" t="s">
        <v>1741</v>
      </c>
      <c r="F386" s="111" t="s">
        <v>1426</v>
      </c>
      <c r="G386" s="111"/>
      <c r="H386" s="111" t="s">
        <v>2854</v>
      </c>
      <c r="I386" s="111" t="s">
        <v>2855</v>
      </c>
      <c r="J386" s="88" t="s">
        <v>2786</v>
      </c>
      <c r="K386" s="161" t="s">
        <v>2856</v>
      </c>
    </row>
    <row r="387">
      <c r="B387" s="110" t="s">
        <v>1226</v>
      </c>
      <c r="C387" s="91" t="s">
        <v>2857</v>
      </c>
      <c r="D387" s="91"/>
      <c r="E387" s="138" t="s">
        <v>2278</v>
      </c>
      <c r="F387" s="111" t="s">
        <v>1426</v>
      </c>
      <c r="G387" s="111"/>
      <c r="H387" s="111" t="s">
        <v>2858</v>
      </c>
      <c r="I387" s="111" t="s">
        <v>2859</v>
      </c>
      <c r="J387" s="88" t="s">
        <v>2860</v>
      </c>
      <c r="K387" s="161" t="s">
        <v>2861</v>
      </c>
    </row>
    <row r="388">
      <c r="B388" s="110" t="s">
        <v>2862</v>
      </c>
      <c r="C388" s="91" t="s">
        <v>2863</v>
      </c>
      <c r="D388" s="91"/>
      <c r="E388" s="138" t="s">
        <v>1666</v>
      </c>
      <c r="F388" s="144"/>
      <c r="G388" s="136"/>
      <c r="H388" s="136"/>
      <c r="I388" s="111"/>
      <c r="J388" s="82" t="s">
        <v>2864</v>
      </c>
      <c r="K388" s="161" t="s">
        <v>2865</v>
      </c>
    </row>
    <row r="389">
      <c r="B389" s="110" t="s">
        <v>2866</v>
      </c>
      <c r="C389" s="91" t="s">
        <v>2867</v>
      </c>
      <c r="D389" s="91"/>
      <c r="E389" s="138" t="s">
        <v>1406</v>
      </c>
      <c r="F389" s="145"/>
      <c r="G389" s="136"/>
      <c r="H389" s="136"/>
      <c r="I389" s="111"/>
      <c r="J389" s="82" t="s">
        <v>2868</v>
      </c>
      <c r="K389" s="161" t="s">
        <v>2869</v>
      </c>
    </row>
    <row r="390">
      <c r="B390" s="110" t="s">
        <v>2870</v>
      </c>
      <c r="C390" s="91" t="s">
        <v>1807</v>
      </c>
      <c r="D390" s="91" t="s">
        <v>2374</v>
      </c>
      <c r="E390" s="138" t="s">
        <v>2871</v>
      </c>
      <c r="F390" s="111" t="s">
        <v>1502</v>
      </c>
      <c r="G390" s="111" t="s">
        <v>2872</v>
      </c>
      <c r="H390" s="111"/>
      <c r="I390" s="136"/>
      <c r="J390" s="88" t="s">
        <v>2873</v>
      </c>
      <c r="K390" s="161" t="s">
        <v>2874</v>
      </c>
    </row>
    <row r="391">
      <c r="A391" s="80"/>
      <c r="B391" s="95"/>
      <c r="C391" s="80" t="s">
        <v>709</v>
      </c>
      <c r="E391" s="80" t="s">
        <v>710</v>
      </c>
      <c r="F391" s="80" t="s">
        <v>1353</v>
      </c>
      <c r="G391" s="80" t="s">
        <v>1354</v>
      </c>
      <c r="I391" s="80"/>
      <c r="J391" s="80" t="s">
        <v>714</v>
      </c>
      <c r="K391" s="80"/>
    </row>
    <row r="392">
      <c r="A392" s="83"/>
      <c r="B392" s="128"/>
      <c r="C392" s="83" t="s">
        <v>1355</v>
      </c>
      <c r="D392" s="83" t="s">
        <v>715</v>
      </c>
      <c r="E392" s="83" t="s">
        <v>1356</v>
      </c>
      <c r="F392" s="83" t="s">
        <v>1357</v>
      </c>
      <c r="G392" s="83" t="s">
        <v>1358</v>
      </c>
      <c r="H392" s="83" t="s">
        <v>1359</v>
      </c>
      <c r="I392" s="83" t="s">
        <v>1359</v>
      </c>
      <c r="J392" s="83"/>
      <c r="K392" s="83"/>
    </row>
    <row r="393">
      <c r="A393" s="84" t="s">
        <v>1227</v>
      </c>
      <c r="B393" s="110" t="s">
        <v>2875</v>
      </c>
      <c r="C393" s="91" t="s">
        <v>2876</v>
      </c>
      <c r="D393" s="91" t="s">
        <v>1509</v>
      </c>
      <c r="E393" s="138"/>
      <c r="F393" s="151" t="s">
        <v>1510</v>
      </c>
      <c r="G393" s="136"/>
      <c r="H393" s="136"/>
      <c r="I393" s="136"/>
      <c r="J393" s="88" t="s">
        <v>2877</v>
      </c>
      <c r="K393" s="134" t="s">
        <v>2878</v>
      </c>
    </row>
    <row r="394">
      <c r="B394" s="110" t="s">
        <v>1228</v>
      </c>
      <c r="C394" s="91" t="s">
        <v>2879</v>
      </c>
      <c r="D394" s="91"/>
      <c r="E394" s="138" t="s">
        <v>1741</v>
      </c>
      <c r="F394" s="111" t="s">
        <v>1426</v>
      </c>
      <c r="G394" s="111" t="s">
        <v>2880</v>
      </c>
      <c r="H394" s="111"/>
      <c r="I394" s="111"/>
      <c r="J394" s="88" t="s">
        <v>2881</v>
      </c>
      <c r="K394" s="134" t="s">
        <v>2882</v>
      </c>
    </row>
    <row r="395">
      <c r="B395" s="110" t="s">
        <v>1232</v>
      </c>
      <c r="C395" s="91" t="s">
        <v>2883</v>
      </c>
      <c r="D395" s="91"/>
      <c r="E395" s="138" t="s">
        <v>2884</v>
      </c>
      <c r="F395" s="111" t="s">
        <v>1426</v>
      </c>
      <c r="G395" s="111"/>
      <c r="H395" s="111" t="s">
        <v>2885</v>
      </c>
      <c r="I395" s="111"/>
      <c r="J395" s="88" t="s">
        <v>2881</v>
      </c>
      <c r="K395" s="134" t="s">
        <v>2886</v>
      </c>
    </row>
    <row r="396">
      <c r="B396" s="110" t="s">
        <v>1234</v>
      </c>
      <c r="C396" s="91" t="s">
        <v>2887</v>
      </c>
      <c r="D396" s="91"/>
      <c r="E396" s="138" t="s">
        <v>1685</v>
      </c>
      <c r="F396" s="111" t="s">
        <v>1426</v>
      </c>
      <c r="G396" s="111"/>
      <c r="H396" s="111" t="s">
        <v>2888</v>
      </c>
      <c r="I396" s="111"/>
      <c r="J396" s="88" t="s">
        <v>2881</v>
      </c>
      <c r="K396" s="134" t="s">
        <v>2889</v>
      </c>
    </row>
    <row r="397">
      <c r="B397" s="110" t="s">
        <v>1237</v>
      </c>
      <c r="C397" s="91" t="s">
        <v>2890</v>
      </c>
      <c r="D397" s="91"/>
      <c r="E397" s="138" t="s">
        <v>2072</v>
      </c>
      <c r="F397" s="111" t="s">
        <v>1426</v>
      </c>
      <c r="G397" s="111"/>
      <c r="H397" s="111" t="s">
        <v>2891</v>
      </c>
      <c r="I397" s="111"/>
      <c r="J397" s="88" t="s">
        <v>2892</v>
      </c>
      <c r="K397" s="134" t="s">
        <v>2893</v>
      </c>
    </row>
    <row r="398">
      <c r="B398" s="110" t="s">
        <v>2894</v>
      </c>
      <c r="C398" s="91" t="s">
        <v>2895</v>
      </c>
      <c r="D398" s="91" t="s">
        <v>2402</v>
      </c>
      <c r="E398" s="138" t="s">
        <v>2896</v>
      </c>
      <c r="F398" s="144"/>
      <c r="G398" s="136"/>
      <c r="H398" s="136"/>
      <c r="I398" s="111"/>
      <c r="J398" s="88" t="s">
        <v>2897</v>
      </c>
      <c r="K398" s="134" t="s">
        <v>2898</v>
      </c>
    </row>
    <row r="399">
      <c r="B399" s="110" t="s">
        <v>2899</v>
      </c>
      <c r="C399" s="91" t="s">
        <v>2900</v>
      </c>
      <c r="D399" s="91" t="s">
        <v>1538</v>
      </c>
      <c r="E399" s="138" t="s">
        <v>2408</v>
      </c>
      <c r="F399" s="144"/>
      <c r="G399" s="111"/>
      <c r="H399" s="111"/>
      <c r="I399" s="111"/>
      <c r="J399" s="160" t="s">
        <v>2901</v>
      </c>
      <c r="K399" s="134" t="s">
        <v>2902</v>
      </c>
    </row>
    <row r="400">
      <c r="B400" s="110" t="s">
        <v>2903</v>
      </c>
      <c r="C400" s="91" t="s">
        <v>2904</v>
      </c>
      <c r="D400" s="91"/>
      <c r="E400" s="138" t="s">
        <v>1843</v>
      </c>
      <c r="F400" s="145"/>
      <c r="G400" s="136"/>
      <c r="H400" s="136"/>
      <c r="I400" s="111"/>
      <c r="J400" s="82" t="s">
        <v>2905</v>
      </c>
      <c r="K400" s="134" t="s">
        <v>2906</v>
      </c>
    </row>
    <row r="401">
      <c r="B401" s="110" t="s">
        <v>2907</v>
      </c>
      <c r="C401" s="91" t="s">
        <v>2908</v>
      </c>
      <c r="D401" s="91" t="s">
        <v>1549</v>
      </c>
      <c r="E401" s="138" t="s">
        <v>2909</v>
      </c>
      <c r="F401" s="111" t="s">
        <v>1551</v>
      </c>
      <c r="G401" s="111" t="s">
        <v>2910</v>
      </c>
      <c r="H401" s="111"/>
      <c r="I401" s="111"/>
      <c r="J401" s="88" t="s">
        <v>2911</v>
      </c>
      <c r="K401" s="134" t="s">
        <v>2912</v>
      </c>
    </row>
    <row r="402">
      <c r="A402" s="80"/>
      <c r="B402" s="95"/>
      <c r="C402" s="80" t="s">
        <v>709</v>
      </c>
      <c r="E402" s="80" t="s">
        <v>710</v>
      </c>
      <c r="F402" s="80" t="s">
        <v>1353</v>
      </c>
      <c r="G402" s="80" t="s">
        <v>1354</v>
      </c>
      <c r="I402" s="80"/>
      <c r="J402" s="80" t="s">
        <v>714</v>
      </c>
      <c r="K402" s="80"/>
    </row>
    <row r="403">
      <c r="A403" s="83"/>
      <c r="B403" s="128"/>
      <c r="C403" s="83" t="s">
        <v>1355</v>
      </c>
      <c r="D403" s="83" t="s">
        <v>715</v>
      </c>
      <c r="E403" s="83" t="s">
        <v>1356</v>
      </c>
      <c r="F403" s="83" t="s">
        <v>1357</v>
      </c>
      <c r="G403" s="83" t="s">
        <v>1358</v>
      </c>
      <c r="H403" s="83" t="s">
        <v>1359</v>
      </c>
      <c r="I403" s="83" t="s">
        <v>1359</v>
      </c>
      <c r="J403" s="83"/>
      <c r="K403" s="83"/>
    </row>
    <row r="404">
      <c r="A404" s="84" t="s">
        <v>2913</v>
      </c>
      <c r="B404" s="110" t="s">
        <v>2914</v>
      </c>
      <c r="C404" s="91" t="s">
        <v>2915</v>
      </c>
      <c r="D404" s="91" t="s">
        <v>1558</v>
      </c>
      <c r="E404" s="138" t="s">
        <v>1510</v>
      </c>
      <c r="F404" s="144"/>
      <c r="G404" s="136"/>
      <c r="H404" s="136"/>
      <c r="I404" s="136"/>
      <c r="J404" s="88" t="s">
        <v>2916</v>
      </c>
      <c r="K404" s="134" t="s">
        <v>2917</v>
      </c>
    </row>
    <row r="405">
      <c r="B405" s="110" t="s">
        <v>1239</v>
      </c>
      <c r="C405" s="91" t="s">
        <v>2918</v>
      </c>
      <c r="D405" s="91" t="s">
        <v>1562</v>
      </c>
      <c r="E405" s="138" t="s">
        <v>2135</v>
      </c>
      <c r="F405" s="111" t="s">
        <v>1426</v>
      </c>
      <c r="G405" s="111"/>
      <c r="H405" s="111" t="s">
        <v>2919</v>
      </c>
      <c r="I405" s="111" t="s">
        <v>2920</v>
      </c>
      <c r="J405" s="88" t="s">
        <v>2921</v>
      </c>
      <c r="K405" s="134" t="s">
        <v>2922</v>
      </c>
    </row>
    <row r="406">
      <c r="B406" s="110" t="s">
        <v>1244</v>
      </c>
      <c r="C406" s="91" t="s">
        <v>2923</v>
      </c>
      <c r="D406" s="91" t="s">
        <v>1569</v>
      </c>
      <c r="E406" s="138" t="s">
        <v>2433</v>
      </c>
      <c r="F406" s="111" t="s">
        <v>1426</v>
      </c>
      <c r="G406" s="111"/>
      <c r="H406" s="111" t="s">
        <v>2924</v>
      </c>
      <c r="I406" s="111" t="s">
        <v>2925</v>
      </c>
      <c r="J406" s="88" t="s">
        <v>2926</v>
      </c>
      <c r="K406" s="134" t="s">
        <v>2927</v>
      </c>
    </row>
    <row r="407">
      <c r="B407" s="110" t="s">
        <v>1246</v>
      </c>
      <c r="C407" s="91" t="s">
        <v>2928</v>
      </c>
      <c r="D407" s="91" t="s">
        <v>1868</v>
      </c>
      <c r="E407" s="138" t="s">
        <v>2385</v>
      </c>
      <c r="F407" s="111" t="s">
        <v>1426</v>
      </c>
      <c r="G407" s="111"/>
      <c r="H407" s="111" t="s">
        <v>2929</v>
      </c>
      <c r="I407" s="111" t="s">
        <v>2930</v>
      </c>
      <c r="J407" s="88" t="s">
        <v>2921</v>
      </c>
      <c r="K407" s="134" t="s">
        <v>2931</v>
      </c>
    </row>
    <row r="408">
      <c r="B408" s="110" t="s">
        <v>1248</v>
      </c>
      <c r="C408" s="91" t="s">
        <v>2932</v>
      </c>
      <c r="D408" s="91" t="s">
        <v>1873</v>
      </c>
      <c r="E408" s="138" t="s">
        <v>2385</v>
      </c>
      <c r="F408" s="111" t="s">
        <v>1426</v>
      </c>
      <c r="G408" s="111" t="s">
        <v>2933</v>
      </c>
      <c r="H408" s="111" t="s">
        <v>2934</v>
      </c>
      <c r="I408" s="111"/>
      <c r="J408" s="88" t="s">
        <v>2926</v>
      </c>
      <c r="K408" s="134" t="s">
        <v>2935</v>
      </c>
    </row>
    <row r="409">
      <c r="B409" s="110" t="s">
        <v>1250</v>
      </c>
      <c r="C409" s="91" t="s">
        <v>2936</v>
      </c>
      <c r="D409" s="91"/>
      <c r="E409" s="138" t="s">
        <v>1702</v>
      </c>
      <c r="F409" s="111" t="s">
        <v>1426</v>
      </c>
      <c r="G409" s="111"/>
      <c r="H409" s="111" t="s">
        <v>2937</v>
      </c>
      <c r="I409" s="111" t="s">
        <v>2938</v>
      </c>
      <c r="J409" s="88" t="s">
        <v>2939</v>
      </c>
      <c r="K409" s="134" t="s">
        <v>2940</v>
      </c>
    </row>
    <row r="410">
      <c r="B410" s="110" t="s">
        <v>2941</v>
      </c>
      <c r="C410" s="91" t="s">
        <v>2942</v>
      </c>
      <c r="D410" s="91"/>
      <c r="E410" s="138" t="s">
        <v>1451</v>
      </c>
      <c r="F410" s="144"/>
      <c r="G410" s="136"/>
      <c r="H410" s="136"/>
      <c r="I410" s="111"/>
      <c r="J410" s="88" t="s">
        <v>2943</v>
      </c>
      <c r="K410" s="134" t="s">
        <v>2944</v>
      </c>
    </row>
    <row r="411">
      <c r="B411" s="110" t="s">
        <v>2945</v>
      </c>
      <c r="C411" s="91" t="s">
        <v>2946</v>
      </c>
      <c r="D411" s="91"/>
      <c r="E411" s="138" t="s">
        <v>2165</v>
      </c>
      <c r="F411" s="145"/>
      <c r="G411" s="136"/>
      <c r="H411" s="136"/>
      <c r="I411" s="111"/>
      <c r="J411" s="82" t="s">
        <v>2905</v>
      </c>
      <c r="K411" s="134" t="s">
        <v>2947</v>
      </c>
    </row>
    <row r="412">
      <c r="B412" s="110" t="s">
        <v>2948</v>
      </c>
      <c r="C412" s="91" t="s">
        <v>2949</v>
      </c>
      <c r="D412" s="91" t="s">
        <v>1593</v>
      </c>
      <c r="E412" s="138" t="s">
        <v>2950</v>
      </c>
      <c r="F412" s="111" t="s">
        <v>1595</v>
      </c>
      <c r="G412" s="111" t="s">
        <v>2951</v>
      </c>
      <c r="H412" s="111"/>
      <c r="I412" s="111"/>
      <c r="J412" s="88" t="s">
        <v>2952</v>
      </c>
      <c r="K412" s="134" t="s">
        <v>2953</v>
      </c>
    </row>
    <row r="413">
      <c r="A413" s="80"/>
      <c r="B413" s="95"/>
      <c r="C413" s="80" t="s">
        <v>709</v>
      </c>
      <c r="E413" s="80" t="s">
        <v>710</v>
      </c>
      <c r="F413" s="80" t="s">
        <v>1353</v>
      </c>
      <c r="G413" s="80" t="s">
        <v>1354</v>
      </c>
      <c r="I413" s="80"/>
      <c r="J413" s="80" t="s">
        <v>714</v>
      </c>
      <c r="K413" s="80"/>
    </row>
    <row r="414">
      <c r="A414" s="83"/>
      <c r="B414" s="128"/>
      <c r="C414" s="83" t="s">
        <v>1355</v>
      </c>
      <c r="D414" s="83" t="s">
        <v>715</v>
      </c>
      <c r="E414" s="83" t="s">
        <v>1356</v>
      </c>
      <c r="F414" s="83" t="s">
        <v>1357</v>
      </c>
      <c r="G414" s="83" t="s">
        <v>1358</v>
      </c>
      <c r="H414" s="83" t="s">
        <v>1359</v>
      </c>
      <c r="I414" s="83" t="s">
        <v>1359</v>
      </c>
      <c r="J414" s="83"/>
      <c r="K414" s="83"/>
    </row>
    <row r="415">
      <c r="A415" s="84" t="s">
        <v>2954</v>
      </c>
      <c r="B415" s="110" t="s">
        <v>2955</v>
      </c>
      <c r="C415" s="91" t="s">
        <v>2717</v>
      </c>
      <c r="D415" s="91" t="s">
        <v>2956</v>
      </c>
      <c r="E415" s="138" t="s">
        <v>1510</v>
      </c>
      <c r="F415" s="144"/>
      <c r="G415" s="136"/>
      <c r="H415" s="136"/>
      <c r="I415" s="136"/>
      <c r="J415" s="88" t="s">
        <v>2957</v>
      </c>
      <c r="K415" s="134" t="s">
        <v>2958</v>
      </c>
    </row>
    <row r="416">
      <c r="B416" s="110" t="s">
        <v>1254</v>
      </c>
      <c r="C416" s="91" t="s">
        <v>2720</v>
      </c>
      <c r="D416" s="91"/>
      <c r="E416" s="138" t="s">
        <v>2959</v>
      </c>
      <c r="F416" s="111" t="s">
        <v>1426</v>
      </c>
      <c r="G416" s="111" t="s">
        <v>2960</v>
      </c>
      <c r="H416" s="111"/>
      <c r="I416" s="136"/>
      <c r="J416" s="88" t="s">
        <v>2961</v>
      </c>
      <c r="K416" s="134" t="s">
        <v>2962</v>
      </c>
    </row>
    <row r="417">
      <c r="B417" s="110" t="s">
        <v>1259</v>
      </c>
      <c r="C417" s="91" t="s">
        <v>2963</v>
      </c>
      <c r="D417" s="91"/>
      <c r="E417" s="138" t="s">
        <v>1908</v>
      </c>
      <c r="F417" s="111" t="s">
        <v>1426</v>
      </c>
      <c r="G417" s="111" t="s">
        <v>2964</v>
      </c>
      <c r="H417" s="111"/>
      <c r="I417" s="111"/>
      <c r="J417" s="88" t="s">
        <v>2881</v>
      </c>
      <c r="K417" s="134" t="s">
        <v>2965</v>
      </c>
    </row>
    <row r="418">
      <c r="B418" s="110" t="s">
        <v>1262</v>
      </c>
      <c r="C418" s="91" t="s">
        <v>2487</v>
      </c>
      <c r="D418" s="91"/>
      <c r="E418" s="138" t="s">
        <v>1741</v>
      </c>
      <c r="F418" s="111" t="s">
        <v>1426</v>
      </c>
      <c r="G418" s="111"/>
      <c r="H418" s="111" t="s">
        <v>2966</v>
      </c>
      <c r="I418" s="111" t="s">
        <v>2967</v>
      </c>
      <c r="J418" s="88" t="s">
        <v>2926</v>
      </c>
      <c r="K418" s="134" t="s">
        <v>2968</v>
      </c>
    </row>
    <row r="419">
      <c r="B419" s="110" t="s">
        <v>1264</v>
      </c>
      <c r="C419" s="91" t="s">
        <v>2490</v>
      </c>
      <c r="D419" s="91"/>
      <c r="E419" s="138" t="s">
        <v>1702</v>
      </c>
      <c r="F419" s="111" t="s">
        <v>1426</v>
      </c>
      <c r="G419" s="111"/>
      <c r="H419" s="111" t="s">
        <v>2969</v>
      </c>
      <c r="I419" s="111"/>
      <c r="J419" s="88" t="s">
        <v>2892</v>
      </c>
      <c r="K419" s="134" t="s">
        <v>2970</v>
      </c>
    </row>
    <row r="420">
      <c r="B420" s="110" t="s">
        <v>2971</v>
      </c>
      <c r="C420" s="91" t="s">
        <v>2972</v>
      </c>
      <c r="D420" s="91"/>
      <c r="E420" s="138" t="s">
        <v>1451</v>
      </c>
      <c r="F420" s="144"/>
      <c r="G420" s="136"/>
      <c r="H420" s="136"/>
      <c r="I420" s="111"/>
      <c r="J420" s="88" t="s">
        <v>2973</v>
      </c>
      <c r="K420" s="134" t="s">
        <v>2974</v>
      </c>
    </row>
    <row r="421">
      <c r="B421" s="110" t="s">
        <v>2975</v>
      </c>
      <c r="C421" s="90" t="s">
        <v>1926</v>
      </c>
      <c r="D421" s="90"/>
      <c r="E421" s="138" t="s">
        <v>2209</v>
      </c>
      <c r="F421" s="111"/>
      <c r="G421" s="111"/>
      <c r="H421" s="111"/>
      <c r="I421" s="111"/>
      <c r="J421" s="82" t="s">
        <v>2868</v>
      </c>
      <c r="K421" s="134" t="s">
        <v>2976</v>
      </c>
    </row>
    <row r="422">
      <c r="B422" s="110" t="s">
        <v>2977</v>
      </c>
      <c r="C422" s="91" t="s">
        <v>2978</v>
      </c>
      <c r="D422" s="91" t="s">
        <v>2979</v>
      </c>
      <c r="E422" s="138" t="s">
        <v>2980</v>
      </c>
      <c r="F422" s="111" t="s">
        <v>1638</v>
      </c>
      <c r="G422" s="111" t="s">
        <v>2981</v>
      </c>
      <c r="H422" s="111"/>
      <c r="I422" s="111"/>
      <c r="J422" s="88" t="s">
        <v>2982</v>
      </c>
      <c r="K422" s="134" t="s">
        <v>2983</v>
      </c>
    </row>
    <row r="423">
      <c r="A423" s="80"/>
      <c r="B423" s="95"/>
      <c r="C423" s="80" t="s">
        <v>709</v>
      </c>
      <c r="E423" s="80" t="s">
        <v>710</v>
      </c>
      <c r="F423" s="80" t="s">
        <v>1353</v>
      </c>
      <c r="G423" s="80" t="s">
        <v>1354</v>
      </c>
      <c r="I423" s="80"/>
      <c r="J423" s="80" t="s">
        <v>714</v>
      </c>
      <c r="K423" s="80"/>
    </row>
    <row r="424">
      <c r="A424" s="83"/>
      <c r="B424" s="128"/>
      <c r="C424" s="83" t="s">
        <v>1355</v>
      </c>
      <c r="D424" s="83" t="s">
        <v>715</v>
      </c>
      <c r="E424" s="83" t="s">
        <v>1356</v>
      </c>
      <c r="F424" s="83" t="s">
        <v>1357</v>
      </c>
      <c r="G424" s="83" t="s">
        <v>1358</v>
      </c>
      <c r="H424" s="83" t="s">
        <v>1359</v>
      </c>
      <c r="I424" s="83" t="s">
        <v>1359</v>
      </c>
      <c r="J424" s="83"/>
      <c r="K424" s="83"/>
    </row>
    <row r="425">
      <c r="A425" s="84" t="s">
        <v>2984</v>
      </c>
      <c r="B425" s="110" t="s">
        <v>2985</v>
      </c>
      <c r="C425" s="91" t="s">
        <v>2986</v>
      </c>
      <c r="D425" s="91" t="s">
        <v>2987</v>
      </c>
      <c r="E425" s="138" t="s">
        <v>1421</v>
      </c>
      <c r="F425" s="144"/>
      <c r="G425" s="136"/>
      <c r="H425" s="136"/>
      <c r="I425" s="111"/>
      <c r="J425" s="88" t="s">
        <v>2988</v>
      </c>
      <c r="K425" s="134" t="s">
        <v>2989</v>
      </c>
    </row>
    <row r="426">
      <c r="B426" s="110" t="s">
        <v>1266</v>
      </c>
      <c r="C426" s="91" t="s">
        <v>2990</v>
      </c>
      <c r="D426" s="91"/>
      <c r="E426" s="138" t="s">
        <v>1741</v>
      </c>
      <c r="F426" s="111" t="s">
        <v>1426</v>
      </c>
      <c r="G426" s="111" t="s">
        <v>2991</v>
      </c>
      <c r="H426" s="111"/>
      <c r="I426" s="111"/>
      <c r="J426" s="88" t="s">
        <v>2812</v>
      </c>
      <c r="K426" s="134" t="s">
        <v>2992</v>
      </c>
    </row>
    <row r="427">
      <c r="B427" s="110" t="s">
        <v>1271</v>
      </c>
      <c r="C427" s="91" t="s">
        <v>2993</v>
      </c>
      <c r="D427" s="91" t="s">
        <v>2994</v>
      </c>
      <c r="E427" s="138" t="s">
        <v>2995</v>
      </c>
      <c r="F427" s="111" t="s">
        <v>1426</v>
      </c>
      <c r="G427" s="111"/>
      <c r="H427" s="111" t="s">
        <v>2996</v>
      </c>
      <c r="I427" s="111"/>
      <c r="J427" s="88" t="s">
        <v>2812</v>
      </c>
      <c r="K427" s="134" t="s">
        <v>2997</v>
      </c>
    </row>
    <row r="428">
      <c r="B428" s="110" t="s">
        <v>1272</v>
      </c>
      <c r="C428" s="91" t="s">
        <v>2998</v>
      </c>
      <c r="D428" s="91"/>
      <c r="E428" s="138" t="s">
        <v>2999</v>
      </c>
      <c r="F428" s="111" t="s">
        <v>1426</v>
      </c>
      <c r="G428" s="111"/>
      <c r="H428" s="111" t="s">
        <v>3000</v>
      </c>
      <c r="I428" s="111"/>
      <c r="J428" s="88" t="s">
        <v>2812</v>
      </c>
      <c r="K428" s="134" t="s">
        <v>3001</v>
      </c>
    </row>
    <row r="429">
      <c r="B429" s="110" t="s">
        <v>1276</v>
      </c>
      <c r="C429" s="91" t="s">
        <v>3002</v>
      </c>
      <c r="D429" s="91"/>
      <c r="E429" s="138" t="s">
        <v>1702</v>
      </c>
      <c r="F429" s="111" t="s">
        <v>1426</v>
      </c>
      <c r="G429" s="111"/>
      <c r="H429" s="111" t="s">
        <v>3003</v>
      </c>
      <c r="I429" s="111"/>
      <c r="J429" s="88" t="s">
        <v>2860</v>
      </c>
      <c r="K429" s="134" t="s">
        <v>3004</v>
      </c>
    </row>
    <row r="430">
      <c r="B430" s="110" t="s">
        <v>3005</v>
      </c>
      <c r="C430" s="91" t="s">
        <v>3006</v>
      </c>
      <c r="D430" s="91"/>
      <c r="E430" s="138" t="s">
        <v>1451</v>
      </c>
      <c r="F430" s="144"/>
      <c r="G430" s="136"/>
      <c r="H430" s="136"/>
      <c r="I430" s="111"/>
      <c r="J430" s="88" t="s">
        <v>2943</v>
      </c>
      <c r="K430" s="134" t="s">
        <v>3007</v>
      </c>
    </row>
    <row r="431">
      <c r="B431" s="110" t="s">
        <v>3008</v>
      </c>
      <c r="C431" s="91" t="s">
        <v>2867</v>
      </c>
      <c r="D431" s="91"/>
      <c r="E431" s="138" t="s">
        <v>1406</v>
      </c>
      <c r="F431" s="145"/>
      <c r="G431" s="111"/>
      <c r="H431" s="111"/>
      <c r="I431" s="111"/>
      <c r="J431" s="82" t="s">
        <v>2798</v>
      </c>
      <c r="K431" s="134" t="s">
        <v>3009</v>
      </c>
    </row>
    <row r="432">
      <c r="B432" s="110" t="s">
        <v>3010</v>
      </c>
      <c r="C432" s="91" t="s">
        <v>3011</v>
      </c>
      <c r="D432" s="91" t="s">
        <v>3012</v>
      </c>
      <c r="E432" s="138" t="s">
        <v>3013</v>
      </c>
      <c r="F432" s="111" t="s">
        <v>1674</v>
      </c>
      <c r="G432" s="111" t="s">
        <v>3014</v>
      </c>
      <c r="H432" s="111"/>
      <c r="I432" s="111"/>
      <c r="J432" s="88" t="s">
        <v>3015</v>
      </c>
      <c r="K432" s="134" t="s">
        <v>3016</v>
      </c>
    </row>
    <row r="433">
      <c r="A433" s="80"/>
      <c r="B433" s="95"/>
      <c r="C433" s="80" t="s">
        <v>709</v>
      </c>
      <c r="E433" s="80" t="s">
        <v>710</v>
      </c>
      <c r="F433" s="80" t="s">
        <v>1353</v>
      </c>
      <c r="G433" s="80" t="s">
        <v>1354</v>
      </c>
      <c r="I433" s="80"/>
      <c r="J433" s="80" t="s">
        <v>714</v>
      </c>
      <c r="K433" s="80"/>
    </row>
    <row r="434">
      <c r="A434" s="83"/>
      <c r="B434" s="128"/>
      <c r="C434" s="83" t="s">
        <v>1355</v>
      </c>
      <c r="D434" s="83" t="s">
        <v>715</v>
      </c>
      <c r="E434" s="83" t="s">
        <v>1356</v>
      </c>
      <c r="F434" s="83" t="s">
        <v>1357</v>
      </c>
      <c r="G434" s="83" t="s">
        <v>1358</v>
      </c>
      <c r="H434" s="83" t="s">
        <v>1359</v>
      </c>
      <c r="I434" s="83" t="s">
        <v>1359</v>
      </c>
      <c r="J434" s="83"/>
      <c r="K434" s="83"/>
    </row>
    <row r="435">
      <c r="A435" s="84" t="s">
        <v>3017</v>
      </c>
      <c r="B435" s="110" t="s">
        <v>3018</v>
      </c>
      <c r="C435" s="91" t="s">
        <v>3019</v>
      </c>
      <c r="D435" s="91" t="s">
        <v>3020</v>
      </c>
      <c r="E435" s="138" t="s">
        <v>1369</v>
      </c>
      <c r="F435" s="144"/>
      <c r="G435" s="136"/>
      <c r="H435" s="136"/>
      <c r="I435" s="136"/>
      <c r="J435" s="82" t="s">
        <v>3021</v>
      </c>
      <c r="K435" s="134" t="s">
        <v>3022</v>
      </c>
    </row>
    <row r="436">
      <c r="B436" s="110" t="s">
        <v>1279</v>
      </c>
      <c r="C436" s="91" t="s">
        <v>2776</v>
      </c>
      <c r="D436" s="91"/>
      <c r="E436" s="138" t="s">
        <v>1381</v>
      </c>
      <c r="F436" s="111" t="s">
        <v>1426</v>
      </c>
      <c r="G436" s="111"/>
      <c r="H436" s="111" t="s">
        <v>3023</v>
      </c>
      <c r="I436" s="136"/>
      <c r="J436" s="88" t="s">
        <v>3024</v>
      </c>
      <c r="K436" s="134" t="s">
        <v>3025</v>
      </c>
    </row>
    <row r="437">
      <c r="B437" s="110" t="s">
        <v>1283</v>
      </c>
      <c r="C437" s="91" t="s">
        <v>3026</v>
      </c>
      <c r="D437" s="91" t="s">
        <v>1380</v>
      </c>
      <c r="E437" s="138" t="s">
        <v>1978</v>
      </c>
      <c r="F437" s="111" t="s">
        <v>1426</v>
      </c>
      <c r="G437" s="111"/>
      <c r="H437" s="111" t="s">
        <v>3027</v>
      </c>
      <c r="I437" s="136"/>
      <c r="J437" s="88" t="s">
        <v>3028</v>
      </c>
      <c r="K437" s="134" t="s">
        <v>3029</v>
      </c>
    </row>
    <row r="438">
      <c r="B438" s="110" t="s">
        <v>1284</v>
      </c>
      <c r="C438" s="91" t="s">
        <v>3030</v>
      </c>
      <c r="D438" s="91" t="s">
        <v>1701</v>
      </c>
      <c r="E438" s="138" t="s">
        <v>1741</v>
      </c>
      <c r="F438" s="111" t="s">
        <v>1426</v>
      </c>
      <c r="G438" s="111"/>
      <c r="H438" s="111" t="s">
        <v>3031</v>
      </c>
      <c r="I438" s="111" t="s">
        <v>3032</v>
      </c>
      <c r="J438" s="88" t="s">
        <v>3033</v>
      </c>
      <c r="K438" s="134" t="s">
        <v>3034</v>
      </c>
    </row>
    <row r="439">
      <c r="B439" s="110" t="s">
        <v>1286</v>
      </c>
      <c r="C439" s="91" t="s">
        <v>3035</v>
      </c>
      <c r="D439" s="91"/>
      <c r="E439" s="138" t="s">
        <v>2072</v>
      </c>
      <c r="F439" s="111" t="s">
        <v>1426</v>
      </c>
      <c r="G439" s="111"/>
      <c r="H439" s="111" t="s">
        <v>3036</v>
      </c>
      <c r="I439" s="111" t="s">
        <v>3037</v>
      </c>
      <c r="J439" s="88" t="s">
        <v>3038</v>
      </c>
      <c r="K439" s="134" t="s">
        <v>3039</v>
      </c>
    </row>
    <row r="440">
      <c r="B440" s="110" t="s">
        <v>3040</v>
      </c>
      <c r="C440" s="91" t="s">
        <v>3041</v>
      </c>
      <c r="D440" s="91"/>
      <c r="E440" s="138" t="s">
        <v>2630</v>
      </c>
      <c r="F440" s="144"/>
      <c r="G440" s="136"/>
      <c r="H440" s="136"/>
      <c r="I440" s="111"/>
      <c r="J440" s="88" t="s">
        <v>3042</v>
      </c>
      <c r="K440" s="134" t="s">
        <v>3043</v>
      </c>
    </row>
    <row r="441">
      <c r="B441" s="110" t="s">
        <v>3044</v>
      </c>
      <c r="C441" s="91" t="s">
        <v>2570</v>
      </c>
      <c r="D441" s="91"/>
      <c r="E441" s="138" t="s">
        <v>1406</v>
      </c>
      <c r="F441" s="144"/>
      <c r="G441" s="136"/>
      <c r="H441" s="136"/>
      <c r="I441" s="111"/>
      <c r="J441" s="82" t="s">
        <v>2868</v>
      </c>
      <c r="K441" s="134" t="s">
        <v>3045</v>
      </c>
    </row>
    <row r="442">
      <c r="B442" s="110" t="s">
        <v>3046</v>
      </c>
      <c r="C442" s="91" t="s">
        <v>2291</v>
      </c>
      <c r="D442" s="91" t="s">
        <v>1410</v>
      </c>
      <c r="E442" s="138" t="s">
        <v>3047</v>
      </c>
      <c r="F442" s="111" t="s">
        <v>1719</v>
      </c>
      <c r="G442" s="162" t="s">
        <v>3048</v>
      </c>
      <c r="H442" s="111"/>
      <c r="I442" s="111"/>
      <c r="J442" s="88" t="s">
        <v>3049</v>
      </c>
      <c r="K442" s="134" t="s">
        <v>3050</v>
      </c>
    </row>
    <row r="443">
      <c r="A443" s="80"/>
      <c r="B443" s="95"/>
      <c r="C443" s="80" t="s">
        <v>709</v>
      </c>
      <c r="E443" s="80" t="s">
        <v>710</v>
      </c>
      <c r="F443" s="80" t="s">
        <v>1353</v>
      </c>
      <c r="G443" s="80" t="s">
        <v>1354</v>
      </c>
      <c r="I443" s="80"/>
      <c r="J443" s="80" t="s">
        <v>714</v>
      </c>
      <c r="K443" s="80"/>
    </row>
    <row r="444">
      <c r="A444" s="83"/>
      <c r="B444" s="128"/>
      <c r="C444" s="83" t="s">
        <v>1355</v>
      </c>
      <c r="D444" s="83" t="s">
        <v>715</v>
      </c>
      <c r="E444" s="83" t="s">
        <v>1356</v>
      </c>
      <c r="F444" s="83" t="s">
        <v>1357</v>
      </c>
      <c r="G444" s="83" t="s">
        <v>1358</v>
      </c>
      <c r="H444" s="83" t="s">
        <v>1359</v>
      </c>
      <c r="I444" s="83" t="s">
        <v>1359</v>
      </c>
      <c r="J444" s="83"/>
      <c r="K444" s="83"/>
    </row>
    <row r="445">
      <c r="A445" s="84" t="s">
        <v>3051</v>
      </c>
      <c r="B445" s="110" t="s">
        <v>3052</v>
      </c>
      <c r="C445" s="91" t="s">
        <v>2579</v>
      </c>
      <c r="D445" s="91" t="s">
        <v>1420</v>
      </c>
      <c r="E445" s="138" t="s">
        <v>1421</v>
      </c>
      <c r="F445" s="144"/>
      <c r="G445" s="136"/>
      <c r="H445" s="136"/>
      <c r="I445" s="136"/>
      <c r="J445" s="111" t="s">
        <v>3053</v>
      </c>
      <c r="K445" s="129" t="s">
        <v>3054</v>
      </c>
    </row>
    <row r="446">
      <c r="B446" s="110" t="s">
        <v>1289</v>
      </c>
      <c r="C446" s="91" t="s">
        <v>2303</v>
      </c>
      <c r="D446" s="91" t="s">
        <v>1425</v>
      </c>
      <c r="E446" s="138" t="s">
        <v>1381</v>
      </c>
      <c r="F446" s="111" t="s">
        <v>1426</v>
      </c>
      <c r="G446" s="111"/>
      <c r="H446" s="111" t="s">
        <v>3055</v>
      </c>
      <c r="I446" s="136"/>
      <c r="J446" s="88" t="s">
        <v>3024</v>
      </c>
      <c r="K446" s="129" t="s">
        <v>3056</v>
      </c>
    </row>
    <row r="447">
      <c r="B447" s="110" t="s">
        <v>1293</v>
      </c>
      <c r="C447" s="91" t="s">
        <v>2309</v>
      </c>
      <c r="D447" s="91" t="s">
        <v>1431</v>
      </c>
      <c r="E447" s="138" t="s">
        <v>3057</v>
      </c>
      <c r="F447" s="111" t="s">
        <v>1426</v>
      </c>
      <c r="G447" s="111" t="s">
        <v>3058</v>
      </c>
      <c r="H447" s="111"/>
      <c r="I447" s="136"/>
      <c r="J447" s="88" t="s">
        <v>3059</v>
      </c>
      <c r="K447" s="129" t="s">
        <v>3060</v>
      </c>
    </row>
    <row r="448">
      <c r="B448" s="110" t="s">
        <v>1296</v>
      </c>
      <c r="C448" s="91" t="s">
        <v>1739</v>
      </c>
      <c r="D448" s="91" t="s">
        <v>3061</v>
      </c>
      <c r="E448" s="138" t="s">
        <v>1826</v>
      </c>
      <c r="F448" s="111" t="s">
        <v>1426</v>
      </c>
      <c r="G448" s="111"/>
      <c r="H448" s="111" t="s">
        <v>3062</v>
      </c>
      <c r="I448" s="136"/>
      <c r="J448" s="88" t="s">
        <v>3063</v>
      </c>
      <c r="K448" s="129" t="s">
        <v>3064</v>
      </c>
    </row>
    <row r="449">
      <c r="B449" s="110" t="s">
        <v>1299</v>
      </c>
      <c r="C449" s="91" t="s">
        <v>1745</v>
      </c>
      <c r="D449" s="91" t="s">
        <v>1746</v>
      </c>
      <c r="E449" s="138" t="s">
        <v>1702</v>
      </c>
      <c r="F449" s="111" t="s">
        <v>1426</v>
      </c>
      <c r="G449" s="111"/>
      <c r="H449" s="111" t="s">
        <v>3065</v>
      </c>
      <c r="I449" s="111"/>
      <c r="J449" s="88" t="s">
        <v>3066</v>
      </c>
      <c r="K449" s="129" t="s">
        <v>3067</v>
      </c>
    </row>
    <row r="450">
      <c r="B450" s="110" t="s">
        <v>3068</v>
      </c>
      <c r="C450" s="91" t="s">
        <v>2327</v>
      </c>
      <c r="D450" s="91" t="s">
        <v>2328</v>
      </c>
      <c r="E450" s="86" t="s">
        <v>2079</v>
      </c>
      <c r="F450" s="144"/>
      <c r="G450" s="136"/>
      <c r="H450" s="136"/>
      <c r="I450" s="111"/>
      <c r="J450" s="111" t="s">
        <v>2828</v>
      </c>
      <c r="K450" s="129" t="s">
        <v>3069</v>
      </c>
    </row>
    <row r="451">
      <c r="B451" s="110" t="s">
        <v>3070</v>
      </c>
      <c r="C451" s="91" t="s">
        <v>2597</v>
      </c>
      <c r="D451" s="91" t="s">
        <v>217</v>
      </c>
      <c r="E451" s="138" t="s">
        <v>1758</v>
      </c>
      <c r="F451" s="144"/>
      <c r="G451" s="136"/>
      <c r="H451" s="136"/>
      <c r="I451" s="111"/>
      <c r="J451" s="82" t="s">
        <v>3071</v>
      </c>
      <c r="K451" s="129" t="s">
        <v>3072</v>
      </c>
    </row>
    <row r="452">
      <c r="B452" s="110" t="s">
        <v>3073</v>
      </c>
      <c r="C452" s="91" t="s">
        <v>2600</v>
      </c>
      <c r="D452" s="91" t="s">
        <v>2833</v>
      </c>
      <c r="E452" s="138" t="s">
        <v>3074</v>
      </c>
      <c r="F452" s="111" t="s">
        <v>1765</v>
      </c>
      <c r="G452" s="111" t="s">
        <v>3075</v>
      </c>
      <c r="H452" s="111"/>
      <c r="I452" s="111"/>
      <c r="J452" s="88" t="s">
        <v>3076</v>
      </c>
      <c r="K452" s="129" t="s">
        <v>3077</v>
      </c>
    </row>
    <row r="453">
      <c r="A453" s="80"/>
      <c r="B453" s="95"/>
      <c r="C453" s="80" t="s">
        <v>709</v>
      </c>
      <c r="E453" s="80" t="s">
        <v>710</v>
      </c>
      <c r="F453" s="80" t="s">
        <v>1353</v>
      </c>
      <c r="G453" s="80" t="s">
        <v>1354</v>
      </c>
      <c r="I453" s="80"/>
      <c r="J453" s="80" t="s">
        <v>714</v>
      </c>
      <c r="K453" s="80"/>
    </row>
    <row r="454">
      <c r="A454" s="83"/>
      <c r="B454" s="128"/>
      <c r="C454" s="83" t="s">
        <v>1355</v>
      </c>
      <c r="D454" s="83" t="s">
        <v>715</v>
      </c>
      <c r="E454" s="83" t="s">
        <v>1356</v>
      </c>
      <c r="F454" s="83" t="s">
        <v>1357</v>
      </c>
      <c r="G454" s="83" t="s">
        <v>1358</v>
      </c>
      <c r="H454" s="83" t="s">
        <v>1359</v>
      </c>
      <c r="I454" s="83" t="s">
        <v>1359</v>
      </c>
      <c r="J454" s="83"/>
      <c r="K454" s="83"/>
    </row>
    <row r="455">
      <c r="A455" s="84" t="s">
        <v>3078</v>
      </c>
      <c r="B455" s="110" t="s">
        <v>3079</v>
      </c>
      <c r="C455" s="91" t="s">
        <v>3080</v>
      </c>
      <c r="D455" s="91" t="s">
        <v>1772</v>
      </c>
      <c r="E455" s="138" t="s">
        <v>1369</v>
      </c>
      <c r="F455" s="144"/>
      <c r="G455" s="136"/>
      <c r="H455" s="136"/>
      <c r="I455" s="136"/>
      <c r="J455" s="88" t="s">
        <v>2841</v>
      </c>
      <c r="K455" s="134" t="s">
        <v>3081</v>
      </c>
    </row>
    <row r="456">
      <c r="B456" s="110" t="s">
        <v>1302</v>
      </c>
      <c r="C456" s="91" t="s">
        <v>3082</v>
      </c>
      <c r="D456" s="91" t="s">
        <v>1490</v>
      </c>
      <c r="E456" s="138" t="s">
        <v>1685</v>
      </c>
      <c r="F456" s="111" t="s">
        <v>1426</v>
      </c>
      <c r="G456" s="111"/>
      <c r="H456" s="111" t="s">
        <v>3083</v>
      </c>
      <c r="I456" s="136"/>
      <c r="J456" s="88" t="s">
        <v>3028</v>
      </c>
      <c r="K456" s="134" t="s">
        <v>3084</v>
      </c>
    </row>
    <row r="457">
      <c r="B457" s="110" t="s">
        <v>1306</v>
      </c>
      <c r="C457" s="91" t="s">
        <v>3085</v>
      </c>
      <c r="D457" s="91" t="s">
        <v>3086</v>
      </c>
      <c r="E457" s="138" t="s">
        <v>3087</v>
      </c>
      <c r="F457" s="111" t="s">
        <v>1426</v>
      </c>
      <c r="G457" s="111"/>
      <c r="H457" s="111" t="s">
        <v>3088</v>
      </c>
      <c r="I457" s="111"/>
      <c r="J457" s="88" t="s">
        <v>3028</v>
      </c>
      <c r="K457" s="134" t="s">
        <v>3089</v>
      </c>
    </row>
    <row r="458">
      <c r="B458" s="110" t="s">
        <v>1308</v>
      </c>
      <c r="C458" s="91" t="s">
        <v>3090</v>
      </c>
      <c r="D458" s="91" t="s">
        <v>3091</v>
      </c>
      <c r="E458" s="138" t="s">
        <v>1381</v>
      </c>
      <c r="F458" s="111" t="s">
        <v>1426</v>
      </c>
      <c r="G458" s="111"/>
      <c r="H458" s="111" t="s">
        <v>3092</v>
      </c>
      <c r="I458" s="111" t="s">
        <v>3093</v>
      </c>
      <c r="J458" s="88" t="s">
        <v>3094</v>
      </c>
      <c r="K458" s="134" t="s">
        <v>3095</v>
      </c>
    </row>
    <row r="459">
      <c r="B459" s="110" t="s">
        <v>1309</v>
      </c>
      <c r="C459" s="91" t="s">
        <v>3096</v>
      </c>
      <c r="D459" s="91"/>
      <c r="E459" s="138" t="s">
        <v>2072</v>
      </c>
      <c r="F459" s="111" t="s">
        <v>1426</v>
      </c>
      <c r="G459" s="111"/>
      <c r="H459" s="111" t="s">
        <v>3097</v>
      </c>
      <c r="I459" s="111" t="s">
        <v>3098</v>
      </c>
      <c r="J459" s="88" t="s">
        <v>3099</v>
      </c>
      <c r="K459" s="134" t="s">
        <v>3100</v>
      </c>
    </row>
    <row r="460">
      <c r="B460" s="110" t="s">
        <v>3101</v>
      </c>
      <c r="C460" s="91" t="s">
        <v>3102</v>
      </c>
      <c r="D460" s="91"/>
      <c r="E460" s="138" t="s">
        <v>1451</v>
      </c>
      <c r="F460" s="144"/>
      <c r="G460" s="111"/>
      <c r="H460" s="111"/>
      <c r="I460" s="111"/>
      <c r="J460" s="88" t="s">
        <v>3103</v>
      </c>
      <c r="K460" s="134" t="s">
        <v>3104</v>
      </c>
    </row>
    <row r="461">
      <c r="B461" s="110" t="s">
        <v>3105</v>
      </c>
      <c r="C461" s="91" t="s">
        <v>3106</v>
      </c>
      <c r="D461" s="91"/>
      <c r="E461" s="138" t="s">
        <v>1406</v>
      </c>
      <c r="F461" s="144"/>
      <c r="G461" s="136"/>
      <c r="H461" s="136"/>
      <c r="I461" s="111"/>
      <c r="J461" s="82" t="s">
        <v>2868</v>
      </c>
      <c r="K461" s="134" t="s">
        <v>3107</v>
      </c>
    </row>
    <row r="462">
      <c r="B462" s="110" t="s">
        <v>3108</v>
      </c>
      <c r="C462" s="91" t="s">
        <v>3109</v>
      </c>
      <c r="D462" s="91" t="s">
        <v>2374</v>
      </c>
      <c r="E462" s="138" t="s">
        <v>3110</v>
      </c>
      <c r="F462" s="111" t="s">
        <v>1502</v>
      </c>
      <c r="G462" s="111" t="s">
        <v>3111</v>
      </c>
      <c r="H462" s="111"/>
      <c r="I462" s="111"/>
      <c r="J462" s="88" t="s">
        <v>3112</v>
      </c>
      <c r="K462" s="134" t="s">
        <v>3113</v>
      </c>
    </row>
    <row r="463">
      <c r="A463" s="80"/>
      <c r="B463" s="95"/>
      <c r="C463" s="80" t="s">
        <v>709</v>
      </c>
      <c r="E463" s="80" t="s">
        <v>710</v>
      </c>
      <c r="F463" s="80" t="s">
        <v>1353</v>
      </c>
      <c r="G463" s="80" t="s">
        <v>1354</v>
      </c>
      <c r="I463" s="80"/>
      <c r="J463" s="80" t="s">
        <v>714</v>
      </c>
      <c r="K463" s="80"/>
    </row>
    <row r="464">
      <c r="A464" s="83"/>
      <c r="B464" s="128"/>
      <c r="C464" s="83" t="s">
        <v>1355</v>
      </c>
      <c r="D464" s="83" t="s">
        <v>715</v>
      </c>
      <c r="E464" s="83" t="s">
        <v>1356</v>
      </c>
      <c r="F464" s="83" t="s">
        <v>1357</v>
      </c>
      <c r="G464" s="83" t="s">
        <v>1358</v>
      </c>
      <c r="H464" s="83" t="s">
        <v>1359</v>
      </c>
      <c r="I464" s="83" t="s">
        <v>1359</v>
      </c>
      <c r="J464" s="83"/>
      <c r="K464" s="83"/>
    </row>
    <row r="465">
      <c r="A465" s="84" t="s">
        <v>3114</v>
      </c>
      <c r="B465" s="110" t="s">
        <v>3115</v>
      </c>
      <c r="C465" s="91" t="s">
        <v>3116</v>
      </c>
      <c r="D465" s="91" t="s">
        <v>1509</v>
      </c>
      <c r="E465" s="138" t="s">
        <v>1510</v>
      </c>
      <c r="F465" s="144"/>
      <c r="G465" s="136"/>
      <c r="H465" s="136"/>
      <c r="I465" s="136"/>
      <c r="J465" s="88" t="s">
        <v>3117</v>
      </c>
      <c r="K465" s="129" t="s">
        <v>3118</v>
      </c>
    </row>
    <row r="466">
      <c r="B466" s="110" t="s">
        <v>1311</v>
      </c>
      <c r="C466" s="91" t="s">
        <v>3119</v>
      </c>
      <c r="D466" s="91"/>
      <c r="E466" s="138" t="s">
        <v>2102</v>
      </c>
      <c r="F466" s="111" t="s">
        <v>1426</v>
      </c>
      <c r="G466" s="111" t="s">
        <v>3120</v>
      </c>
      <c r="H466" s="111"/>
      <c r="I466" s="111"/>
      <c r="J466" s="88" t="s">
        <v>2916</v>
      </c>
      <c r="K466" s="129" t="s">
        <v>3121</v>
      </c>
    </row>
    <row r="467">
      <c r="B467" s="110" t="s">
        <v>1316</v>
      </c>
      <c r="C467" s="91" t="s">
        <v>3122</v>
      </c>
      <c r="D467" s="91"/>
      <c r="E467" s="138" t="s">
        <v>1741</v>
      </c>
      <c r="F467" s="111" t="s">
        <v>1426</v>
      </c>
      <c r="G467" s="111"/>
      <c r="H467" s="111" t="s">
        <v>3123</v>
      </c>
      <c r="I467" s="111"/>
      <c r="J467" s="88" t="s">
        <v>2916</v>
      </c>
      <c r="K467" s="129" t="s">
        <v>3124</v>
      </c>
    </row>
    <row r="468">
      <c r="B468" s="110" t="s">
        <v>1317</v>
      </c>
      <c r="C468" s="91" t="s">
        <v>3125</v>
      </c>
      <c r="D468" s="91"/>
      <c r="E468" s="138" t="s">
        <v>3126</v>
      </c>
      <c r="F468" s="111" t="s">
        <v>1426</v>
      </c>
      <c r="G468" s="111"/>
      <c r="H468" s="111" t="s">
        <v>3127</v>
      </c>
      <c r="I468" s="111"/>
      <c r="J468" s="88" t="s">
        <v>2916</v>
      </c>
      <c r="K468" s="129" t="s">
        <v>3128</v>
      </c>
    </row>
    <row r="469">
      <c r="B469" s="110" t="s">
        <v>1319</v>
      </c>
      <c r="C469" s="91" t="s">
        <v>2396</v>
      </c>
      <c r="D469" s="91"/>
      <c r="E469" s="138" t="s">
        <v>1702</v>
      </c>
      <c r="F469" s="111" t="s">
        <v>1426</v>
      </c>
      <c r="G469" s="111"/>
      <c r="H469" s="111" t="s">
        <v>3129</v>
      </c>
      <c r="I469" s="111"/>
      <c r="J469" s="88" t="s">
        <v>3130</v>
      </c>
      <c r="K469" s="129" t="s">
        <v>3131</v>
      </c>
    </row>
    <row r="470">
      <c r="B470" s="110" t="s">
        <v>3132</v>
      </c>
      <c r="C470" s="91" t="s">
        <v>3133</v>
      </c>
      <c r="D470" s="91" t="s">
        <v>1532</v>
      </c>
      <c r="E470" s="138" t="s">
        <v>3134</v>
      </c>
      <c r="F470" s="144"/>
      <c r="G470" s="136"/>
      <c r="H470" s="136"/>
      <c r="I470" s="111"/>
      <c r="J470" s="88" t="s">
        <v>3135</v>
      </c>
      <c r="K470" s="129" t="s">
        <v>3136</v>
      </c>
    </row>
    <row r="471">
      <c r="B471" s="110" t="s">
        <v>3137</v>
      </c>
      <c r="C471" s="91" t="s">
        <v>3138</v>
      </c>
      <c r="D471" s="91" t="s">
        <v>1538</v>
      </c>
      <c r="E471" s="138" t="s">
        <v>3139</v>
      </c>
      <c r="F471" s="144"/>
      <c r="G471" s="111"/>
      <c r="H471" s="111"/>
      <c r="I471" s="111"/>
      <c r="J471" s="160" t="s">
        <v>2901</v>
      </c>
      <c r="K471" s="129" t="s">
        <v>3140</v>
      </c>
    </row>
    <row r="472">
      <c r="B472" s="110" t="s">
        <v>3141</v>
      </c>
      <c r="C472" s="91" t="s">
        <v>3142</v>
      </c>
      <c r="D472" s="91"/>
      <c r="E472" s="138" t="s">
        <v>1843</v>
      </c>
      <c r="F472" s="145"/>
      <c r="G472" s="136"/>
      <c r="H472" s="136"/>
      <c r="I472" s="111"/>
      <c r="J472" s="82" t="s">
        <v>2905</v>
      </c>
      <c r="K472" s="129" t="s">
        <v>3143</v>
      </c>
    </row>
    <row r="473">
      <c r="B473" s="110" t="s">
        <v>3144</v>
      </c>
      <c r="C473" s="91" t="s">
        <v>3145</v>
      </c>
      <c r="D473" s="91" t="s">
        <v>1549</v>
      </c>
      <c r="E473" s="138" t="s">
        <v>3146</v>
      </c>
      <c r="F473" s="111" t="s">
        <v>1551</v>
      </c>
      <c r="G473" s="111" t="s">
        <v>3147</v>
      </c>
      <c r="H473" s="111"/>
      <c r="I473" s="111"/>
      <c r="J473" s="88" t="s">
        <v>2911</v>
      </c>
      <c r="K473" s="129" t="s">
        <v>3148</v>
      </c>
    </row>
    <row r="474">
      <c r="A474" s="80"/>
      <c r="B474" s="95"/>
      <c r="C474" s="80" t="s">
        <v>709</v>
      </c>
      <c r="E474" s="80" t="s">
        <v>710</v>
      </c>
      <c r="F474" s="80" t="s">
        <v>1353</v>
      </c>
      <c r="G474" s="80" t="s">
        <v>1354</v>
      </c>
      <c r="I474" s="80"/>
      <c r="J474" s="80" t="s">
        <v>714</v>
      </c>
      <c r="K474" s="80"/>
    </row>
    <row r="475">
      <c r="A475" s="83"/>
      <c r="B475" s="128"/>
      <c r="C475" s="83" t="s">
        <v>1355</v>
      </c>
      <c r="D475" s="83" t="s">
        <v>715</v>
      </c>
      <c r="E475" s="83" t="s">
        <v>1356</v>
      </c>
      <c r="F475" s="83" t="s">
        <v>1357</v>
      </c>
      <c r="G475" s="83" t="s">
        <v>1358</v>
      </c>
      <c r="H475" s="83" t="s">
        <v>1359</v>
      </c>
      <c r="I475" s="83" t="s">
        <v>1359</v>
      </c>
      <c r="J475" s="83"/>
      <c r="K475" s="83"/>
    </row>
    <row r="476">
      <c r="A476" s="84" t="s">
        <v>3149</v>
      </c>
      <c r="B476" s="110" t="s">
        <v>3150</v>
      </c>
      <c r="C476" s="91" t="s">
        <v>3151</v>
      </c>
      <c r="D476" s="91" t="s">
        <v>1558</v>
      </c>
      <c r="E476" s="138" t="s">
        <v>1510</v>
      </c>
      <c r="F476" s="144"/>
      <c r="G476" s="136"/>
      <c r="H476" s="136"/>
      <c r="I476" s="136"/>
      <c r="J476" s="88" t="s">
        <v>3152</v>
      </c>
      <c r="K476" s="134" t="s">
        <v>3153</v>
      </c>
    </row>
    <row r="477">
      <c r="B477" s="110" t="s">
        <v>1323</v>
      </c>
      <c r="C477" s="91" t="s">
        <v>3154</v>
      </c>
      <c r="D477" s="91" t="s">
        <v>1562</v>
      </c>
      <c r="E477" s="138" t="s">
        <v>2135</v>
      </c>
      <c r="F477" s="111" t="s">
        <v>1426</v>
      </c>
      <c r="G477" s="111"/>
      <c r="H477" s="111" t="s">
        <v>3155</v>
      </c>
      <c r="I477" s="111" t="s">
        <v>3156</v>
      </c>
      <c r="J477" s="88" t="s">
        <v>3157</v>
      </c>
      <c r="K477" s="134" t="s">
        <v>3158</v>
      </c>
    </row>
    <row r="478">
      <c r="B478" s="110" t="s">
        <v>1327</v>
      </c>
      <c r="C478" s="91" t="s">
        <v>3159</v>
      </c>
      <c r="D478" s="91" t="s">
        <v>1569</v>
      </c>
      <c r="E478" s="138" t="s">
        <v>2433</v>
      </c>
      <c r="F478" s="111" t="s">
        <v>1426</v>
      </c>
      <c r="G478" s="111" t="s">
        <v>3160</v>
      </c>
      <c r="H478" s="111" t="s">
        <v>3161</v>
      </c>
      <c r="I478" s="111"/>
      <c r="J478" s="88" t="s">
        <v>3162</v>
      </c>
      <c r="K478" s="134" t="s">
        <v>3163</v>
      </c>
    </row>
    <row r="479">
      <c r="B479" s="110" t="s">
        <v>1329</v>
      </c>
      <c r="C479" s="91" t="s">
        <v>3164</v>
      </c>
      <c r="D479" s="91" t="s">
        <v>1575</v>
      </c>
      <c r="E479" s="138" t="s">
        <v>1702</v>
      </c>
      <c r="F479" s="111" t="s">
        <v>1426</v>
      </c>
      <c r="G479" s="111"/>
      <c r="H479" s="111" t="s">
        <v>3165</v>
      </c>
      <c r="I479" s="111" t="s">
        <v>3166</v>
      </c>
      <c r="J479" s="88" t="s">
        <v>3167</v>
      </c>
      <c r="K479" s="134" t="s">
        <v>3168</v>
      </c>
    </row>
    <row r="480">
      <c r="B480" s="110" t="s">
        <v>3169</v>
      </c>
      <c r="C480" s="91" t="s">
        <v>3170</v>
      </c>
      <c r="D480" s="91"/>
      <c r="E480" s="138" t="s">
        <v>1451</v>
      </c>
      <c r="F480" s="111" t="s">
        <v>1426</v>
      </c>
      <c r="G480" s="136"/>
      <c r="H480" s="136"/>
      <c r="I480" s="111"/>
      <c r="J480" s="88" t="s">
        <v>3171</v>
      </c>
      <c r="K480" s="134" t="s">
        <v>3172</v>
      </c>
    </row>
    <row r="481">
      <c r="B481" s="110" t="s">
        <v>3173</v>
      </c>
      <c r="C481" s="91" t="s">
        <v>3174</v>
      </c>
      <c r="D481" s="91"/>
      <c r="E481" s="138" t="s">
        <v>2165</v>
      </c>
      <c r="F481" s="144"/>
      <c r="G481" s="136"/>
      <c r="H481" s="136"/>
      <c r="I481" s="111"/>
      <c r="J481" s="82" t="s">
        <v>2905</v>
      </c>
      <c r="K481" s="134" t="s">
        <v>3175</v>
      </c>
    </row>
    <row r="482">
      <c r="B482" s="110" t="s">
        <v>3176</v>
      </c>
      <c r="C482" s="91" t="s">
        <v>3177</v>
      </c>
      <c r="D482" s="91" t="s">
        <v>1593</v>
      </c>
      <c r="E482" s="138" t="s">
        <v>3178</v>
      </c>
      <c r="F482" s="111" t="s">
        <v>1595</v>
      </c>
      <c r="G482" s="111" t="s">
        <v>3179</v>
      </c>
      <c r="H482" s="111"/>
      <c r="I482" s="111"/>
      <c r="J482" s="88" t="s">
        <v>2952</v>
      </c>
      <c r="K482" s="134" t="s">
        <v>3180</v>
      </c>
    </row>
    <row r="483">
      <c r="A483" s="80"/>
      <c r="B483" s="95"/>
      <c r="C483" s="80" t="s">
        <v>709</v>
      </c>
      <c r="E483" s="80" t="s">
        <v>710</v>
      </c>
      <c r="F483" s="80" t="s">
        <v>1353</v>
      </c>
      <c r="G483" s="80" t="s">
        <v>1354</v>
      </c>
      <c r="I483" s="80"/>
      <c r="J483" s="80" t="s">
        <v>714</v>
      </c>
      <c r="K483" s="80"/>
    </row>
    <row r="484">
      <c r="A484" s="83"/>
      <c r="B484" s="128"/>
      <c r="C484" s="83" t="s">
        <v>1355</v>
      </c>
      <c r="D484" s="83" t="s">
        <v>3181</v>
      </c>
      <c r="E484" s="83" t="s">
        <v>1356</v>
      </c>
      <c r="F484" s="83" t="s">
        <v>1357</v>
      </c>
      <c r="G484" s="83" t="s">
        <v>1358</v>
      </c>
      <c r="H484" s="83" t="s">
        <v>1359</v>
      </c>
      <c r="I484" s="83" t="s">
        <v>1359</v>
      </c>
      <c r="J484" s="83"/>
      <c r="K484" s="83"/>
    </row>
    <row r="485">
      <c r="A485" s="84" t="s">
        <v>3182</v>
      </c>
      <c r="B485" s="110" t="s">
        <v>3183</v>
      </c>
      <c r="C485" s="91" t="s">
        <v>3184</v>
      </c>
      <c r="D485" s="91" t="s">
        <v>3185</v>
      </c>
      <c r="E485" s="138" t="s">
        <v>1510</v>
      </c>
      <c r="F485" s="144"/>
      <c r="G485" s="111"/>
      <c r="H485" s="111"/>
      <c r="I485" s="111"/>
      <c r="J485" s="111" t="s">
        <v>3186</v>
      </c>
      <c r="K485" s="134" t="s">
        <v>3187</v>
      </c>
    </row>
    <row r="486">
      <c r="B486" s="110" t="s">
        <v>1333</v>
      </c>
      <c r="C486" s="91" t="s">
        <v>2720</v>
      </c>
      <c r="D486" s="91"/>
      <c r="E486" s="138" t="s">
        <v>1741</v>
      </c>
      <c r="F486" s="111" t="s">
        <v>1426</v>
      </c>
      <c r="G486" s="111"/>
      <c r="H486" s="111" t="s">
        <v>3188</v>
      </c>
      <c r="I486" s="111"/>
      <c r="J486" s="111" t="s">
        <v>2916</v>
      </c>
      <c r="K486" s="134" t="s">
        <v>3189</v>
      </c>
    </row>
    <row r="487">
      <c r="B487" s="110" t="s">
        <v>1337</v>
      </c>
      <c r="C487" s="91" t="s">
        <v>3190</v>
      </c>
      <c r="D487" s="91"/>
      <c r="E487" s="138" t="s">
        <v>1908</v>
      </c>
      <c r="F487" s="111" t="s">
        <v>1426</v>
      </c>
      <c r="G487" s="111" t="s">
        <v>3191</v>
      </c>
      <c r="H487" s="111"/>
      <c r="I487" s="111"/>
      <c r="J487" s="111" t="s">
        <v>2916</v>
      </c>
      <c r="K487" s="134" t="s">
        <v>3192</v>
      </c>
    </row>
    <row r="488">
      <c r="B488" s="110" t="s">
        <v>1338</v>
      </c>
      <c r="C488" s="91" t="s">
        <v>3193</v>
      </c>
      <c r="D488" s="91"/>
      <c r="E488" s="138" t="s">
        <v>1685</v>
      </c>
      <c r="F488" s="111" t="s">
        <v>1426</v>
      </c>
      <c r="G488" s="111"/>
      <c r="H488" s="111" t="s">
        <v>3194</v>
      </c>
      <c r="I488" s="111"/>
      <c r="J488" s="111" t="s">
        <v>2916</v>
      </c>
      <c r="K488" s="134" t="s">
        <v>3195</v>
      </c>
    </row>
    <row r="489">
      <c r="B489" s="110" t="s">
        <v>1341</v>
      </c>
      <c r="C489" s="91" t="s">
        <v>3196</v>
      </c>
      <c r="D489" s="91"/>
      <c r="E489" s="138" t="s">
        <v>1702</v>
      </c>
      <c r="F489" s="111" t="s">
        <v>1426</v>
      </c>
      <c r="G489" s="111"/>
      <c r="H489" s="111" t="s">
        <v>3197</v>
      </c>
      <c r="I489" s="111"/>
      <c r="J489" s="111" t="s">
        <v>3198</v>
      </c>
      <c r="K489" s="134" t="s">
        <v>3199</v>
      </c>
    </row>
    <row r="490">
      <c r="B490" s="110" t="s">
        <v>3200</v>
      </c>
      <c r="C490" s="91" t="s">
        <v>3201</v>
      </c>
      <c r="D490" s="91"/>
      <c r="E490" s="138" t="s">
        <v>2000</v>
      </c>
      <c r="F490" s="144"/>
      <c r="G490" s="111"/>
      <c r="H490" s="111"/>
      <c r="I490" s="111"/>
      <c r="J490" s="154" t="s">
        <v>3202</v>
      </c>
      <c r="K490" s="134" t="s">
        <v>3203</v>
      </c>
    </row>
    <row r="491">
      <c r="B491" s="110" t="s">
        <v>3204</v>
      </c>
      <c r="C491" s="91" t="s">
        <v>3205</v>
      </c>
      <c r="D491" s="91"/>
      <c r="E491" s="138" t="s">
        <v>2209</v>
      </c>
      <c r="F491" s="145"/>
      <c r="G491" s="111"/>
      <c r="H491" s="111"/>
      <c r="I491" s="111"/>
      <c r="J491" s="111" t="s">
        <v>2868</v>
      </c>
      <c r="K491" s="134" t="s">
        <v>3206</v>
      </c>
    </row>
    <row r="492">
      <c r="B492" s="110" t="s">
        <v>3207</v>
      </c>
      <c r="C492" s="91" t="s">
        <v>2978</v>
      </c>
      <c r="D492" s="91" t="s">
        <v>2979</v>
      </c>
      <c r="E492" s="138" t="s">
        <v>3208</v>
      </c>
      <c r="F492" s="111" t="s">
        <v>3209</v>
      </c>
      <c r="G492" s="111" t="s">
        <v>3210</v>
      </c>
      <c r="H492" s="111"/>
      <c r="I492" s="111"/>
      <c r="J492" s="111" t="s">
        <v>3211</v>
      </c>
      <c r="K492" s="134" t="s">
        <v>3212</v>
      </c>
    </row>
    <row r="493">
      <c r="A493" s="80"/>
      <c r="B493" s="95"/>
      <c r="C493" s="80" t="s">
        <v>709</v>
      </c>
      <c r="E493" s="80" t="s">
        <v>710</v>
      </c>
      <c r="F493" s="80" t="s">
        <v>1353</v>
      </c>
      <c r="G493" s="80" t="s">
        <v>1354</v>
      </c>
      <c r="I493" s="80"/>
      <c r="J493" s="80" t="s">
        <v>714</v>
      </c>
      <c r="K493" s="80"/>
    </row>
    <row r="494">
      <c r="A494" s="83"/>
      <c r="B494" s="128"/>
      <c r="C494" s="83" t="s">
        <v>1355</v>
      </c>
      <c r="D494" s="83" t="s">
        <v>69</v>
      </c>
      <c r="E494" s="83" t="s">
        <v>1356</v>
      </c>
      <c r="F494" s="83" t="s">
        <v>1357</v>
      </c>
      <c r="G494" s="83" t="s">
        <v>1358</v>
      </c>
      <c r="H494" s="83" t="s">
        <v>1359</v>
      </c>
      <c r="I494" s="83" t="s">
        <v>1359</v>
      </c>
      <c r="J494" s="83"/>
      <c r="K494" s="83"/>
    </row>
    <row r="495">
      <c r="A495" s="84" t="s">
        <v>3213</v>
      </c>
      <c r="B495" s="110" t="s">
        <v>3214</v>
      </c>
      <c r="C495" s="91" t="s">
        <v>3215</v>
      </c>
      <c r="D495" s="91" t="s">
        <v>2744</v>
      </c>
      <c r="E495" s="138" t="s">
        <v>1421</v>
      </c>
      <c r="F495" s="144"/>
      <c r="G495" s="136"/>
      <c r="H495" s="136"/>
      <c r="I495" s="111"/>
      <c r="J495" s="88" t="s">
        <v>3216</v>
      </c>
      <c r="K495" s="134" t="s">
        <v>3217</v>
      </c>
    </row>
    <row r="496">
      <c r="B496" s="110" t="s">
        <v>1344</v>
      </c>
      <c r="C496" s="91" t="s">
        <v>3218</v>
      </c>
      <c r="D496" s="91" t="s">
        <v>3219</v>
      </c>
      <c r="E496" s="138" t="s">
        <v>1685</v>
      </c>
      <c r="F496" s="111" t="s">
        <v>1426</v>
      </c>
      <c r="G496" s="111" t="s">
        <v>3220</v>
      </c>
      <c r="H496" s="111"/>
      <c r="I496" s="111"/>
      <c r="J496" s="88" t="s">
        <v>3024</v>
      </c>
      <c r="K496" s="134" t="s">
        <v>3221</v>
      </c>
    </row>
    <row r="497">
      <c r="B497" s="110" t="s">
        <v>1348</v>
      </c>
      <c r="C497" s="91" t="s">
        <v>3222</v>
      </c>
      <c r="D497" s="91"/>
      <c r="E497" s="138" t="s">
        <v>1685</v>
      </c>
      <c r="F497" s="111" t="s">
        <v>1426</v>
      </c>
      <c r="G497" s="111" t="s">
        <v>3223</v>
      </c>
      <c r="H497" s="111"/>
      <c r="I497" s="111"/>
      <c r="J497" s="88" t="s">
        <v>3024</v>
      </c>
      <c r="K497" s="134" t="s">
        <v>3224</v>
      </c>
    </row>
    <row r="498">
      <c r="B498" s="110" t="s">
        <v>1349</v>
      </c>
      <c r="C498" s="91" t="s">
        <v>3225</v>
      </c>
      <c r="D498" s="91"/>
      <c r="E498" s="138" t="s">
        <v>2999</v>
      </c>
      <c r="F498" s="111" t="s">
        <v>1426</v>
      </c>
      <c r="G498" s="111"/>
      <c r="H498" s="111" t="s">
        <v>3226</v>
      </c>
      <c r="I498" s="111"/>
      <c r="J498" s="88" t="s">
        <v>3024</v>
      </c>
      <c r="K498" s="134" t="s">
        <v>3227</v>
      </c>
    </row>
    <row r="499">
      <c r="B499" s="110" t="s">
        <v>1351</v>
      </c>
      <c r="C499" s="91" t="s">
        <v>3228</v>
      </c>
      <c r="D499" s="91"/>
      <c r="E499" s="138" t="s">
        <v>2278</v>
      </c>
      <c r="F499" s="111" t="s">
        <v>1426</v>
      </c>
      <c r="G499" s="111"/>
      <c r="H499" s="111" t="s">
        <v>3229</v>
      </c>
      <c r="I499" s="111"/>
      <c r="J499" s="88" t="s">
        <v>3230</v>
      </c>
      <c r="K499" s="134" t="s">
        <v>3231</v>
      </c>
    </row>
    <row r="500">
      <c r="B500" s="110" t="s">
        <v>3232</v>
      </c>
      <c r="C500" s="91" t="s">
        <v>3006</v>
      </c>
      <c r="D500" s="91"/>
      <c r="E500" s="138" t="s">
        <v>1401</v>
      </c>
      <c r="F500" s="144"/>
      <c r="G500" s="136"/>
      <c r="H500" s="136"/>
      <c r="I500" s="111"/>
      <c r="J500" s="88" t="s">
        <v>3171</v>
      </c>
      <c r="K500" s="134" t="s">
        <v>3233</v>
      </c>
    </row>
    <row r="501">
      <c r="B501" s="110" t="s">
        <v>3234</v>
      </c>
      <c r="C501" s="91" t="s">
        <v>2634</v>
      </c>
      <c r="D501" s="91"/>
      <c r="E501" s="138" t="s">
        <v>2248</v>
      </c>
      <c r="F501" s="144"/>
      <c r="G501" s="111"/>
      <c r="H501" s="111"/>
      <c r="I501" s="111"/>
      <c r="J501" s="82" t="s">
        <v>2798</v>
      </c>
      <c r="K501" s="134" t="s">
        <v>3235</v>
      </c>
    </row>
    <row r="502">
      <c r="B502" s="110" t="s">
        <v>3236</v>
      </c>
      <c r="C502" s="91" t="s">
        <v>2540</v>
      </c>
      <c r="D502" s="91" t="s">
        <v>1966</v>
      </c>
      <c r="E502" s="138" t="s">
        <v>3237</v>
      </c>
      <c r="F502" s="111" t="s">
        <v>1674</v>
      </c>
      <c r="G502" s="111" t="s">
        <v>3238</v>
      </c>
      <c r="H502" s="111"/>
      <c r="I502" s="111"/>
      <c r="J502" s="88" t="s">
        <v>3239</v>
      </c>
      <c r="K502" s="134" t="s">
        <v>3240</v>
      </c>
    </row>
    <row r="503" hidden="1">
      <c r="A503" s="136"/>
      <c r="B503" s="163"/>
      <c r="C503" s="101"/>
      <c r="D503" s="101"/>
      <c r="E503" s="136"/>
      <c r="F503" s="101"/>
      <c r="G503" s="101"/>
      <c r="H503" s="101"/>
      <c r="I503" s="101"/>
      <c r="J503" s="82"/>
      <c r="K503" s="101"/>
    </row>
    <row r="504">
      <c r="A504" s="136"/>
      <c r="B504" s="101"/>
      <c r="C504" s="101"/>
      <c r="D504" s="101"/>
      <c r="E504" s="136"/>
      <c r="F504" s="101"/>
      <c r="G504" s="101"/>
      <c r="H504" s="101"/>
      <c r="I504" s="101"/>
      <c r="J504" s="82"/>
      <c r="K504" s="101"/>
    </row>
    <row r="505">
      <c r="A505" s="136"/>
      <c r="B505" s="101"/>
      <c r="C505" s="101"/>
      <c r="D505" s="101"/>
      <c r="E505" s="136"/>
      <c r="F505" s="101"/>
      <c r="G505" s="101"/>
      <c r="H505" s="101"/>
      <c r="I505" s="101"/>
      <c r="J505" s="82"/>
      <c r="K505" s="101"/>
    </row>
    <row r="506">
      <c r="A506" s="136"/>
      <c r="B506" s="101"/>
      <c r="C506" s="101"/>
      <c r="D506" s="101"/>
      <c r="E506" s="136"/>
      <c r="F506" s="101"/>
      <c r="G506" s="101"/>
      <c r="H506" s="101"/>
      <c r="I506" s="101"/>
      <c r="J506" s="82"/>
      <c r="K506" s="101"/>
    </row>
    <row r="507">
      <c r="A507" s="136"/>
      <c r="B507" s="101"/>
      <c r="C507" s="101"/>
      <c r="D507" s="101"/>
      <c r="E507" s="136"/>
      <c r="F507" s="101"/>
      <c r="G507" s="101"/>
      <c r="H507" s="101"/>
      <c r="I507" s="101"/>
      <c r="J507" s="82"/>
      <c r="K507" s="101"/>
    </row>
    <row r="508">
      <c r="A508" s="136"/>
      <c r="B508" s="101"/>
      <c r="C508" s="101"/>
      <c r="D508" s="101"/>
      <c r="E508" s="136"/>
      <c r="F508" s="101"/>
      <c r="G508" s="101"/>
      <c r="H508" s="101"/>
      <c r="I508" s="101"/>
      <c r="J508" s="82"/>
      <c r="K508" s="101"/>
    </row>
    <row r="509">
      <c r="A509" s="136"/>
      <c r="B509" s="101"/>
      <c r="C509" s="101"/>
      <c r="D509" s="101"/>
      <c r="E509" s="136"/>
      <c r="F509" s="101"/>
      <c r="G509" s="101"/>
      <c r="H509" s="101"/>
      <c r="I509" s="101"/>
      <c r="J509" s="82"/>
      <c r="K509" s="101"/>
    </row>
    <row r="510">
      <c r="A510" s="136"/>
      <c r="B510" s="101"/>
      <c r="C510" s="101"/>
      <c r="D510" s="101"/>
      <c r="E510" s="136"/>
      <c r="F510" s="101"/>
      <c r="G510" s="101"/>
      <c r="H510" s="101"/>
      <c r="I510" s="101"/>
      <c r="J510" s="82"/>
      <c r="K510" s="101"/>
    </row>
    <row r="511">
      <c r="A511" s="136"/>
      <c r="B511" s="101"/>
      <c r="C511" s="101"/>
      <c r="D511" s="101"/>
      <c r="E511" s="136"/>
      <c r="F511" s="101"/>
      <c r="G511" s="101"/>
      <c r="H511" s="101"/>
      <c r="I511" s="101"/>
      <c r="J511" s="82"/>
      <c r="K511" s="101"/>
    </row>
    <row r="512">
      <c r="A512" s="136"/>
      <c r="B512" s="101"/>
      <c r="C512" s="101"/>
      <c r="D512" s="101"/>
      <c r="E512" s="136"/>
      <c r="F512" s="101"/>
      <c r="G512" s="101"/>
      <c r="H512" s="101"/>
      <c r="I512" s="101"/>
      <c r="J512" s="82"/>
      <c r="K512" s="101"/>
    </row>
    <row r="513">
      <c r="A513" s="136"/>
      <c r="B513" s="101"/>
      <c r="C513" s="101"/>
      <c r="D513" s="101"/>
      <c r="E513" s="136"/>
      <c r="F513" s="101"/>
      <c r="G513" s="101"/>
      <c r="H513" s="101"/>
      <c r="I513" s="101"/>
      <c r="J513" s="82"/>
      <c r="K513" s="101"/>
    </row>
    <row r="514">
      <c r="A514" s="136"/>
      <c r="B514" s="101"/>
      <c r="C514" s="101"/>
      <c r="D514" s="101"/>
      <c r="E514" s="136"/>
      <c r="F514" s="101"/>
      <c r="G514" s="101"/>
      <c r="H514" s="101"/>
      <c r="I514" s="101"/>
      <c r="J514" s="82"/>
      <c r="K514" s="101"/>
    </row>
    <row r="515">
      <c r="A515" s="136"/>
      <c r="B515" s="101"/>
      <c r="C515" s="101"/>
      <c r="D515" s="101"/>
      <c r="E515" s="136"/>
      <c r="F515" s="101"/>
      <c r="G515" s="101"/>
      <c r="H515" s="101"/>
      <c r="I515" s="101"/>
      <c r="J515" s="82"/>
      <c r="K515" s="101"/>
    </row>
    <row r="516">
      <c r="A516" s="136"/>
      <c r="B516" s="101"/>
      <c r="C516" s="101"/>
      <c r="D516" s="101"/>
      <c r="E516" s="136"/>
      <c r="F516" s="101"/>
      <c r="G516" s="101"/>
      <c r="H516" s="101"/>
      <c r="I516" s="101"/>
      <c r="J516" s="82"/>
      <c r="K516" s="101"/>
    </row>
    <row r="517">
      <c r="A517" s="136"/>
      <c r="B517" s="101"/>
      <c r="C517" s="101"/>
      <c r="D517" s="101"/>
      <c r="E517" s="136"/>
      <c r="F517" s="101"/>
      <c r="G517" s="101"/>
      <c r="H517" s="101"/>
      <c r="I517" s="101"/>
      <c r="J517" s="82"/>
      <c r="K517" s="101"/>
    </row>
    <row r="518">
      <c r="A518" s="136"/>
      <c r="B518" s="101"/>
      <c r="C518" s="101"/>
      <c r="D518" s="101"/>
      <c r="E518" s="136"/>
      <c r="F518" s="101"/>
      <c r="G518" s="101"/>
      <c r="H518" s="101"/>
      <c r="I518" s="101"/>
      <c r="J518" s="82"/>
      <c r="K518" s="101"/>
    </row>
    <row r="519">
      <c r="A519" s="136"/>
      <c r="B519" s="101"/>
      <c r="C519" s="101"/>
      <c r="D519" s="101"/>
      <c r="E519" s="136"/>
      <c r="F519" s="101"/>
      <c r="G519" s="101"/>
      <c r="H519" s="101"/>
      <c r="I519" s="101"/>
      <c r="J519" s="82"/>
      <c r="K519" s="101"/>
    </row>
    <row r="520">
      <c r="A520" s="136"/>
      <c r="B520" s="101"/>
      <c r="C520" s="101"/>
      <c r="D520" s="101"/>
      <c r="E520" s="136"/>
      <c r="F520" s="101"/>
      <c r="G520" s="101"/>
      <c r="H520" s="101"/>
      <c r="I520" s="101"/>
      <c r="J520" s="82"/>
      <c r="K520" s="101"/>
    </row>
    <row r="521">
      <c r="A521" s="136"/>
      <c r="B521" s="101"/>
      <c r="C521" s="101"/>
      <c r="D521" s="101"/>
      <c r="E521" s="136"/>
      <c r="F521" s="101"/>
      <c r="G521" s="101"/>
      <c r="H521" s="101"/>
      <c r="I521" s="101"/>
      <c r="J521" s="82"/>
      <c r="K521" s="101"/>
    </row>
    <row r="522">
      <c r="A522" s="136"/>
      <c r="B522" s="101"/>
      <c r="C522" s="101"/>
      <c r="D522" s="101"/>
      <c r="E522" s="136"/>
      <c r="F522" s="101"/>
      <c r="G522" s="101"/>
      <c r="H522" s="101"/>
      <c r="I522" s="101"/>
      <c r="J522" s="82"/>
      <c r="K522" s="101"/>
    </row>
    <row r="523">
      <c r="A523" s="136"/>
      <c r="B523" s="101"/>
      <c r="C523" s="101"/>
      <c r="D523" s="101"/>
      <c r="E523" s="136"/>
      <c r="F523" s="101"/>
      <c r="G523" s="101"/>
      <c r="H523" s="101"/>
      <c r="I523" s="101"/>
      <c r="J523" s="82"/>
      <c r="K523" s="101"/>
    </row>
  </sheetData>
  <mergeCells count="146">
    <mergeCell ref="C43:D43"/>
    <mergeCell ref="C52:D52"/>
    <mergeCell ref="C62:D62"/>
    <mergeCell ref="A64:A71"/>
    <mergeCell ref="C72:D72"/>
    <mergeCell ref="A74:A81"/>
    <mergeCell ref="A84:A91"/>
    <mergeCell ref="A94:A101"/>
    <mergeCell ref="C102:D102"/>
    <mergeCell ref="A104:A112"/>
    <mergeCell ref="C113:D113"/>
    <mergeCell ref="A115:A123"/>
    <mergeCell ref="C124:D124"/>
    <mergeCell ref="C134:D134"/>
    <mergeCell ref="A126:A133"/>
    <mergeCell ref="A136:A142"/>
    <mergeCell ref="A145:A152"/>
    <mergeCell ref="A155:A162"/>
    <mergeCell ref="A165:A172"/>
    <mergeCell ref="A175:A181"/>
    <mergeCell ref="A186:A192"/>
    <mergeCell ref="A197:A203"/>
    <mergeCell ref="A207:A213"/>
    <mergeCell ref="A217:A224"/>
    <mergeCell ref="A227:A234"/>
    <mergeCell ref="A237:A245"/>
    <mergeCell ref="A248:A256"/>
    <mergeCell ref="A259:A268"/>
    <mergeCell ref="A271:A278"/>
    <mergeCell ref="A281:A288"/>
    <mergeCell ref="A291:A298"/>
    <mergeCell ref="A301:A308"/>
    <mergeCell ref="A311:A318"/>
    <mergeCell ref="A321:A329"/>
    <mergeCell ref="A332:A341"/>
    <mergeCell ref="A344:A351"/>
    <mergeCell ref="A354:A360"/>
    <mergeCell ref="A363:A370"/>
    <mergeCell ref="A373:A380"/>
    <mergeCell ref="A383:A390"/>
    <mergeCell ref="A393:A401"/>
    <mergeCell ref="A404:A412"/>
    <mergeCell ref="A485:A492"/>
    <mergeCell ref="A495:A502"/>
    <mergeCell ref="A415:A422"/>
    <mergeCell ref="A425:A432"/>
    <mergeCell ref="A435:A442"/>
    <mergeCell ref="A445:A452"/>
    <mergeCell ref="A455:A462"/>
    <mergeCell ref="A465:A473"/>
    <mergeCell ref="A476:A482"/>
    <mergeCell ref="G124:H124"/>
    <mergeCell ref="G134:H134"/>
    <mergeCell ref="G143:H143"/>
    <mergeCell ref="G153:H153"/>
    <mergeCell ref="G163:H163"/>
    <mergeCell ref="G173:H173"/>
    <mergeCell ref="G184:H184"/>
    <mergeCell ref="G195:H195"/>
    <mergeCell ref="G205:H205"/>
    <mergeCell ref="G215:H215"/>
    <mergeCell ref="G225:H225"/>
    <mergeCell ref="G235:H235"/>
    <mergeCell ref="G246:H246"/>
    <mergeCell ref="G257:H257"/>
    <mergeCell ref="G269:H269"/>
    <mergeCell ref="G279:H279"/>
    <mergeCell ref="G289:H289"/>
    <mergeCell ref="G299:H299"/>
    <mergeCell ref="G309:H309"/>
    <mergeCell ref="G319:H319"/>
    <mergeCell ref="G330:H330"/>
    <mergeCell ref="G443:H443"/>
    <mergeCell ref="G453:H453"/>
    <mergeCell ref="G463:H463"/>
    <mergeCell ref="G474:H474"/>
    <mergeCell ref="G483:H483"/>
    <mergeCell ref="G493:H493"/>
    <mergeCell ref="G342:H342"/>
    <mergeCell ref="G352:H352"/>
    <mergeCell ref="G391:H391"/>
    <mergeCell ref="G402:H402"/>
    <mergeCell ref="G413:H413"/>
    <mergeCell ref="G423:H423"/>
    <mergeCell ref="G433:H433"/>
    <mergeCell ref="C215:D215"/>
    <mergeCell ref="C225:D225"/>
    <mergeCell ref="C235:D235"/>
    <mergeCell ref="C246:D246"/>
    <mergeCell ref="C257:D257"/>
    <mergeCell ref="C269:D269"/>
    <mergeCell ref="C279:D279"/>
    <mergeCell ref="C289:D289"/>
    <mergeCell ref="C299:D299"/>
    <mergeCell ref="C309:D309"/>
    <mergeCell ref="C319:D319"/>
    <mergeCell ref="C330:D330"/>
    <mergeCell ref="C342:D342"/>
    <mergeCell ref="C352:D352"/>
    <mergeCell ref="C463:D463"/>
    <mergeCell ref="C474:D474"/>
    <mergeCell ref="C483:D483"/>
    <mergeCell ref="C493:D493"/>
    <mergeCell ref="C391:D391"/>
    <mergeCell ref="C402:D402"/>
    <mergeCell ref="C413:D413"/>
    <mergeCell ref="C423:D423"/>
    <mergeCell ref="C433:D433"/>
    <mergeCell ref="C443:D443"/>
    <mergeCell ref="C453:D453"/>
    <mergeCell ref="C1:D1"/>
    <mergeCell ref="G1:H1"/>
    <mergeCell ref="A4:A11"/>
    <mergeCell ref="C12:D12"/>
    <mergeCell ref="G12:H12"/>
    <mergeCell ref="C22:D22"/>
    <mergeCell ref="G22:H22"/>
    <mergeCell ref="A14:A21"/>
    <mergeCell ref="A24:A31"/>
    <mergeCell ref="C32:D32"/>
    <mergeCell ref="G32:H32"/>
    <mergeCell ref="A34:A42"/>
    <mergeCell ref="G43:H43"/>
    <mergeCell ref="A45:A51"/>
    <mergeCell ref="C82:D82"/>
    <mergeCell ref="C92:D92"/>
    <mergeCell ref="G52:H52"/>
    <mergeCell ref="G62:H62"/>
    <mergeCell ref="G72:H72"/>
    <mergeCell ref="G82:H82"/>
    <mergeCell ref="G92:H92"/>
    <mergeCell ref="G102:H102"/>
    <mergeCell ref="G113:H113"/>
    <mergeCell ref="C143:D143"/>
    <mergeCell ref="C153:D153"/>
    <mergeCell ref="C163:D163"/>
    <mergeCell ref="C173:D173"/>
    <mergeCell ref="C184:D184"/>
    <mergeCell ref="C195:D195"/>
    <mergeCell ref="C205:D205"/>
    <mergeCell ref="C361:D361"/>
    <mergeCell ref="G361:H361"/>
    <mergeCell ref="G371:H371"/>
    <mergeCell ref="C371:D371"/>
    <mergeCell ref="C381:D381"/>
    <mergeCell ref="G381:H381"/>
  </mergeCells>
  <conditionalFormatting sqref="F9:F10">
    <cfRule type="notContainsBlanks" dxfId="3" priority="1">
      <formula>LEN(TRIM(F9))&gt;0</formula>
    </cfRule>
  </conditionalFormatting>
  <conditionalFormatting sqref="G341:H341">
    <cfRule type="containsText" dxfId="3" priority="2" operator="containsText" text="research">
      <formula>NOT(ISERROR(SEARCH(("research"),(G341))))</formula>
    </cfRule>
  </conditionalFormatting>
  <conditionalFormatting sqref="B3:B11 B14:B31 B34:B51 B54:B523">
    <cfRule type="notContainsBlanks" dxfId="4" priority="3">
      <formula>LEN(TRIM(B3))&gt;0</formula>
    </cfRule>
  </conditionalFormatting>
  <conditionalFormatting sqref="F165:F172">
    <cfRule type="notContainsBlanks" dxfId="5" priority="4">
      <formula>LEN(TRIM(F165))&gt;0</formula>
    </cfRule>
  </conditionalFormatting>
  <hyperlinks>
    <hyperlink r:id="rId1" location="gid=832894794" ref="C3"/>
    <hyperlink r:id="rId2" ref="E3"/>
    <hyperlink r:id="rId3" location="gid=920699583" ref="F3"/>
    <hyperlink r:id="rId4" ref="G3"/>
    <hyperlink r:id="rId5" ref="I3"/>
  </hyperlinks>
  <drawing r:id="rId6"/>
  <tableParts count="123">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3" width="23.13"/>
    <col customWidth="1" min="4" max="4" width="17.0"/>
    <col customWidth="1" min="5" max="5" width="25.63"/>
    <col customWidth="1" min="6" max="6" width="29.0"/>
    <col customWidth="1" min="7" max="7" width="33.25"/>
  </cols>
  <sheetData>
    <row r="1">
      <c r="A1" s="80"/>
      <c r="B1" s="95"/>
      <c r="C1" s="80" t="s">
        <v>709</v>
      </c>
      <c r="D1" s="80"/>
      <c r="E1" s="80" t="s">
        <v>710</v>
      </c>
      <c r="F1" s="80" t="s">
        <v>3241</v>
      </c>
      <c r="G1" s="80" t="s">
        <v>714</v>
      </c>
    </row>
    <row r="2">
      <c r="A2" s="83"/>
      <c r="B2" s="128"/>
      <c r="C2" s="83" t="s">
        <v>3242</v>
      </c>
      <c r="D2" s="83" t="s">
        <v>69</v>
      </c>
      <c r="E2" s="83" t="s">
        <v>3243</v>
      </c>
      <c r="F2" s="83" t="s">
        <v>3244</v>
      </c>
      <c r="G2" s="83" t="s">
        <v>3245</v>
      </c>
    </row>
    <row r="3">
      <c r="A3" s="84" t="s">
        <v>720</v>
      </c>
      <c r="B3" s="92" t="s">
        <v>727</v>
      </c>
      <c r="C3" s="92" t="s">
        <v>3246</v>
      </c>
      <c r="D3" s="92"/>
      <c r="E3" s="93" t="s">
        <v>3247</v>
      </c>
      <c r="F3" s="88" t="s">
        <v>3248</v>
      </c>
      <c r="G3" s="164" t="s">
        <v>3249</v>
      </c>
    </row>
    <row r="4">
      <c r="B4" s="92" t="s">
        <v>1399</v>
      </c>
      <c r="C4" s="91" t="s">
        <v>3250</v>
      </c>
      <c r="D4" s="91"/>
      <c r="E4" s="86" t="s">
        <v>3251</v>
      </c>
      <c r="F4" s="87" t="s">
        <v>3252</v>
      </c>
      <c r="G4" s="165" t="s">
        <v>3253</v>
      </c>
    </row>
    <row r="5">
      <c r="A5" s="166"/>
      <c r="B5" s="92" t="s">
        <v>1404</v>
      </c>
      <c r="C5" s="90" t="s">
        <v>3254</v>
      </c>
      <c r="D5" s="90"/>
      <c r="E5" s="86" t="s">
        <v>3255</v>
      </c>
      <c r="F5" s="87" t="s">
        <v>3256</v>
      </c>
      <c r="G5" s="165" t="s">
        <v>3253</v>
      </c>
    </row>
    <row r="6">
      <c r="A6" s="80"/>
      <c r="B6" s="95"/>
      <c r="C6" s="80" t="s">
        <v>709</v>
      </c>
      <c r="D6" s="80"/>
      <c r="E6" s="80" t="s">
        <v>710</v>
      </c>
      <c r="F6" s="80" t="s">
        <v>3241</v>
      </c>
      <c r="G6" s="80" t="s">
        <v>714</v>
      </c>
      <c r="H6" s="167"/>
    </row>
    <row r="7">
      <c r="A7" s="83"/>
      <c r="B7" s="128"/>
      <c r="C7" s="83" t="s">
        <v>3242</v>
      </c>
      <c r="D7" s="83" t="s">
        <v>715</v>
      </c>
      <c r="E7" s="83" t="s">
        <v>14</v>
      </c>
      <c r="F7" s="83" t="s">
        <v>3257</v>
      </c>
      <c r="G7" s="83" t="s">
        <v>3245</v>
      </c>
      <c r="H7" s="167"/>
    </row>
    <row r="8">
      <c r="A8" s="84" t="s">
        <v>744</v>
      </c>
      <c r="B8" s="168" t="s">
        <v>752</v>
      </c>
      <c r="C8" s="92" t="s">
        <v>3258</v>
      </c>
      <c r="D8" s="91" t="s">
        <v>3259</v>
      </c>
      <c r="E8" s="93"/>
      <c r="F8" s="88"/>
      <c r="G8" s="164" t="s">
        <v>3260</v>
      </c>
      <c r="H8" s="88"/>
    </row>
    <row r="9">
      <c r="B9" s="169" t="s">
        <v>1448</v>
      </c>
      <c r="C9" s="91" t="s">
        <v>3261</v>
      </c>
      <c r="D9" s="91" t="s">
        <v>3262</v>
      </c>
      <c r="E9" s="86"/>
      <c r="F9" s="88"/>
      <c r="G9" s="165" t="s">
        <v>3260</v>
      </c>
      <c r="H9" s="88"/>
    </row>
    <row r="10">
      <c r="A10" s="166"/>
      <c r="B10" s="170" t="s">
        <v>1453</v>
      </c>
      <c r="C10" s="91" t="s">
        <v>3263</v>
      </c>
      <c r="D10" s="91"/>
      <c r="E10" s="86" t="s">
        <v>3264</v>
      </c>
      <c r="F10" s="88" t="s">
        <v>3265</v>
      </c>
      <c r="G10" s="165" t="s">
        <v>3260</v>
      </c>
      <c r="H10" s="171"/>
    </row>
    <row r="11">
      <c r="A11" s="80"/>
      <c r="B11" s="95"/>
      <c r="C11" s="80" t="s">
        <v>709</v>
      </c>
      <c r="D11" s="80"/>
      <c r="E11" s="80" t="s">
        <v>710</v>
      </c>
      <c r="F11" s="80" t="s">
        <v>3241</v>
      </c>
      <c r="G11" s="80" t="s">
        <v>714</v>
      </c>
    </row>
    <row r="12">
      <c r="A12" s="83"/>
      <c r="B12" s="128"/>
      <c r="C12" s="83" t="s">
        <v>3242</v>
      </c>
      <c r="D12" s="83" t="s">
        <v>69</v>
      </c>
      <c r="E12" s="83" t="s">
        <v>3266</v>
      </c>
      <c r="F12" s="83" t="s">
        <v>3267</v>
      </c>
      <c r="G12" s="83" t="s">
        <v>3245</v>
      </c>
      <c r="K12" s="75" t="s">
        <v>1352</v>
      </c>
    </row>
    <row r="13">
      <c r="A13" s="84" t="s">
        <v>764</v>
      </c>
      <c r="B13" s="172" t="s">
        <v>1495</v>
      </c>
      <c r="C13" s="96" t="s">
        <v>3268</v>
      </c>
      <c r="D13" s="96"/>
      <c r="E13" s="86" t="s">
        <v>3269</v>
      </c>
      <c r="F13" s="87"/>
      <c r="G13" s="165" t="s">
        <v>3253</v>
      </c>
    </row>
    <row r="14">
      <c r="B14" s="173" t="s">
        <v>1497</v>
      </c>
      <c r="C14" s="91" t="s">
        <v>3254</v>
      </c>
      <c r="D14" s="91"/>
      <c r="E14" s="86" t="s">
        <v>3270</v>
      </c>
      <c r="F14" s="87" t="s">
        <v>3271</v>
      </c>
      <c r="G14" s="87" t="s">
        <v>3272</v>
      </c>
    </row>
    <row r="15">
      <c r="A15" s="80"/>
      <c r="B15" s="95"/>
      <c r="C15" s="80" t="s">
        <v>709</v>
      </c>
      <c r="D15" s="80"/>
      <c r="E15" s="80" t="s">
        <v>710</v>
      </c>
      <c r="F15" s="80" t="s">
        <v>3241</v>
      </c>
      <c r="G15" s="80" t="s">
        <v>714</v>
      </c>
    </row>
    <row r="16">
      <c r="A16" s="83"/>
      <c r="B16" s="128"/>
      <c r="C16" s="83" t="s">
        <v>3242</v>
      </c>
      <c r="D16" s="83" t="s">
        <v>69</v>
      </c>
      <c r="E16" s="83" t="s">
        <v>3266</v>
      </c>
      <c r="F16" s="83" t="s">
        <v>3267</v>
      </c>
      <c r="G16" s="83" t="s">
        <v>3245</v>
      </c>
    </row>
    <row r="17" ht="33.0" customHeight="1">
      <c r="A17" s="84" t="s">
        <v>783</v>
      </c>
      <c r="B17" s="173" t="s">
        <v>1507</v>
      </c>
      <c r="C17" s="90" t="s">
        <v>3273</v>
      </c>
      <c r="D17" s="90" t="s">
        <v>1509</v>
      </c>
      <c r="E17" s="86" t="s">
        <v>3274</v>
      </c>
      <c r="F17" s="87"/>
      <c r="G17" s="165" t="s">
        <v>3253</v>
      </c>
    </row>
    <row r="18">
      <c r="A18" s="90"/>
      <c r="B18" s="173" t="s">
        <v>1507</v>
      </c>
      <c r="C18" s="90" t="s">
        <v>3275</v>
      </c>
      <c r="D18" s="90"/>
      <c r="E18" s="93" t="s">
        <v>3276</v>
      </c>
      <c r="F18" s="87"/>
      <c r="G18" s="174" t="s">
        <v>3277</v>
      </c>
    </row>
    <row r="19">
      <c r="A19" s="90"/>
      <c r="B19" s="173" t="s">
        <v>800</v>
      </c>
      <c r="C19" s="90" t="s">
        <v>3278</v>
      </c>
      <c r="D19" s="90" t="s">
        <v>3279</v>
      </c>
      <c r="E19" s="86" t="s">
        <v>3280</v>
      </c>
      <c r="F19" s="87"/>
      <c r="G19" s="165" t="s">
        <v>3249</v>
      </c>
    </row>
    <row r="20">
      <c r="A20" s="90"/>
      <c r="B20" s="173" t="s">
        <v>1530</v>
      </c>
      <c r="C20" s="90" t="s">
        <v>3281</v>
      </c>
      <c r="D20" s="90" t="s">
        <v>3282</v>
      </c>
      <c r="E20" s="86" t="s">
        <v>3283</v>
      </c>
      <c r="F20" s="87" t="s">
        <v>3284</v>
      </c>
      <c r="G20" s="175" t="s">
        <v>3285</v>
      </c>
    </row>
    <row r="21">
      <c r="A21" s="90"/>
      <c r="B21" s="173" t="s">
        <v>1536</v>
      </c>
      <c r="C21" s="90" t="s">
        <v>3286</v>
      </c>
      <c r="D21" s="90" t="s">
        <v>3287</v>
      </c>
      <c r="E21" s="86" t="s">
        <v>3288</v>
      </c>
      <c r="F21" s="87"/>
      <c r="G21" s="175" t="s">
        <v>3289</v>
      </c>
    </row>
    <row r="22">
      <c r="A22" s="90"/>
      <c r="B22" s="173" t="s">
        <v>1542</v>
      </c>
      <c r="C22" s="90" t="s">
        <v>3290</v>
      </c>
      <c r="D22" s="90"/>
      <c r="E22" s="86" t="s">
        <v>3291</v>
      </c>
      <c r="F22" s="87" t="s">
        <v>3292</v>
      </c>
      <c r="G22" s="175" t="s">
        <v>3293</v>
      </c>
    </row>
    <row r="23">
      <c r="A23" s="90"/>
      <c r="B23" s="173" t="s">
        <v>1547</v>
      </c>
      <c r="C23" s="90" t="s">
        <v>3294</v>
      </c>
      <c r="D23" s="90" t="s">
        <v>1549</v>
      </c>
      <c r="E23" s="86" t="s">
        <v>3295</v>
      </c>
      <c r="F23" s="87"/>
      <c r="G23" s="175" t="s">
        <v>3260</v>
      </c>
    </row>
    <row r="24">
      <c r="A24" s="80"/>
      <c r="B24" s="95"/>
      <c r="C24" s="80" t="s">
        <v>709</v>
      </c>
      <c r="D24" s="80"/>
      <c r="E24" s="80" t="s">
        <v>710</v>
      </c>
      <c r="F24" s="80" t="s">
        <v>3241</v>
      </c>
      <c r="G24" s="80" t="s">
        <v>714</v>
      </c>
    </row>
    <row r="25">
      <c r="A25" s="83"/>
      <c r="B25" s="128"/>
      <c r="C25" s="83" t="s">
        <v>3242</v>
      </c>
      <c r="D25" s="83" t="s">
        <v>69</v>
      </c>
      <c r="E25" s="83" t="s">
        <v>3266</v>
      </c>
      <c r="F25" s="83" t="s">
        <v>3267</v>
      </c>
      <c r="G25" s="83" t="s">
        <v>3245</v>
      </c>
    </row>
    <row r="26">
      <c r="A26" s="84" t="s">
        <v>3296</v>
      </c>
      <c r="B26" s="176" t="s">
        <v>1586</v>
      </c>
      <c r="C26" s="90" t="s">
        <v>3297</v>
      </c>
      <c r="D26" s="92"/>
      <c r="E26" s="177" t="s">
        <v>3298</v>
      </c>
      <c r="F26" s="178"/>
      <c r="G26" s="179" t="s">
        <v>3299</v>
      </c>
    </row>
    <row r="27">
      <c r="A27" s="84"/>
      <c r="B27" s="173" t="s">
        <v>1591</v>
      </c>
      <c r="C27" s="90" t="s">
        <v>3300</v>
      </c>
      <c r="D27" s="90"/>
      <c r="E27" s="93" t="s">
        <v>3301</v>
      </c>
      <c r="F27" s="87" t="s">
        <v>3302</v>
      </c>
      <c r="G27" s="175" t="s">
        <v>3272</v>
      </c>
    </row>
    <row r="28">
      <c r="A28" s="80"/>
      <c r="B28" s="80"/>
      <c r="C28" s="80" t="s">
        <v>709</v>
      </c>
      <c r="D28" s="80"/>
      <c r="E28" s="80" t="s">
        <v>710</v>
      </c>
      <c r="F28" s="80" t="s">
        <v>3241</v>
      </c>
      <c r="G28" s="180" t="s">
        <v>714</v>
      </c>
    </row>
    <row r="29">
      <c r="A29" s="83"/>
      <c r="B29" s="83"/>
      <c r="C29" s="83" t="s">
        <v>3242</v>
      </c>
      <c r="D29" s="83" t="s">
        <v>69</v>
      </c>
      <c r="E29" s="83" t="s">
        <v>3266</v>
      </c>
      <c r="F29" s="83" t="s">
        <v>3267</v>
      </c>
      <c r="G29" s="181" t="s">
        <v>3245</v>
      </c>
    </row>
    <row r="30">
      <c r="A30" s="84" t="s">
        <v>818</v>
      </c>
      <c r="B30" s="170" t="s">
        <v>819</v>
      </c>
      <c r="C30" s="182" t="s">
        <v>3303</v>
      </c>
      <c r="D30" s="92"/>
      <c r="E30" s="93" t="s">
        <v>3304</v>
      </c>
      <c r="F30" s="88"/>
      <c r="G30" s="164" t="s">
        <v>3272</v>
      </c>
    </row>
    <row r="31">
      <c r="B31" s="169" t="s">
        <v>827</v>
      </c>
      <c r="C31" s="182" t="s">
        <v>3305</v>
      </c>
      <c r="D31" s="92"/>
      <c r="E31" s="93" t="s">
        <v>3304</v>
      </c>
      <c r="F31" s="88"/>
      <c r="G31" s="164" t="s">
        <v>3272</v>
      </c>
    </row>
    <row r="32">
      <c r="B32" s="170" t="s">
        <v>831</v>
      </c>
      <c r="C32" s="182" t="s">
        <v>3306</v>
      </c>
      <c r="D32" s="92"/>
      <c r="E32" s="93" t="s">
        <v>3307</v>
      </c>
      <c r="F32" s="88"/>
      <c r="G32" s="164" t="s">
        <v>3272</v>
      </c>
    </row>
    <row r="33">
      <c r="B33" s="169" t="s">
        <v>836</v>
      </c>
      <c r="C33" s="182" t="s">
        <v>3308</v>
      </c>
      <c r="D33" s="92"/>
      <c r="E33" s="93" t="s">
        <v>3304</v>
      </c>
      <c r="F33" s="88"/>
      <c r="G33" s="164" t="s">
        <v>3272</v>
      </c>
    </row>
    <row r="34">
      <c r="B34" s="170" t="s">
        <v>1625</v>
      </c>
      <c r="C34" s="182" t="s">
        <v>3309</v>
      </c>
      <c r="D34" s="96"/>
      <c r="E34" s="93" t="s">
        <v>3310</v>
      </c>
      <c r="F34" s="87" t="s">
        <v>3311</v>
      </c>
      <c r="G34" s="175" t="s">
        <v>3312</v>
      </c>
    </row>
    <row r="35">
      <c r="A35" s="166"/>
      <c r="B35" s="169" t="s">
        <v>1629</v>
      </c>
      <c r="C35" s="182" t="s">
        <v>3313</v>
      </c>
      <c r="D35" s="96"/>
      <c r="E35" s="93" t="s">
        <v>3314</v>
      </c>
      <c r="F35" s="87"/>
      <c r="G35" s="175" t="s">
        <v>3315</v>
      </c>
    </row>
    <row r="36">
      <c r="A36" s="80"/>
      <c r="B36" s="80"/>
      <c r="C36" s="80" t="s">
        <v>709</v>
      </c>
      <c r="D36" s="80"/>
      <c r="E36" s="80" t="s">
        <v>710</v>
      </c>
      <c r="F36" s="80" t="s">
        <v>3241</v>
      </c>
      <c r="G36" s="180" t="s">
        <v>714</v>
      </c>
    </row>
    <row r="37">
      <c r="A37" s="83"/>
      <c r="B37" s="83"/>
      <c r="C37" s="83" t="s">
        <v>3242</v>
      </c>
      <c r="D37" s="83" t="s">
        <v>69</v>
      </c>
      <c r="E37" s="83" t="s">
        <v>3266</v>
      </c>
      <c r="F37" s="83" t="s">
        <v>3267</v>
      </c>
      <c r="G37" s="181" t="s">
        <v>3245</v>
      </c>
    </row>
    <row r="38">
      <c r="A38" s="84" t="s">
        <v>3316</v>
      </c>
      <c r="B38" s="172" t="s">
        <v>839</v>
      </c>
      <c r="C38" s="183" t="s">
        <v>3317</v>
      </c>
      <c r="D38" s="184" t="s">
        <v>3318</v>
      </c>
      <c r="E38" s="185" t="s">
        <v>3319</v>
      </c>
      <c r="F38" s="171" t="s">
        <v>3320</v>
      </c>
      <c r="G38" s="171" t="s">
        <v>3249</v>
      </c>
    </row>
    <row r="39">
      <c r="A39" s="84"/>
      <c r="B39" s="172" t="s">
        <v>1664</v>
      </c>
      <c r="C39" s="96" t="s">
        <v>3321</v>
      </c>
      <c r="D39" s="96"/>
      <c r="E39" s="93" t="s">
        <v>3322</v>
      </c>
      <c r="F39" s="87" t="s">
        <v>3311</v>
      </c>
      <c r="G39" s="175" t="s">
        <v>3323</v>
      </c>
    </row>
    <row r="40">
      <c r="A40" s="84"/>
      <c r="B40" s="172" t="s">
        <v>1669</v>
      </c>
      <c r="C40" s="182" t="s">
        <v>3324</v>
      </c>
      <c r="D40" s="97"/>
      <c r="E40" s="93" t="s">
        <v>3325</v>
      </c>
      <c r="F40" s="186"/>
      <c r="G40" s="187" t="s">
        <v>3326</v>
      </c>
    </row>
    <row r="41">
      <c r="A41" s="80"/>
      <c r="B41" s="80"/>
      <c r="C41" s="80" t="s">
        <v>709</v>
      </c>
      <c r="D41" s="80"/>
      <c r="E41" s="80" t="s">
        <v>710</v>
      </c>
      <c r="F41" s="80" t="s">
        <v>3241</v>
      </c>
      <c r="G41" s="180" t="s">
        <v>714</v>
      </c>
    </row>
    <row r="42">
      <c r="A42" s="83"/>
      <c r="B42" s="83"/>
      <c r="C42" s="83" t="s">
        <v>3242</v>
      </c>
      <c r="D42" s="83" t="s">
        <v>69</v>
      </c>
      <c r="E42" s="83" t="s">
        <v>3266</v>
      </c>
      <c r="F42" s="83" t="s">
        <v>3267</v>
      </c>
      <c r="G42" s="181" t="s">
        <v>3245</v>
      </c>
    </row>
    <row r="43">
      <c r="A43" s="84" t="s">
        <v>857</v>
      </c>
      <c r="B43" s="170" t="s">
        <v>1707</v>
      </c>
      <c r="C43" s="182" t="s">
        <v>3250</v>
      </c>
      <c r="D43" s="91"/>
      <c r="E43" s="86" t="s">
        <v>3327</v>
      </c>
      <c r="F43" s="87" t="s">
        <v>3328</v>
      </c>
      <c r="G43" s="175" t="s">
        <v>3329</v>
      </c>
    </row>
    <row r="44">
      <c r="B44" s="169" t="s">
        <v>1711</v>
      </c>
      <c r="C44" s="182" t="s">
        <v>3330</v>
      </c>
      <c r="D44" s="90"/>
      <c r="E44" s="86" t="s">
        <v>3331</v>
      </c>
      <c r="F44" s="87"/>
      <c r="G44" s="175" t="s">
        <v>3332</v>
      </c>
    </row>
    <row r="45">
      <c r="A45" s="80"/>
      <c r="B45" s="80"/>
      <c r="C45" s="80" t="s">
        <v>709</v>
      </c>
      <c r="D45" s="80"/>
      <c r="E45" s="80" t="s">
        <v>710</v>
      </c>
      <c r="F45" s="80" t="s">
        <v>3241</v>
      </c>
      <c r="G45" s="180" t="s">
        <v>714</v>
      </c>
    </row>
    <row r="46">
      <c r="A46" s="83"/>
      <c r="B46" s="83"/>
      <c r="C46" s="83" t="s">
        <v>3242</v>
      </c>
      <c r="D46" s="83" t="s">
        <v>69</v>
      </c>
      <c r="E46" s="83" t="s">
        <v>3266</v>
      </c>
      <c r="F46" s="83" t="s">
        <v>3267</v>
      </c>
      <c r="G46" s="181" t="s">
        <v>3245</v>
      </c>
    </row>
    <row r="47">
      <c r="A47" s="84" t="s">
        <v>872</v>
      </c>
      <c r="B47" s="172" t="s">
        <v>1751</v>
      </c>
      <c r="C47" s="91" t="s">
        <v>3333</v>
      </c>
      <c r="D47" s="91" t="s">
        <v>3262</v>
      </c>
      <c r="E47" s="86" t="s">
        <v>3334</v>
      </c>
      <c r="F47" s="87" t="s">
        <v>3335</v>
      </c>
      <c r="G47" s="175" t="s">
        <v>3329</v>
      </c>
    </row>
    <row r="48">
      <c r="A48" s="84"/>
      <c r="B48" s="172" t="s">
        <v>1756</v>
      </c>
      <c r="C48" s="91" t="s">
        <v>3336</v>
      </c>
      <c r="D48" s="91"/>
      <c r="E48" s="188" t="s">
        <v>3337</v>
      </c>
      <c r="F48" s="87" t="s">
        <v>3338</v>
      </c>
      <c r="G48" s="175" t="s">
        <v>3339</v>
      </c>
    </row>
    <row r="49">
      <c r="A49" s="80"/>
      <c r="B49" s="80"/>
      <c r="C49" s="80" t="s">
        <v>709</v>
      </c>
      <c r="D49" s="80"/>
      <c r="E49" s="80" t="s">
        <v>710</v>
      </c>
      <c r="F49" s="80" t="s">
        <v>3241</v>
      </c>
      <c r="G49" s="180" t="s">
        <v>714</v>
      </c>
    </row>
    <row r="50">
      <c r="A50" s="83"/>
      <c r="B50" s="83"/>
      <c r="C50" s="83" t="s">
        <v>3242</v>
      </c>
      <c r="D50" s="83" t="s">
        <v>69</v>
      </c>
      <c r="E50" s="83" t="s">
        <v>3266</v>
      </c>
      <c r="F50" s="83" t="s">
        <v>3267</v>
      </c>
      <c r="G50" s="181" t="s">
        <v>3245</v>
      </c>
    </row>
    <row r="51">
      <c r="A51" s="84" t="s">
        <v>884</v>
      </c>
      <c r="B51" s="170" t="s">
        <v>1799</v>
      </c>
      <c r="C51" s="96" t="s">
        <v>3340</v>
      </c>
      <c r="D51" s="96"/>
      <c r="E51" s="86" t="s">
        <v>3341</v>
      </c>
      <c r="F51" s="87" t="s">
        <v>3342</v>
      </c>
      <c r="G51" s="175" t="s">
        <v>3329</v>
      </c>
    </row>
    <row r="52">
      <c r="B52" s="169" t="s">
        <v>1802</v>
      </c>
      <c r="C52" s="91" t="s">
        <v>3330</v>
      </c>
      <c r="D52" s="91"/>
      <c r="E52" s="86" t="s">
        <v>3331</v>
      </c>
      <c r="F52" s="87"/>
      <c r="G52" s="175" t="s">
        <v>3329</v>
      </c>
    </row>
    <row r="53">
      <c r="A53" s="80"/>
      <c r="B53" s="80"/>
      <c r="C53" s="80" t="s">
        <v>709</v>
      </c>
      <c r="D53" s="80"/>
      <c r="E53" s="80" t="s">
        <v>710</v>
      </c>
      <c r="F53" s="80" t="s">
        <v>3241</v>
      </c>
      <c r="G53" s="180" t="s">
        <v>714</v>
      </c>
    </row>
    <row r="54">
      <c r="A54" s="83"/>
      <c r="B54" s="83"/>
      <c r="C54" s="83" t="s">
        <v>3242</v>
      </c>
      <c r="D54" s="83" t="s">
        <v>69</v>
      </c>
      <c r="E54" s="83" t="s">
        <v>3266</v>
      </c>
      <c r="F54" s="83" t="s">
        <v>3267</v>
      </c>
      <c r="G54" s="181" t="s">
        <v>3245</v>
      </c>
    </row>
    <row r="55">
      <c r="A55" s="84" t="s">
        <v>900</v>
      </c>
      <c r="B55" s="173" t="s">
        <v>1813</v>
      </c>
      <c r="C55" s="96" t="s">
        <v>3343</v>
      </c>
      <c r="D55" s="96" t="s">
        <v>1509</v>
      </c>
      <c r="E55" s="93" t="s">
        <v>3344</v>
      </c>
      <c r="F55" s="164"/>
      <c r="G55" s="175" t="s">
        <v>3329</v>
      </c>
    </row>
    <row r="56">
      <c r="B56" s="173" t="s">
        <v>901</v>
      </c>
      <c r="C56" s="96" t="s">
        <v>3345</v>
      </c>
      <c r="D56" s="96"/>
      <c r="E56" s="86" t="s">
        <v>3346</v>
      </c>
      <c r="F56" s="189"/>
      <c r="G56" s="175" t="s">
        <v>3329</v>
      </c>
    </row>
    <row r="57">
      <c r="A57" s="84"/>
      <c r="B57" s="173" t="s">
        <v>901</v>
      </c>
      <c r="C57" s="96" t="s">
        <v>3347</v>
      </c>
      <c r="D57" s="96"/>
      <c r="E57" s="86" t="s">
        <v>3348</v>
      </c>
      <c r="F57" s="111"/>
      <c r="G57" s="175" t="s">
        <v>3329</v>
      </c>
    </row>
    <row r="58">
      <c r="A58" s="84"/>
      <c r="B58" s="173" t="s">
        <v>907</v>
      </c>
      <c r="C58" s="96" t="s">
        <v>3349</v>
      </c>
      <c r="D58" s="96"/>
      <c r="E58" s="86" t="s">
        <v>3350</v>
      </c>
      <c r="F58" s="111"/>
      <c r="G58" s="175" t="s">
        <v>3329</v>
      </c>
    </row>
    <row r="59">
      <c r="A59" s="84"/>
      <c r="B59" s="173" t="s">
        <v>908</v>
      </c>
      <c r="C59" s="96" t="s">
        <v>3351</v>
      </c>
      <c r="D59" s="96"/>
      <c r="E59" s="86" t="s">
        <v>3350</v>
      </c>
      <c r="F59" s="111"/>
      <c r="G59" s="175" t="s">
        <v>3329</v>
      </c>
    </row>
    <row r="60">
      <c r="A60" s="84"/>
      <c r="B60" s="173" t="s">
        <v>909</v>
      </c>
      <c r="C60" s="96" t="s">
        <v>3352</v>
      </c>
      <c r="D60" s="96"/>
      <c r="E60" s="86" t="s">
        <v>3350</v>
      </c>
      <c r="F60" s="88"/>
      <c r="G60" s="175" t="s">
        <v>3329</v>
      </c>
    </row>
    <row r="61">
      <c r="A61" s="84"/>
      <c r="B61" s="173" t="s">
        <v>1832</v>
      </c>
      <c r="C61" s="96" t="s">
        <v>3353</v>
      </c>
      <c r="D61" s="96" t="s">
        <v>3354</v>
      </c>
      <c r="E61" s="93" t="s">
        <v>3355</v>
      </c>
      <c r="F61" s="87" t="s">
        <v>3356</v>
      </c>
      <c r="G61" s="175" t="s">
        <v>3329</v>
      </c>
    </row>
    <row r="62">
      <c r="A62" s="84"/>
      <c r="B62" s="173" t="s">
        <v>1836</v>
      </c>
      <c r="C62" s="96" t="s">
        <v>3286</v>
      </c>
      <c r="D62" s="96" t="s">
        <v>3357</v>
      </c>
      <c r="E62" s="86" t="s">
        <v>3358</v>
      </c>
      <c r="F62" s="87"/>
      <c r="G62" s="175" t="s">
        <v>3359</v>
      </c>
    </row>
    <row r="63">
      <c r="A63" s="84"/>
      <c r="B63" s="173" t="s">
        <v>1841</v>
      </c>
      <c r="C63" s="96" t="s">
        <v>3360</v>
      </c>
      <c r="D63" s="96"/>
      <c r="E63" s="86" t="s">
        <v>3337</v>
      </c>
      <c r="F63" s="87"/>
      <c r="G63" s="175" t="s">
        <v>3329</v>
      </c>
    </row>
    <row r="64">
      <c r="A64" s="84"/>
      <c r="B64" s="173" t="s">
        <v>1846</v>
      </c>
      <c r="C64" s="96" t="s">
        <v>3361</v>
      </c>
      <c r="D64" s="96" t="s">
        <v>1549</v>
      </c>
      <c r="E64" s="86" t="s">
        <v>3362</v>
      </c>
      <c r="F64" s="87"/>
      <c r="G64" s="175" t="s">
        <v>3329</v>
      </c>
    </row>
    <row r="65">
      <c r="A65" s="80"/>
      <c r="B65" s="80"/>
      <c r="C65" s="80" t="s">
        <v>709</v>
      </c>
      <c r="D65" s="80"/>
      <c r="E65" s="80" t="s">
        <v>710</v>
      </c>
      <c r="F65" s="80" t="s">
        <v>3241</v>
      </c>
      <c r="G65" s="180" t="s">
        <v>714</v>
      </c>
    </row>
    <row r="66">
      <c r="A66" s="83"/>
      <c r="B66" s="83"/>
      <c r="C66" s="83" t="s">
        <v>3242</v>
      </c>
      <c r="D66" s="83" t="s">
        <v>69</v>
      </c>
      <c r="E66" s="83" t="s">
        <v>3266</v>
      </c>
      <c r="F66" s="83" t="s">
        <v>3267</v>
      </c>
      <c r="G66" s="181" t="s">
        <v>3245</v>
      </c>
    </row>
    <row r="67">
      <c r="A67" s="84" t="s">
        <v>911</v>
      </c>
      <c r="B67" s="170" t="s">
        <v>1882</v>
      </c>
      <c r="C67" s="96" t="s">
        <v>3363</v>
      </c>
      <c r="D67" s="96"/>
      <c r="E67" s="86" t="s">
        <v>3364</v>
      </c>
      <c r="F67" s="87"/>
      <c r="G67" s="175" t="s">
        <v>3329</v>
      </c>
    </row>
    <row r="68">
      <c r="B68" s="169" t="s">
        <v>1886</v>
      </c>
      <c r="C68" s="96" t="s">
        <v>3365</v>
      </c>
      <c r="D68" s="96"/>
      <c r="E68" s="93" t="s">
        <v>3366</v>
      </c>
      <c r="F68" s="87"/>
      <c r="G68" s="175" t="s">
        <v>3367</v>
      </c>
    </row>
    <row r="69">
      <c r="A69" s="80"/>
      <c r="B69" s="80"/>
      <c r="C69" s="80" t="s">
        <v>709</v>
      </c>
      <c r="D69" s="80"/>
      <c r="E69" s="80" t="s">
        <v>710</v>
      </c>
      <c r="F69" s="80" t="s">
        <v>3241</v>
      </c>
      <c r="G69" s="180" t="s">
        <v>714</v>
      </c>
    </row>
    <row r="70">
      <c r="A70" s="83"/>
      <c r="B70" s="83"/>
      <c r="C70" s="83" t="s">
        <v>3242</v>
      </c>
      <c r="D70" s="83" t="s">
        <v>69</v>
      </c>
      <c r="E70" s="83" t="s">
        <v>3266</v>
      </c>
      <c r="F70" s="83" t="s">
        <v>3267</v>
      </c>
      <c r="G70" s="181" t="s">
        <v>3245</v>
      </c>
    </row>
    <row r="71">
      <c r="A71" s="84" t="s">
        <v>3368</v>
      </c>
      <c r="B71" s="170" t="s">
        <v>931</v>
      </c>
      <c r="C71" s="190" t="s">
        <v>3303</v>
      </c>
      <c r="D71" s="96"/>
      <c r="E71" s="93" t="s">
        <v>3304</v>
      </c>
      <c r="F71" s="87"/>
      <c r="G71" s="191" t="s">
        <v>3329</v>
      </c>
    </row>
    <row r="72">
      <c r="B72" s="169" t="s">
        <v>936</v>
      </c>
      <c r="C72" s="182" t="s">
        <v>3305</v>
      </c>
      <c r="D72" s="96"/>
      <c r="E72" s="93" t="s">
        <v>3304</v>
      </c>
      <c r="F72" s="87"/>
      <c r="G72" s="164" t="s">
        <v>3329</v>
      </c>
    </row>
    <row r="73">
      <c r="A73" s="84"/>
      <c r="B73" s="170" t="s">
        <v>940</v>
      </c>
      <c r="C73" s="182" t="s">
        <v>3306</v>
      </c>
      <c r="D73" s="96"/>
      <c r="E73" s="93" t="s">
        <v>3369</v>
      </c>
      <c r="F73" s="87"/>
      <c r="G73" s="164" t="s">
        <v>3329</v>
      </c>
    </row>
    <row r="74">
      <c r="A74" s="84"/>
      <c r="B74" s="169" t="s">
        <v>1921</v>
      </c>
      <c r="C74" s="182" t="s">
        <v>3308</v>
      </c>
      <c r="D74" s="96"/>
      <c r="E74" s="93" t="s">
        <v>3370</v>
      </c>
      <c r="F74" s="87" t="s">
        <v>3371</v>
      </c>
      <c r="G74" s="164" t="s">
        <v>3329</v>
      </c>
    </row>
    <row r="75">
      <c r="A75" s="84"/>
      <c r="B75" s="170" t="s">
        <v>1925</v>
      </c>
      <c r="C75" s="192" t="s">
        <v>3372</v>
      </c>
      <c r="D75" s="96"/>
      <c r="E75" s="93" t="s">
        <v>3373</v>
      </c>
      <c r="F75" s="87"/>
      <c r="G75" s="164" t="s">
        <v>3374</v>
      </c>
    </row>
    <row r="76">
      <c r="A76" s="80"/>
      <c r="B76" s="80"/>
      <c r="C76" s="80" t="s">
        <v>709</v>
      </c>
      <c r="D76" s="80"/>
      <c r="E76" s="80" t="s">
        <v>710</v>
      </c>
      <c r="F76" s="80" t="s">
        <v>3241</v>
      </c>
      <c r="G76" s="180" t="s">
        <v>714</v>
      </c>
    </row>
    <row r="77">
      <c r="A77" s="83"/>
      <c r="B77" s="83"/>
      <c r="C77" s="83" t="s">
        <v>3242</v>
      </c>
      <c r="D77" s="83" t="s">
        <v>69</v>
      </c>
      <c r="E77" s="83" t="s">
        <v>3266</v>
      </c>
      <c r="F77" s="83" t="s">
        <v>3267</v>
      </c>
      <c r="G77" s="181" t="s">
        <v>3245</v>
      </c>
    </row>
    <row r="78">
      <c r="A78" s="84" t="s">
        <v>945</v>
      </c>
      <c r="B78" s="173" t="s">
        <v>1955</v>
      </c>
      <c r="C78" s="91" t="s">
        <v>3375</v>
      </c>
      <c r="D78" s="102"/>
      <c r="E78" s="93" t="s">
        <v>3376</v>
      </c>
      <c r="F78" s="171"/>
      <c r="G78" s="187" t="s">
        <v>3374</v>
      </c>
    </row>
    <row r="79">
      <c r="A79" s="84"/>
      <c r="B79" s="173" t="s">
        <v>1960</v>
      </c>
      <c r="C79" s="90" t="s">
        <v>3377</v>
      </c>
      <c r="D79" s="90"/>
      <c r="E79" s="93" t="s">
        <v>3378</v>
      </c>
      <c r="F79" s="87"/>
      <c r="G79" s="175" t="s">
        <v>3332</v>
      </c>
    </row>
    <row r="80">
      <c r="A80" s="80"/>
      <c r="B80" s="80"/>
      <c r="C80" s="80" t="s">
        <v>709</v>
      </c>
      <c r="D80" s="80"/>
      <c r="E80" s="80" t="s">
        <v>710</v>
      </c>
      <c r="F80" s="80" t="s">
        <v>3241</v>
      </c>
      <c r="G80" s="180" t="s">
        <v>714</v>
      </c>
    </row>
    <row r="81">
      <c r="A81" s="83"/>
      <c r="B81" s="83"/>
      <c r="C81" s="83" t="s">
        <v>3242</v>
      </c>
      <c r="D81" s="83" t="s">
        <v>69</v>
      </c>
      <c r="E81" s="83" t="s">
        <v>3266</v>
      </c>
      <c r="F81" s="83" t="s">
        <v>3267</v>
      </c>
      <c r="G81" s="181" t="s">
        <v>3245</v>
      </c>
    </row>
    <row r="82">
      <c r="A82" s="84" t="s">
        <v>954</v>
      </c>
      <c r="B82" s="170" t="s">
        <v>1998</v>
      </c>
      <c r="C82" s="91" t="s">
        <v>3379</v>
      </c>
      <c r="D82" s="91"/>
      <c r="E82" s="86" t="s">
        <v>3327</v>
      </c>
      <c r="F82" s="87" t="s">
        <v>3380</v>
      </c>
      <c r="G82" s="175" t="s">
        <v>3381</v>
      </c>
    </row>
    <row r="83">
      <c r="B83" s="169" t="s">
        <v>2003</v>
      </c>
      <c r="C83" s="90" t="s">
        <v>3382</v>
      </c>
      <c r="D83" s="90"/>
      <c r="E83" s="86" t="s">
        <v>3383</v>
      </c>
      <c r="F83" s="87" t="s">
        <v>3384</v>
      </c>
      <c r="G83" s="175" t="s">
        <v>3385</v>
      </c>
    </row>
    <row r="84">
      <c r="A84" s="80"/>
      <c r="B84" s="80"/>
      <c r="C84" s="80" t="s">
        <v>709</v>
      </c>
      <c r="D84" s="80"/>
      <c r="E84" s="80" t="s">
        <v>710</v>
      </c>
      <c r="F84" s="80" t="s">
        <v>3241</v>
      </c>
      <c r="G84" s="180" t="s">
        <v>714</v>
      </c>
    </row>
    <row r="85">
      <c r="A85" s="83"/>
      <c r="B85" s="83"/>
      <c r="C85" s="83" t="s">
        <v>3242</v>
      </c>
      <c r="D85" s="83" t="s">
        <v>69</v>
      </c>
      <c r="E85" s="83" t="s">
        <v>3266</v>
      </c>
      <c r="F85" s="83" t="s">
        <v>3267</v>
      </c>
      <c r="G85" s="181" t="s">
        <v>3245</v>
      </c>
    </row>
    <row r="86">
      <c r="A86" s="84" t="s">
        <v>967</v>
      </c>
      <c r="B86" s="173" t="s">
        <v>2037</v>
      </c>
      <c r="C86" s="91" t="s">
        <v>3386</v>
      </c>
      <c r="D86" s="91" t="s">
        <v>3262</v>
      </c>
      <c r="E86" s="86" t="s">
        <v>3387</v>
      </c>
      <c r="F86" s="87" t="s">
        <v>3335</v>
      </c>
      <c r="G86" s="175" t="s">
        <v>3388</v>
      </c>
    </row>
    <row r="87">
      <c r="B87" s="173" t="s">
        <v>2041</v>
      </c>
      <c r="C87" s="91" t="s">
        <v>3389</v>
      </c>
      <c r="D87" s="91"/>
      <c r="E87" s="188" t="s">
        <v>3334</v>
      </c>
      <c r="F87" s="87" t="s">
        <v>3390</v>
      </c>
      <c r="G87" s="175" t="s">
        <v>3385</v>
      </c>
    </row>
    <row r="88">
      <c r="A88" s="80"/>
      <c r="B88" s="80"/>
      <c r="C88" s="80" t="s">
        <v>709</v>
      </c>
      <c r="D88" s="80"/>
      <c r="E88" s="80" t="s">
        <v>710</v>
      </c>
      <c r="F88" s="80" t="s">
        <v>3241</v>
      </c>
      <c r="G88" s="180" t="s">
        <v>714</v>
      </c>
    </row>
    <row r="89">
      <c r="A89" s="83"/>
      <c r="B89" s="83"/>
      <c r="C89" s="83" t="s">
        <v>3242</v>
      </c>
      <c r="D89" s="83" t="s">
        <v>69</v>
      </c>
      <c r="E89" s="83" t="s">
        <v>3266</v>
      </c>
      <c r="F89" s="83" t="s">
        <v>3267</v>
      </c>
      <c r="G89" s="181" t="s">
        <v>3245</v>
      </c>
    </row>
    <row r="90">
      <c r="A90" s="84" t="s">
        <v>978</v>
      </c>
      <c r="B90" s="170" t="s">
        <v>2077</v>
      </c>
      <c r="C90" s="90" t="s">
        <v>3391</v>
      </c>
      <c r="D90" s="90"/>
      <c r="E90" s="93" t="s">
        <v>3392</v>
      </c>
      <c r="F90" s="87" t="s">
        <v>3390</v>
      </c>
      <c r="G90" s="175" t="s">
        <v>3393</v>
      </c>
    </row>
    <row r="91">
      <c r="B91" s="169" t="s">
        <v>2082</v>
      </c>
      <c r="C91" s="90" t="s">
        <v>3394</v>
      </c>
      <c r="D91" s="90"/>
      <c r="E91" s="93" t="s">
        <v>3331</v>
      </c>
      <c r="F91" s="87"/>
      <c r="G91" s="175" t="s">
        <v>3395</v>
      </c>
    </row>
    <row r="92">
      <c r="A92" s="80"/>
      <c r="B92" s="80"/>
      <c r="C92" s="80" t="s">
        <v>709</v>
      </c>
      <c r="D92" s="80"/>
      <c r="E92" s="80" t="s">
        <v>710</v>
      </c>
      <c r="F92" s="80" t="s">
        <v>3241</v>
      </c>
      <c r="G92" s="180" t="s">
        <v>714</v>
      </c>
    </row>
    <row r="93">
      <c r="A93" s="83"/>
      <c r="B93" s="83"/>
      <c r="C93" s="83" t="s">
        <v>3242</v>
      </c>
      <c r="D93" s="83" t="s">
        <v>69</v>
      </c>
      <c r="E93" s="83" t="s">
        <v>3266</v>
      </c>
      <c r="F93" s="83" t="s">
        <v>3267</v>
      </c>
      <c r="G93" s="181" t="s">
        <v>3245</v>
      </c>
    </row>
    <row r="94">
      <c r="A94" s="84" t="s">
        <v>991</v>
      </c>
      <c r="B94" s="173" t="s">
        <v>2094</v>
      </c>
      <c r="C94" s="96" t="s">
        <v>3396</v>
      </c>
      <c r="D94" s="96" t="s">
        <v>1509</v>
      </c>
      <c r="E94" s="93" t="s">
        <v>3344</v>
      </c>
      <c r="F94" s="87"/>
      <c r="G94" s="175" t="s">
        <v>3381</v>
      </c>
    </row>
    <row r="95">
      <c r="B95" s="173" t="s">
        <v>992</v>
      </c>
      <c r="C95" s="96" t="s">
        <v>3397</v>
      </c>
      <c r="D95" s="96"/>
      <c r="E95" s="93" t="s">
        <v>3398</v>
      </c>
      <c r="F95" s="114"/>
      <c r="G95" s="175" t="s">
        <v>3388</v>
      </c>
    </row>
    <row r="96">
      <c r="A96" s="84"/>
      <c r="B96" s="173" t="s">
        <v>2111</v>
      </c>
      <c r="C96" s="96" t="s">
        <v>3399</v>
      </c>
      <c r="D96" s="96" t="s">
        <v>1532</v>
      </c>
      <c r="E96" s="93" t="s">
        <v>3400</v>
      </c>
      <c r="F96" s="87" t="s">
        <v>3401</v>
      </c>
      <c r="G96" s="175" t="s">
        <v>3388</v>
      </c>
    </row>
    <row r="97">
      <c r="A97" s="84"/>
      <c r="B97" s="173" t="s">
        <v>2116</v>
      </c>
      <c r="C97" s="96" t="s">
        <v>3286</v>
      </c>
      <c r="D97" s="96" t="s">
        <v>3402</v>
      </c>
      <c r="E97" s="93" t="s">
        <v>3403</v>
      </c>
      <c r="F97" s="87" t="s">
        <v>3292</v>
      </c>
      <c r="G97" s="175" t="s">
        <v>3381</v>
      </c>
    </row>
    <row r="98">
      <c r="A98" s="84"/>
      <c r="B98" s="173" t="s">
        <v>2121</v>
      </c>
      <c r="C98" s="96" t="s">
        <v>3404</v>
      </c>
      <c r="D98" s="96"/>
      <c r="E98" s="188" t="s">
        <v>3337</v>
      </c>
      <c r="F98" s="87"/>
      <c r="G98" s="175" t="s">
        <v>3405</v>
      </c>
    </row>
    <row r="99">
      <c r="A99" s="84"/>
      <c r="B99" s="173" t="s">
        <v>2123</v>
      </c>
      <c r="C99" s="92" t="s">
        <v>3361</v>
      </c>
      <c r="D99" s="91" t="s">
        <v>3406</v>
      </c>
      <c r="E99" s="93" t="s">
        <v>3295</v>
      </c>
      <c r="F99" s="164"/>
      <c r="G99" s="187" t="s">
        <v>3407</v>
      </c>
    </row>
    <row r="100">
      <c r="A100" s="80"/>
      <c r="B100" s="80"/>
      <c r="C100" s="80" t="s">
        <v>709</v>
      </c>
      <c r="D100" s="80"/>
      <c r="E100" s="80" t="s">
        <v>710</v>
      </c>
      <c r="F100" s="80" t="s">
        <v>3241</v>
      </c>
      <c r="G100" s="180" t="s">
        <v>714</v>
      </c>
    </row>
    <row r="101">
      <c r="A101" s="83"/>
      <c r="B101" s="83"/>
      <c r="C101" s="83" t="s">
        <v>3242</v>
      </c>
      <c r="D101" s="83" t="s">
        <v>69</v>
      </c>
      <c r="E101" s="83" t="s">
        <v>3266</v>
      </c>
      <c r="F101" s="83" t="s">
        <v>3267</v>
      </c>
      <c r="G101" s="181" t="s">
        <v>3245</v>
      </c>
    </row>
    <row r="102">
      <c r="A102" s="84" t="s">
        <v>1003</v>
      </c>
      <c r="B102" s="170" t="s">
        <v>2159</v>
      </c>
      <c r="C102" s="96" t="s">
        <v>3408</v>
      </c>
      <c r="D102" s="96"/>
      <c r="E102" s="93" t="s">
        <v>3409</v>
      </c>
      <c r="F102" s="87"/>
      <c r="G102" s="175" t="s">
        <v>3381</v>
      </c>
    </row>
    <row r="103">
      <c r="B103" s="169" t="s">
        <v>2163</v>
      </c>
      <c r="C103" s="96" t="s">
        <v>3410</v>
      </c>
      <c r="D103" s="96"/>
      <c r="E103" s="93" t="s">
        <v>3366</v>
      </c>
      <c r="F103" s="87"/>
      <c r="G103" s="175" t="s">
        <v>3411</v>
      </c>
    </row>
    <row r="104">
      <c r="A104" s="80"/>
      <c r="B104" s="80"/>
      <c r="C104" s="80" t="s">
        <v>709</v>
      </c>
      <c r="D104" s="80"/>
      <c r="E104" s="80" t="s">
        <v>710</v>
      </c>
      <c r="F104" s="80" t="s">
        <v>3241</v>
      </c>
      <c r="G104" s="180" t="s">
        <v>714</v>
      </c>
    </row>
    <row r="105">
      <c r="A105" s="83"/>
      <c r="B105" s="83"/>
      <c r="C105" s="83" t="s">
        <v>3242</v>
      </c>
      <c r="D105" s="83" t="s">
        <v>69</v>
      </c>
      <c r="E105" s="83" t="s">
        <v>3266</v>
      </c>
      <c r="F105" s="83" t="s">
        <v>3267</v>
      </c>
      <c r="G105" s="181" t="s">
        <v>3245</v>
      </c>
    </row>
    <row r="106">
      <c r="A106" s="84" t="s">
        <v>1020</v>
      </c>
      <c r="B106" s="170" t="s">
        <v>1021</v>
      </c>
      <c r="C106" s="184" t="s">
        <v>3303</v>
      </c>
      <c r="D106" s="92"/>
      <c r="E106" s="93" t="s">
        <v>3304</v>
      </c>
      <c r="F106" s="88"/>
      <c r="G106" s="187" t="s">
        <v>3381</v>
      </c>
    </row>
    <row r="107">
      <c r="B107" s="169" t="s">
        <v>1027</v>
      </c>
      <c r="C107" s="184" t="s">
        <v>3305</v>
      </c>
      <c r="D107" s="92"/>
      <c r="E107" s="93" t="s">
        <v>3304</v>
      </c>
      <c r="F107" s="88"/>
      <c r="G107" s="187" t="s">
        <v>3381</v>
      </c>
    </row>
    <row r="108">
      <c r="A108" s="84"/>
      <c r="B108" s="170" t="s">
        <v>1029</v>
      </c>
      <c r="C108" s="184" t="s">
        <v>3306</v>
      </c>
      <c r="D108" s="92"/>
      <c r="E108" s="93" t="s">
        <v>3304</v>
      </c>
      <c r="F108" s="88"/>
      <c r="G108" s="187" t="s">
        <v>3381</v>
      </c>
    </row>
    <row r="109">
      <c r="A109" s="166"/>
      <c r="B109" s="169" t="s">
        <v>1031</v>
      </c>
      <c r="C109" s="184" t="s">
        <v>3308</v>
      </c>
      <c r="D109" s="92"/>
      <c r="E109" s="93" t="s">
        <v>3370</v>
      </c>
      <c r="F109" s="88"/>
      <c r="G109" s="187" t="s">
        <v>3381</v>
      </c>
    </row>
    <row r="110">
      <c r="A110" s="166"/>
      <c r="B110" s="170" t="s">
        <v>2203</v>
      </c>
      <c r="C110" s="193" t="s">
        <v>3412</v>
      </c>
      <c r="D110" s="92"/>
      <c r="E110" s="93" t="s">
        <v>3413</v>
      </c>
      <c r="F110" s="88" t="s">
        <v>3414</v>
      </c>
      <c r="G110" s="187" t="s">
        <v>3381</v>
      </c>
    </row>
    <row r="111">
      <c r="A111" s="166"/>
      <c r="B111" s="169" t="s">
        <v>2207</v>
      </c>
      <c r="C111" s="96" t="s">
        <v>3415</v>
      </c>
      <c r="D111" s="96"/>
      <c r="E111" s="93" t="s">
        <v>3416</v>
      </c>
      <c r="F111" s="87"/>
      <c r="G111" s="187" t="s">
        <v>3381</v>
      </c>
    </row>
    <row r="112">
      <c r="A112" s="80"/>
      <c r="B112" s="80"/>
      <c r="C112" s="80" t="s">
        <v>709</v>
      </c>
      <c r="D112" s="80"/>
      <c r="E112" s="80" t="s">
        <v>710</v>
      </c>
      <c r="F112" s="80" t="s">
        <v>3241</v>
      </c>
      <c r="G112" s="180" t="s">
        <v>714</v>
      </c>
    </row>
    <row r="113">
      <c r="A113" s="83"/>
      <c r="B113" s="83"/>
      <c r="C113" s="83" t="s">
        <v>3242</v>
      </c>
      <c r="D113" s="83" t="s">
        <v>69</v>
      </c>
      <c r="E113" s="83" t="s">
        <v>3266</v>
      </c>
      <c r="F113" s="83" t="s">
        <v>3267</v>
      </c>
      <c r="G113" s="181" t="s">
        <v>3245</v>
      </c>
    </row>
    <row r="114">
      <c r="A114" s="84" t="s">
        <v>3417</v>
      </c>
      <c r="B114" s="170" t="s">
        <v>2241</v>
      </c>
      <c r="C114" s="96" t="s">
        <v>3418</v>
      </c>
      <c r="D114" s="96"/>
      <c r="E114" s="93" t="s">
        <v>3419</v>
      </c>
      <c r="F114" s="87" t="s">
        <v>3420</v>
      </c>
      <c r="G114" s="187" t="s">
        <v>3381</v>
      </c>
    </row>
    <row r="115">
      <c r="B115" s="169" t="s">
        <v>2246</v>
      </c>
      <c r="C115" s="96" t="s">
        <v>3421</v>
      </c>
      <c r="D115" s="96"/>
      <c r="E115" s="93" t="s">
        <v>3378</v>
      </c>
      <c r="F115" s="87"/>
      <c r="G115" s="175" t="s">
        <v>3395</v>
      </c>
    </row>
    <row r="116">
      <c r="A116" s="80"/>
      <c r="B116" s="80"/>
      <c r="C116" s="80" t="s">
        <v>709</v>
      </c>
      <c r="D116" s="80"/>
      <c r="E116" s="80" t="s">
        <v>710</v>
      </c>
      <c r="F116" s="80" t="s">
        <v>3241</v>
      </c>
      <c r="G116" s="180" t="s">
        <v>714</v>
      </c>
    </row>
    <row r="117">
      <c r="A117" s="83"/>
      <c r="B117" s="83"/>
      <c r="C117" s="83" t="s">
        <v>3242</v>
      </c>
      <c r="D117" s="83" t="s">
        <v>69</v>
      </c>
      <c r="E117" s="83" t="s">
        <v>3266</v>
      </c>
      <c r="F117" s="83" t="s">
        <v>3267</v>
      </c>
      <c r="G117" s="181" t="s">
        <v>3245</v>
      </c>
    </row>
    <row r="118">
      <c r="A118" s="84" t="s">
        <v>1040</v>
      </c>
      <c r="B118" s="170" t="s">
        <v>2283</v>
      </c>
      <c r="C118" s="91" t="s">
        <v>3422</v>
      </c>
      <c r="D118" s="91"/>
      <c r="E118" s="86" t="s">
        <v>3423</v>
      </c>
      <c r="F118" s="87" t="s">
        <v>3424</v>
      </c>
      <c r="G118" s="175" t="s">
        <v>3425</v>
      </c>
    </row>
    <row r="119">
      <c r="B119" s="169" t="s">
        <v>2286</v>
      </c>
      <c r="C119" s="90" t="s">
        <v>3330</v>
      </c>
      <c r="D119" s="90"/>
      <c r="E119" s="86" t="s">
        <v>3331</v>
      </c>
      <c r="F119" s="87" t="s">
        <v>3426</v>
      </c>
      <c r="G119" s="175" t="s">
        <v>3427</v>
      </c>
    </row>
    <row r="120">
      <c r="A120" s="80"/>
      <c r="B120" s="80"/>
      <c r="C120" s="80" t="s">
        <v>709</v>
      </c>
      <c r="D120" s="80"/>
      <c r="E120" s="80" t="s">
        <v>710</v>
      </c>
      <c r="F120" s="80" t="s">
        <v>3241</v>
      </c>
      <c r="G120" s="180" t="s">
        <v>714</v>
      </c>
    </row>
    <row r="121">
      <c r="A121" s="83"/>
      <c r="B121" s="83"/>
      <c r="C121" s="83" t="s">
        <v>3242</v>
      </c>
      <c r="D121" s="83" t="s">
        <v>69</v>
      </c>
      <c r="E121" s="83" t="s">
        <v>3266</v>
      </c>
      <c r="F121" s="83" t="s">
        <v>3267</v>
      </c>
      <c r="G121" s="181" t="s">
        <v>3245</v>
      </c>
    </row>
    <row r="122">
      <c r="A122" s="84" t="s">
        <v>3428</v>
      </c>
      <c r="B122" s="173" t="s">
        <v>2326</v>
      </c>
      <c r="C122" s="91" t="s">
        <v>3333</v>
      </c>
      <c r="D122" s="91" t="s">
        <v>3262</v>
      </c>
      <c r="E122" s="86" t="s">
        <v>3334</v>
      </c>
      <c r="F122" s="87" t="s">
        <v>3429</v>
      </c>
      <c r="G122" s="175" t="s">
        <v>3430</v>
      </c>
    </row>
    <row r="123">
      <c r="B123" s="173" t="s">
        <v>2331</v>
      </c>
      <c r="C123" s="91" t="s">
        <v>3336</v>
      </c>
      <c r="D123" s="91"/>
      <c r="E123" s="188" t="s">
        <v>3337</v>
      </c>
      <c r="F123" s="87" t="s">
        <v>3431</v>
      </c>
      <c r="G123" s="175" t="s">
        <v>3427</v>
      </c>
    </row>
    <row r="124">
      <c r="A124" s="80"/>
      <c r="B124" s="80"/>
      <c r="C124" s="80" t="s">
        <v>709</v>
      </c>
      <c r="D124" s="80"/>
      <c r="E124" s="80" t="s">
        <v>710</v>
      </c>
      <c r="F124" s="80" t="s">
        <v>3241</v>
      </c>
      <c r="G124" s="180" t="s">
        <v>714</v>
      </c>
    </row>
    <row r="125">
      <c r="A125" s="83"/>
      <c r="B125" s="83"/>
      <c r="C125" s="83" t="s">
        <v>3242</v>
      </c>
      <c r="D125" s="83" t="s">
        <v>69</v>
      </c>
      <c r="E125" s="83" t="s">
        <v>3266</v>
      </c>
      <c r="F125" s="83" t="s">
        <v>3267</v>
      </c>
      <c r="G125" s="181" t="s">
        <v>3245</v>
      </c>
    </row>
    <row r="126">
      <c r="A126" s="84" t="s">
        <v>3432</v>
      </c>
      <c r="B126" s="173" t="s">
        <v>2366</v>
      </c>
      <c r="C126" s="96" t="s">
        <v>3433</v>
      </c>
      <c r="D126" s="96"/>
      <c r="E126" s="93" t="s">
        <v>3434</v>
      </c>
      <c r="F126" s="87" t="s">
        <v>3435</v>
      </c>
      <c r="G126" s="175" t="s">
        <v>3425</v>
      </c>
    </row>
    <row r="127">
      <c r="A127" s="84"/>
      <c r="B127" s="173" t="s">
        <v>2369</v>
      </c>
      <c r="C127" s="91" t="s">
        <v>3436</v>
      </c>
      <c r="D127" s="92"/>
      <c r="E127" s="93" t="s">
        <v>3437</v>
      </c>
      <c r="F127" s="112" t="s">
        <v>3438</v>
      </c>
      <c r="G127" s="187" t="s">
        <v>3425</v>
      </c>
    </row>
    <row r="128">
      <c r="A128" s="80"/>
      <c r="B128" s="80"/>
      <c r="C128" s="80" t="s">
        <v>709</v>
      </c>
      <c r="D128" s="80"/>
      <c r="E128" s="80" t="s">
        <v>710</v>
      </c>
      <c r="F128" s="80" t="s">
        <v>3241</v>
      </c>
      <c r="G128" s="180" t="s">
        <v>714</v>
      </c>
    </row>
    <row r="129">
      <c r="A129" s="83"/>
      <c r="B129" s="83"/>
      <c r="C129" s="83" t="s">
        <v>3242</v>
      </c>
      <c r="D129" s="83" t="s">
        <v>69</v>
      </c>
      <c r="E129" s="83" t="s">
        <v>3266</v>
      </c>
      <c r="F129" s="83" t="s">
        <v>3267</v>
      </c>
      <c r="G129" s="181" t="s">
        <v>3245</v>
      </c>
    </row>
    <row r="130">
      <c r="A130" s="84" t="s">
        <v>3439</v>
      </c>
      <c r="B130" s="173" t="s">
        <v>2380</v>
      </c>
      <c r="C130" s="96" t="s">
        <v>3343</v>
      </c>
      <c r="D130" s="96" t="s">
        <v>1509</v>
      </c>
      <c r="E130" s="93" t="s">
        <v>3344</v>
      </c>
      <c r="F130" s="87"/>
      <c r="G130" s="175" t="s">
        <v>3425</v>
      </c>
    </row>
    <row r="131">
      <c r="B131" s="173" t="s">
        <v>1075</v>
      </c>
      <c r="C131" s="96" t="s">
        <v>3440</v>
      </c>
      <c r="D131" s="96"/>
      <c r="E131" s="93" t="s">
        <v>3441</v>
      </c>
      <c r="F131" s="87"/>
      <c r="G131" s="187" t="s">
        <v>3425</v>
      </c>
    </row>
    <row r="132">
      <c r="B132" s="173" t="s">
        <v>1080</v>
      </c>
      <c r="C132" s="96" t="s">
        <v>3442</v>
      </c>
      <c r="D132" s="96"/>
      <c r="E132" s="93" t="s">
        <v>3443</v>
      </c>
      <c r="F132" s="164"/>
      <c r="G132" s="175" t="s">
        <v>3430</v>
      </c>
    </row>
    <row r="133">
      <c r="A133" s="84"/>
      <c r="B133" s="173" t="s">
        <v>1081</v>
      </c>
      <c r="C133" s="96" t="s">
        <v>3444</v>
      </c>
      <c r="D133" s="96"/>
      <c r="E133" s="93" t="s">
        <v>3445</v>
      </c>
      <c r="F133" s="189"/>
      <c r="G133" s="175" t="s">
        <v>3430</v>
      </c>
    </row>
    <row r="134">
      <c r="A134" s="84"/>
      <c r="B134" s="173" t="s">
        <v>1083</v>
      </c>
      <c r="C134" s="96" t="s">
        <v>3446</v>
      </c>
      <c r="D134" s="96"/>
      <c r="E134" s="93" t="s">
        <v>3348</v>
      </c>
      <c r="F134" s="87"/>
      <c r="G134" s="175" t="s">
        <v>3430</v>
      </c>
    </row>
    <row r="135">
      <c r="A135" s="84"/>
      <c r="B135" s="173" t="s">
        <v>2401</v>
      </c>
      <c r="C135" s="96" t="s">
        <v>3433</v>
      </c>
      <c r="D135" s="96" t="s">
        <v>3354</v>
      </c>
      <c r="E135" s="93" t="s">
        <v>3434</v>
      </c>
      <c r="F135" s="87" t="s">
        <v>3292</v>
      </c>
      <c r="G135" s="175" t="s">
        <v>3447</v>
      </c>
    </row>
    <row r="136">
      <c r="A136" s="84"/>
      <c r="B136" s="173" t="s">
        <v>2406</v>
      </c>
      <c r="C136" s="96" t="s">
        <v>3448</v>
      </c>
      <c r="D136" s="96" t="s">
        <v>3287</v>
      </c>
      <c r="E136" s="93" t="s">
        <v>3449</v>
      </c>
      <c r="F136" s="87" t="s">
        <v>3450</v>
      </c>
      <c r="G136" s="175" t="s">
        <v>3425</v>
      </c>
    </row>
    <row r="137">
      <c r="A137" s="84"/>
      <c r="B137" s="173" t="s">
        <v>2411</v>
      </c>
      <c r="C137" s="96" t="s">
        <v>3451</v>
      </c>
      <c r="D137" s="96"/>
      <c r="E137" s="93" t="s">
        <v>3452</v>
      </c>
      <c r="F137" s="87"/>
      <c r="G137" s="187" t="s">
        <v>3425</v>
      </c>
    </row>
    <row r="138">
      <c r="A138" s="84"/>
      <c r="B138" s="173" t="s">
        <v>2416</v>
      </c>
      <c r="C138" s="96" t="s">
        <v>3453</v>
      </c>
      <c r="D138" s="96" t="s">
        <v>1549</v>
      </c>
      <c r="E138" s="93" t="s">
        <v>3454</v>
      </c>
      <c r="F138" s="87"/>
      <c r="G138" s="175" t="s">
        <v>3425</v>
      </c>
    </row>
    <row r="139">
      <c r="A139" s="80"/>
      <c r="B139" s="80"/>
      <c r="C139" s="80" t="s">
        <v>709</v>
      </c>
      <c r="D139" s="80"/>
      <c r="E139" s="80" t="s">
        <v>710</v>
      </c>
      <c r="F139" s="80" t="s">
        <v>3241</v>
      </c>
      <c r="G139" s="180" t="s">
        <v>714</v>
      </c>
    </row>
    <row r="140">
      <c r="A140" s="83"/>
      <c r="B140" s="83"/>
      <c r="C140" s="83" t="s">
        <v>3242</v>
      </c>
      <c r="D140" s="83" t="s">
        <v>69</v>
      </c>
      <c r="E140" s="83" t="s">
        <v>3266</v>
      </c>
      <c r="F140" s="83" t="s">
        <v>3267</v>
      </c>
      <c r="G140" s="181" t="s">
        <v>3245</v>
      </c>
    </row>
    <row r="141">
      <c r="A141" s="84" t="s">
        <v>3455</v>
      </c>
      <c r="B141" s="172" t="s">
        <v>1102</v>
      </c>
      <c r="C141" s="96" t="s">
        <v>3456</v>
      </c>
      <c r="D141" s="96"/>
      <c r="E141" s="93" t="s">
        <v>3364</v>
      </c>
      <c r="F141" s="87"/>
      <c r="G141" s="175" t="s">
        <v>3425</v>
      </c>
    </row>
    <row r="142">
      <c r="A142" s="80"/>
      <c r="B142" s="80"/>
      <c r="C142" s="80" t="s">
        <v>709</v>
      </c>
      <c r="D142" s="80"/>
      <c r="E142" s="80" t="s">
        <v>710</v>
      </c>
      <c r="F142" s="80" t="s">
        <v>3241</v>
      </c>
      <c r="G142" s="180" t="s">
        <v>714</v>
      </c>
    </row>
    <row r="143">
      <c r="A143" s="83"/>
      <c r="B143" s="83"/>
      <c r="C143" s="83" t="s">
        <v>3242</v>
      </c>
      <c r="D143" s="83" t="s">
        <v>69</v>
      </c>
      <c r="E143" s="83" t="s">
        <v>3266</v>
      </c>
      <c r="F143" s="83" t="s">
        <v>3267</v>
      </c>
      <c r="G143" s="181" t="s">
        <v>3245</v>
      </c>
    </row>
    <row r="144">
      <c r="A144" s="84" t="s">
        <v>1104</v>
      </c>
      <c r="B144" s="170" t="s">
        <v>1105</v>
      </c>
      <c r="C144" s="91" t="s">
        <v>3457</v>
      </c>
      <c r="D144" s="102"/>
      <c r="E144" s="93" t="s">
        <v>3304</v>
      </c>
      <c r="F144" s="88"/>
      <c r="G144" s="187" t="s">
        <v>3425</v>
      </c>
    </row>
    <row r="145">
      <c r="B145" s="169" t="s">
        <v>1110</v>
      </c>
      <c r="C145" s="91" t="s">
        <v>3458</v>
      </c>
      <c r="D145" s="102"/>
      <c r="E145" s="93" t="s">
        <v>3304</v>
      </c>
      <c r="F145" s="88"/>
      <c r="G145" s="187" t="s">
        <v>3425</v>
      </c>
    </row>
    <row r="146">
      <c r="B146" s="170" t="s">
        <v>1112</v>
      </c>
      <c r="C146" s="91" t="s">
        <v>3459</v>
      </c>
      <c r="D146" s="102"/>
      <c r="E146" s="93" t="s">
        <v>3304</v>
      </c>
      <c r="F146" s="88"/>
      <c r="G146" s="187" t="s">
        <v>3425</v>
      </c>
    </row>
    <row r="147">
      <c r="B147" s="169" t="s">
        <v>1115</v>
      </c>
      <c r="C147" s="91" t="s">
        <v>3460</v>
      </c>
      <c r="D147" s="102"/>
      <c r="E147" s="93" t="s">
        <v>3304</v>
      </c>
      <c r="F147" s="88"/>
      <c r="G147" s="187" t="s">
        <v>3425</v>
      </c>
    </row>
    <row r="148">
      <c r="B148" s="170" t="s">
        <v>2494</v>
      </c>
      <c r="C148" s="96" t="s">
        <v>3461</v>
      </c>
      <c r="D148" s="96"/>
      <c r="E148" s="93" t="s">
        <v>3462</v>
      </c>
      <c r="F148" s="87" t="s">
        <v>3371</v>
      </c>
      <c r="G148" s="175" t="s">
        <v>3430</v>
      </c>
    </row>
    <row r="149">
      <c r="B149" s="169" t="s">
        <v>2498</v>
      </c>
      <c r="C149" s="96" t="s">
        <v>3463</v>
      </c>
      <c r="D149" s="96"/>
      <c r="E149" s="93" t="s">
        <v>3464</v>
      </c>
      <c r="F149" s="87"/>
      <c r="G149" s="187" t="s">
        <v>3425</v>
      </c>
    </row>
    <row r="150">
      <c r="A150" s="80"/>
      <c r="B150" s="80"/>
      <c r="C150" s="80" t="s">
        <v>709</v>
      </c>
      <c r="D150" s="80"/>
      <c r="E150" s="80" t="s">
        <v>710</v>
      </c>
      <c r="F150" s="80" t="s">
        <v>3241</v>
      </c>
      <c r="G150" s="180" t="s">
        <v>714</v>
      </c>
    </row>
    <row r="151">
      <c r="A151" s="83"/>
      <c r="B151" s="83"/>
      <c r="C151" s="83" t="s">
        <v>3242</v>
      </c>
      <c r="D151" s="83" t="s">
        <v>69</v>
      </c>
      <c r="E151" s="83" t="s">
        <v>3266</v>
      </c>
      <c r="F151" s="83" t="s">
        <v>3267</v>
      </c>
      <c r="G151" s="181" t="s">
        <v>3245</v>
      </c>
    </row>
    <row r="152">
      <c r="A152" s="84" t="s">
        <v>3465</v>
      </c>
      <c r="B152" s="168" t="s">
        <v>1127</v>
      </c>
      <c r="C152" s="96" t="s">
        <v>3466</v>
      </c>
      <c r="D152" s="96"/>
      <c r="E152" s="93" t="s">
        <v>3376</v>
      </c>
      <c r="F152" s="87"/>
      <c r="G152" s="175" t="s">
        <v>3467</v>
      </c>
    </row>
    <row r="153">
      <c r="B153" s="169" t="s">
        <v>2537</v>
      </c>
      <c r="C153" s="91" t="s">
        <v>3330</v>
      </c>
      <c r="D153" s="91"/>
      <c r="E153" s="86" t="s">
        <v>3331</v>
      </c>
      <c r="F153" s="87" t="s">
        <v>3468</v>
      </c>
      <c r="G153" s="175" t="s">
        <v>3427</v>
      </c>
    </row>
    <row r="154">
      <c r="A154" s="80"/>
      <c r="B154" s="80"/>
      <c r="C154" s="80" t="s">
        <v>709</v>
      </c>
      <c r="D154" s="80"/>
      <c r="E154" s="80" t="s">
        <v>710</v>
      </c>
      <c r="F154" s="80" t="s">
        <v>3241</v>
      </c>
      <c r="G154" s="180" t="s">
        <v>714</v>
      </c>
    </row>
    <row r="155">
      <c r="A155" s="83"/>
      <c r="B155" s="83"/>
      <c r="C155" s="83" t="s">
        <v>3242</v>
      </c>
      <c r="D155" s="83" t="s">
        <v>69</v>
      </c>
      <c r="E155" s="83" t="s">
        <v>3266</v>
      </c>
      <c r="F155" s="83" t="s">
        <v>3267</v>
      </c>
      <c r="G155" s="181" t="s">
        <v>3245</v>
      </c>
    </row>
    <row r="156">
      <c r="A156" s="84" t="s">
        <v>1129</v>
      </c>
      <c r="B156" s="170" t="s">
        <v>2567</v>
      </c>
      <c r="C156" s="91" t="s">
        <v>3469</v>
      </c>
      <c r="D156" s="91"/>
      <c r="E156" s="86" t="s">
        <v>3470</v>
      </c>
      <c r="F156" s="87" t="s">
        <v>3380</v>
      </c>
      <c r="G156" s="175" t="s">
        <v>3425</v>
      </c>
    </row>
    <row r="157">
      <c r="B157" s="169" t="s">
        <v>2569</v>
      </c>
      <c r="C157" s="90" t="s">
        <v>3330</v>
      </c>
      <c r="D157" s="90"/>
      <c r="E157" s="86" t="s">
        <v>3331</v>
      </c>
      <c r="F157" s="87" t="s">
        <v>3471</v>
      </c>
      <c r="G157" s="175" t="s">
        <v>3427</v>
      </c>
    </row>
    <row r="158">
      <c r="A158" s="80"/>
      <c r="B158" s="80"/>
      <c r="C158" s="80" t="s">
        <v>709</v>
      </c>
      <c r="D158" s="80"/>
      <c r="E158" s="80" t="s">
        <v>710</v>
      </c>
      <c r="F158" s="80" t="s">
        <v>3241</v>
      </c>
      <c r="G158" s="180" t="s">
        <v>714</v>
      </c>
    </row>
    <row r="159">
      <c r="A159" s="83"/>
      <c r="B159" s="83"/>
      <c r="C159" s="83" t="s">
        <v>3242</v>
      </c>
      <c r="D159" s="83" t="s">
        <v>69</v>
      </c>
      <c r="E159" s="83" t="s">
        <v>3266</v>
      </c>
      <c r="F159" s="83" t="s">
        <v>3267</v>
      </c>
      <c r="G159" s="181" t="s">
        <v>3245</v>
      </c>
    </row>
    <row r="160">
      <c r="A160" s="84" t="s">
        <v>3472</v>
      </c>
      <c r="B160" s="92" t="s">
        <v>2594</v>
      </c>
      <c r="C160" s="91" t="s">
        <v>3333</v>
      </c>
      <c r="D160" s="91" t="s">
        <v>3262</v>
      </c>
      <c r="E160" s="86" t="s">
        <v>3334</v>
      </c>
      <c r="F160" s="87" t="s">
        <v>3473</v>
      </c>
      <c r="G160" s="175" t="s">
        <v>3430</v>
      </c>
    </row>
    <row r="161">
      <c r="B161" s="173" t="s">
        <v>2596</v>
      </c>
      <c r="C161" s="91" t="s">
        <v>3336</v>
      </c>
      <c r="D161" s="91"/>
      <c r="E161" s="188" t="s">
        <v>3337</v>
      </c>
      <c r="F161" s="87" t="s">
        <v>3338</v>
      </c>
      <c r="G161" s="175" t="s">
        <v>3474</v>
      </c>
    </row>
    <row r="162">
      <c r="A162" s="80"/>
      <c r="B162" s="80"/>
      <c r="C162" s="80" t="s">
        <v>709</v>
      </c>
      <c r="D162" s="80"/>
      <c r="E162" s="80" t="s">
        <v>710</v>
      </c>
      <c r="F162" s="80" t="s">
        <v>3241</v>
      </c>
      <c r="G162" s="180" t="s">
        <v>714</v>
      </c>
    </row>
    <row r="163">
      <c r="A163" s="83"/>
      <c r="B163" s="83"/>
      <c r="C163" s="83" t="s">
        <v>3242</v>
      </c>
      <c r="D163" s="83" t="s">
        <v>69</v>
      </c>
      <c r="E163" s="83" t="s">
        <v>3266</v>
      </c>
      <c r="F163" s="83" t="s">
        <v>3267</v>
      </c>
      <c r="G163" s="181" t="s">
        <v>3245</v>
      </c>
    </row>
    <row r="164">
      <c r="A164" s="84" t="s">
        <v>1147</v>
      </c>
      <c r="B164" s="173" t="s">
        <v>2628</v>
      </c>
      <c r="C164" s="96" t="s">
        <v>3475</v>
      </c>
      <c r="D164" s="96"/>
      <c r="E164" s="93" t="s">
        <v>3476</v>
      </c>
      <c r="F164" s="87" t="s">
        <v>3371</v>
      </c>
      <c r="G164" s="175" t="s">
        <v>3477</v>
      </c>
    </row>
    <row r="165">
      <c r="A165" s="80"/>
      <c r="B165" s="80"/>
      <c r="C165" s="80" t="s">
        <v>709</v>
      </c>
      <c r="D165" s="80"/>
      <c r="E165" s="80" t="s">
        <v>710</v>
      </c>
      <c r="F165" s="80" t="s">
        <v>3241</v>
      </c>
      <c r="G165" s="180" t="s">
        <v>714</v>
      </c>
    </row>
    <row r="166">
      <c r="A166" s="83"/>
      <c r="B166" s="83"/>
      <c r="C166" s="83" t="s">
        <v>3242</v>
      </c>
      <c r="D166" s="83" t="s">
        <v>69</v>
      </c>
      <c r="E166" s="83" t="s">
        <v>3266</v>
      </c>
      <c r="F166" s="83" t="s">
        <v>3267</v>
      </c>
      <c r="G166" s="181" t="s">
        <v>3245</v>
      </c>
    </row>
    <row r="167">
      <c r="A167" s="84" t="s">
        <v>3478</v>
      </c>
      <c r="B167" s="92" t="s">
        <v>2644</v>
      </c>
      <c r="C167" s="96" t="s">
        <v>3343</v>
      </c>
      <c r="D167" s="96" t="s">
        <v>1509</v>
      </c>
      <c r="E167" s="93" t="s">
        <v>3344</v>
      </c>
      <c r="F167" s="87"/>
      <c r="G167" s="175" t="s">
        <v>3425</v>
      </c>
    </row>
    <row r="168">
      <c r="B168" s="92" t="s">
        <v>1157</v>
      </c>
      <c r="C168" s="91" t="s">
        <v>3479</v>
      </c>
      <c r="D168" s="92"/>
      <c r="E168" s="93" t="s">
        <v>3480</v>
      </c>
      <c r="F168" s="88" t="s">
        <v>3248</v>
      </c>
      <c r="G168" s="187" t="s">
        <v>3425</v>
      </c>
    </row>
    <row r="169">
      <c r="B169" s="173" t="s">
        <v>1161</v>
      </c>
      <c r="C169" s="92" t="s">
        <v>3481</v>
      </c>
      <c r="D169" s="92"/>
      <c r="E169" s="194" t="s">
        <v>3348</v>
      </c>
      <c r="F169" s="88" t="s">
        <v>3248</v>
      </c>
      <c r="G169" s="187" t="s">
        <v>3425</v>
      </c>
    </row>
    <row r="170">
      <c r="B170" s="173" t="s">
        <v>1162</v>
      </c>
      <c r="C170" s="91" t="s">
        <v>3482</v>
      </c>
      <c r="D170" s="92"/>
      <c r="E170" s="194" t="s">
        <v>3348</v>
      </c>
      <c r="F170" s="88"/>
      <c r="G170" s="187" t="s">
        <v>3425</v>
      </c>
    </row>
    <row r="171">
      <c r="B171" s="173" t="s">
        <v>1163</v>
      </c>
      <c r="C171" s="92" t="s">
        <v>3446</v>
      </c>
      <c r="D171" s="91"/>
      <c r="E171" s="93" t="s">
        <v>3348</v>
      </c>
      <c r="F171" s="164"/>
      <c r="G171" s="187" t="s">
        <v>3425</v>
      </c>
    </row>
    <row r="172">
      <c r="A172" s="84"/>
      <c r="B172" s="173" t="s">
        <v>2658</v>
      </c>
      <c r="C172" s="96" t="s">
        <v>3483</v>
      </c>
      <c r="D172" s="96" t="s">
        <v>3282</v>
      </c>
      <c r="E172" s="93" t="s">
        <v>3484</v>
      </c>
      <c r="F172" s="87" t="s">
        <v>3371</v>
      </c>
      <c r="G172" s="175" t="s">
        <v>3430</v>
      </c>
    </row>
    <row r="173">
      <c r="A173" s="84"/>
      <c r="B173" s="173" t="s">
        <v>2663</v>
      </c>
      <c r="C173" s="96" t="s">
        <v>3485</v>
      </c>
      <c r="D173" s="96" t="s">
        <v>3402</v>
      </c>
      <c r="E173" s="93" t="s">
        <v>3486</v>
      </c>
      <c r="F173" s="87"/>
      <c r="G173" s="187" t="s">
        <v>3425</v>
      </c>
    </row>
    <row r="174">
      <c r="A174" s="84"/>
      <c r="B174" s="173" t="s">
        <v>2668</v>
      </c>
      <c r="C174" s="96" t="s">
        <v>3487</v>
      </c>
      <c r="D174" s="96"/>
      <c r="E174" s="93" t="s">
        <v>3488</v>
      </c>
      <c r="F174" s="87" t="s">
        <v>3489</v>
      </c>
      <c r="G174" s="187" t="s">
        <v>3425</v>
      </c>
    </row>
    <row r="175">
      <c r="A175" s="84"/>
      <c r="B175" s="173" t="s">
        <v>2671</v>
      </c>
      <c r="C175" s="96" t="s">
        <v>3453</v>
      </c>
      <c r="D175" s="96" t="s">
        <v>2418</v>
      </c>
      <c r="E175" s="93" t="s">
        <v>3490</v>
      </c>
      <c r="F175" s="87"/>
      <c r="G175" s="175" t="s">
        <v>3425</v>
      </c>
    </row>
    <row r="176">
      <c r="A176" s="80"/>
      <c r="B176" s="80"/>
      <c r="C176" s="80" t="s">
        <v>709</v>
      </c>
      <c r="D176" s="80"/>
      <c r="E176" s="80" t="s">
        <v>710</v>
      </c>
      <c r="F176" s="80" t="s">
        <v>3241</v>
      </c>
      <c r="G176" s="180" t="s">
        <v>714</v>
      </c>
    </row>
    <row r="177">
      <c r="A177" s="83"/>
      <c r="B177" s="83"/>
      <c r="C177" s="83" t="s">
        <v>3242</v>
      </c>
      <c r="D177" s="83" t="s">
        <v>69</v>
      </c>
      <c r="E177" s="83" t="s">
        <v>3266</v>
      </c>
      <c r="F177" s="83" t="s">
        <v>3267</v>
      </c>
      <c r="G177" s="181" t="s">
        <v>3245</v>
      </c>
    </row>
    <row r="178">
      <c r="A178" s="84" t="s">
        <v>3491</v>
      </c>
      <c r="B178" s="173" t="s">
        <v>2703</v>
      </c>
      <c r="C178" s="96" t="s">
        <v>3492</v>
      </c>
      <c r="D178" s="96"/>
      <c r="E178" s="93" t="s">
        <v>3364</v>
      </c>
      <c r="F178" s="87"/>
      <c r="G178" s="175" t="s">
        <v>3425</v>
      </c>
    </row>
    <row r="179">
      <c r="A179" s="80"/>
      <c r="B179" s="80"/>
      <c r="C179" s="80" t="s">
        <v>709</v>
      </c>
      <c r="D179" s="80"/>
      <c r="E179" s="80" t="s">
        <v>710</v>
      </c>
      <c r="F179" s="80" t="s">
        <v>3241</v>
      </c>
      <c r="G179" s="180" t="s">
        <v>714</v>
      </c>
    </row>
    <row r="180">
      <c r="A180" s="83"/>
      <c r="B180" s="83"/>
      <c r="C180" s="83" t="s">
        <v>3242</v>
      </c>
      <c r="D180" s="83" t="s">
        <v>69</v>
      </c>
      <c r="E180" s="83" t="s">
        <v>14</v>
      </c>
      <c r="F180" s="83" t="s">
        <v>3267</v>
      </c>
      <c r="G180" s="181" t="s">
        <v>3245</v>
      </c>
    </row>
    <row r="181">
      <c r="A181" s="84" t="s">
        <v>1178</v>
      </c>
      <c r="B181" s="170" t="s">
        <v>1179</v>
      </c>
      <c r="C181" s="91" t="s">
        <v>3303</v>
      </c>
      <c r="D181" s="102"/>
      <c r="E181" s="93" t="s">
        <v>3304</v>
      </c>
      <c r="F181" s="88"/>
      <c r="G181" s="187" t="s">
        <v>3425</v>
      </c>
    </row>
    <row r="182">
      <c r="B182" s="169" t="s">
        <v>1183</v>
      </c>
      <c r="C182" s="91" t="s">
        <v>3305</v>
      </c>
      <c r="D182" s="102"/>
      <c r="E182" s="93" t="s">
        <v>3304</v>
      </c>
      <c r="F182" s="88"/>
      <c r="G182" s="187" t="s">
        <v>3425</v>
      </c>
    </row>
    <row r="183">
      <c r="B183" s="170" t="s">
        <v>1184</v>
      </c>
      <c r="C183" s="91" t="s">
        <v>3306</v>
      </c>
      <c r="D183" s="102"/>
      <c r="E183" s="93" t="s">
        <v>3304</v>
      </c>
      <c r="F183" s="88"/>
      <c r="G183" s="187" t="s">
        <v>3425</v>
      </c>
    </row>
    <row r="184">
      <c r="B184" s="169" t="s">
        <v>1185</v>
      </c>
      <c r="C184" s="91" t="s">
        <v>3308</v>
      </c>
      <c r="D184" s="102"/>
      <c r="E184" s="93" t="s">
        <v>3304</v>
      </c>
      <c r="F184" s="88"/>
      <c r="G184" s="187" t="s">
        <v>3425</v>
      </c>
    </row>
    <row r="185">
      <c r="B185" s="170" t="s">
        <v>2732</v>
      </c>
      <c r="C185" s="96" t="s">
        <v>3493</v>
      </c>
      <c r="D185" s="96"/>
      <c r="E185" s="93" t="s">
        <v>3494</v>
      </c>
      <c r="F185" s="87" t="s">
        <v>3371</v>
      </c>
      <c r="G185" s="175" t="s">
        <v>3430</v>
      </c>
    </row>
    <row r="186">
      <c r="B186" s="169" t="s">
        <v>2735</v>
      </c>
      <c r="C186" s="96" t="s">
        <v>3495</v>
      </c>
      <c r="D186" s="96"/>
      <c r="E186" s="93" t="s">
        <v>3413</v>
      </c>
      <c r="F186" s="87"/>
      <c r="G186" s="175" t="s">
        <v>3496</v>
      </c>
    </row>
    <row r="187">
      <c r="A187" s="80"/>
      <c r="B187" s="80"/>
      <c r="C187" s="80" t="s">
        <v>709</v>
      </c>
      <c r="D187" s="80"/>
      <c r="E187" s="80" t="s">
        <v>710</v>
      </c>
      <c r="F187" s="80" t="s">
        <v>3241</v>
      </c>
      <c r="G187" s="180" t="s">
        <v>714</v>
      </c>
    </row>
    <row r="188">
      <c r="A188" s="83"/>
      <c r="B188" s="83"/>
      <c r="C188" s="83" t="s">
        <v>3242</v>
      </c>
      <c r="D188" s="83" t="s">
        <v>69</v>
      </c>
      <c r="E188" s="83" t="s">
        <v>3266</v>
      </c>
      <c r="F188" s="83" t="s">
        <v>3267</v>
      </c>
      <c r="G188" s="181" t="s">
        <v>3245</v>
      </c>
    </row>
    <row r="189">
      <c r="A189" s="195" t="s">
        <v>3497</v>
      </c>
      <c r="B189" s="170" t="s">
        <v>2757</v>
      </c>
      <c r="C189" s="96" t="s">
        <v>3498</v>
      </c>
      <c r="D189" s="96"/>
      <c r="E189" s="93" t="s">
        <v>3499</v>
      </c>
      <c r="F189" s="87"/>
      <c r="G189" s="175" t="s">
        <v>3425</v>
      </c>
    </row>
    <row r="190">
      <c r="B190" s="169" t="s">
        <v>2761</v>
      </c>
      <c r="C190" s="96" t="s">
        <v>3500</v>
      </c>
      <c r="D190" s="96"/>
      <c r="E190" s="93" t="s">
        <v>3501</v>
      </c>
      <c r="F190" s="87" t="s">
        <v>3502</v>
      </c>
      <c r="G190" s="175" t="s">
        <v>3427</v>
      </c>
    </row>
    <row r="191">
      <c r="A191" s="80"/>
      <c r="B191" s="80"/>
      <c r="C191" s="80" t="s">
        <v>709</v>
      </c>
      <c r="D191" s="80"/>
      <c r="E191" s="80" t="s">
        <v>710</v>
      </c>
      <c r="F191" s="80" t="s">
        <v>3241</v>
      </c>
      <c r="G191" s="180" t="s">
        <v>714</v>
      </c>
    </row>
    <row r="192">
      <c r="A192" s="83"/>
      <c r="B192" s="83"/>
      <c r="C192" s="83" t="s">
        <v>3242</v>
      </c>
      <c r="D192" s="83" t="s">
        <v>69</v>
      </c>
      <c r="E192" s="83" t="s">
        <v>3266</v>
      </c>
      <c r="F192" s="83" t="s">
        <v>3267</v>
      </c>
      <c r="G192" s="181" t="s">
        <v>3245</v>
      </c>
    </row>
    <row r="193">
      <c r="A193" s="84" t="s">
        <v>1192</v>
      </c>
      <c r="B193" s="170" t="s">
        <v>2793</v>
      </c>
      <c r="C193" s="91" t="s">
        <v>3469</v>
      </c>
      <c r="D193" s="91"/>
      <c r="E193" s="86" t="s">
        <v>3327</v>
      </c>
      <c r="F193" s="87" t="s">
        <v>3503</v>
      </c>
      <c r="G193" s="196" t="s">
        <v>3504</v>
      </c>
    </row>
    <row r="194">
      <c r="B194" s="169" t="s">
        <v>2797</v>
      </c>
      <c r="C194" s="90" t="s">
        <v>3330</v>
      </c>
      <c r="D194" s="90"/>
      <c r="E194" s="86" t="s">
        <v>3331</v>
      </c>
      <c r="F194" s="87" t="s">
        <v>3292</v>
      </c>
      <c r="G194" s="196" t="s">
        <v>3505</v>
      </c>
    </row>
    <row r="195">
      <c r="A195" s="80"/>
      <c r="B195" s="80"/>
      <c r="C195" s="80" t="s">
        <v>709</v>
      </c>
      <c r="D195" s="80"/>
      <c r="E195" s="80" t="s">
        <v>710</v>
      </c>
      <c r="F195" s="80" t="s">
        <v>3241</v>
      </c>
      <c r="G195" s="180" t="s">
        <v>714</v>
      </c>
    </row>
    <row r="196">
      <c r="A196" s="83"/>
      <c r="B196" s="83"/>
      <c r="C196" s="83" t="s">
        <v>3242</v>
      </c>
      <c r="D196" s="83" t="s">
        <v>69</v>
      </c>
      <c r="E196" s="83" t="s">
        <v>3266</v>
      </c>
      <c r="F196" s="83" t="s">
        <v>3267</v>
      </c>
      <c r="G196" s="181" t="s">
        <v>3245</v>
      </c>
    </row>
    <row r="197">
      <c r="A197" s="84" t="s">
        <v>1204</v>
      </c>
      <c r="B197" s="173" t="s">
        <v>2827</v>
      </c>
      <c r="C197" s="91" t="s">
        <v>3333</v>
      </c>
      <c r="D197" s="91" t="s">
        <v>3262</v>
      </c>
      <c r="E197" s="86" t="s">
        <v>3334</v>
      </c>
      <c r="F197" s="87" t="s">
        <v>3429</v>
      </c>
      <c r="G197" s="196" t="s">
        <v>3504</v>
      </c>
    </row>
    <row r="198">
      <c r="B198" s="173" t="s">
        <v>2830</v>
      </c>
      <c r="C198" s="91" t="s">
        <v>3336</v>
      </c>
      <c r="D198" s="91"/>
      <c r="E198" s="188" t="s">
        <v>3337</v>
      </c>
      <c r="F198" s="87" t="s">
        <v>3338</v>
      </c>
      <c r="G198" s="196" t="s">
        <v>3505</v>
      </c>
    </row>
    <row r="199">
      <c r="A199" s="80"/>
      <c r="B199" s="80"/>
      <c r="C199" s="80" t="s">
        <v>709</v>
      </c>
      <c r="D199" s="80"/>
      <c r="E199" s="80" t="s">
        <v>710</v>
      </c>
      <c r="F199" s="80" t="s">
        <v>3241</v>
      </c>
      <c r="G199" s="180" t="s">
        <v>714</v>
      </c>
    </row>
    <row r="200">
      <c r="A200" s="83"/>
      <c r="B200" s="83"/>
      <c r="C200" s="83" t="s">
        <v>3242</v>
      </c>
      <c r="D200" s="83" t="s">
        <v>69</v>
      </c>
      <c r="E200" s="83" t="s">
        <v>3266</v>
      </c>
      <c r="F200" s="83" t="s">
        <v>3267</v>
      </c>
      <c r="G200" s="181" t="s">
        <v>3245</v>
      </c>
    </row>
    <row r="201">
      <c r="A201" s="84" t="s">
        <v>1216</v>
      </c>
      <c r="B201" s="170" t="s">
        <v>2862</v>
      </c>
      <c r="C201" s="96" t="s">
        <v>3506</v>
      </c>
      <c r="D201" s="96"/>
      <c r="E201" s="93" t="s">
        <v>3507</v>
      </c>
      <c r="F201" s="87"/>
      <c r="G201" s="197" t="s">
        <v>3504</v>
      </c>
    </row>
    <row r="202">
      <c r="B202" s="169" t="s">
        <v>2866</v>
      </c>
      <c r="C202" s="96" t="s">
        <v>3508</v>
      </c>
      <c r="D202" s="96"/>
      <c r="E202" s="93" t="s">
        <v>3509</v>
      </c>
      <c r="F202" s="87"/>
      <c r="G202" s="197" t="s">
        <v>3504</v>
      </c>
    </row>
    <row r="203">
      <c r="B203" s="170" t="s">
        <v>2870</v>
      </c>
      <c r="C203" s="96" t="s">
        <v>3510</v>
      </c>
      <c r="D203" s="96"/>
      <c r="E203" s="93" t="s">
        <v>3511</v>
      </c>
      <c r="F203" s="87"/>
      <c r="G203" s="197" t="s">
        <v>3504</v>
      </c>
    </row>
    <row r="204">
      <c r="A204" s="80"/>
      <c r="B204" s="80"/>
      <c r="C204" s="80" t="s">
        <v>709</v>
      </c>
      <c r="D204" s="80"/>
      <c r="E204" s="80" t="s">
        <v>710</v>
      </c>
      <c r="F204" s="80" t="s">
        <v>3241</v>
      </c>
      <c r="G204" s="180" t="s">
        <v>714</v>
      </c>
    </row>
    <row r="205">
      <c r="A205" s="83"/>
      <c r="B205" s="83"/>
      <c r="C205" s="83" t="s">
        <v>3242</v>
      </c>
      <c r="D205" s="83" t="s">
        <v>69</v>
      </c>
      <c r="E205" s="83" t="s">
        <v>3266</v>
      </c>
      <c r="F205" s="83" t="s">
        <v>3267</v>
      </c>
      <c r="G205" s="181" t="s">
        <v>3245</v>
      </c>
    </row>
    <row r="206">
      <c r="A206" s="84" t="s">
        <v>3512</v>
      </c>
      <c r="B206" s="92" t="s">
        <v>2875</v>
      </c>
      <c r="C206" s="96" t="s">
        <v>3513</v>
      </c>
      <c r="D206" s="96" t="s">
        <v>1509</v>
      </c>
      <c r="E206" s="93" t="s">
        <v>3514</v>
      </c>
      <c r="F206" s="87"/>
      <c r="G206" s="197" t="s">
        <v>3504</v>
      </c>
    </row>
    <row r="207">
      <c r="B207" s="92" t="s">
        <v>1228</v>
      </c>
      <c r="C207" s="96" t="s">
        <v>3515</v>
      </c>
      <c r="D207" s="96"/>
      <c r="E207" s="93" t="s">
        <v>3516</v>
      </c>
      <c r="F207" s="114"/>
      <c r="G207" s="197" t="s">
        <v>3504</v>
      </c>
    </row>
    <row r="208">
      <c r="A208" s="84"/>
      <c r="B208" s="173" t="s">
        <v>1232</v>
      </c>
      <c r="C208" s="96" t="s">
        <v>3517</v>
      </c>
      <c r="D208" s="96"/>
      <c r="E208" s="93" t="s">
        <v>3518</v>
      </c>
      <c r="F208" s="87"/>
      <c r="G208" s="197" t="s">
        <v>3504</v>
      </c>
    </row>
    <row r="209">
      <c r="A209" s="84"/>
      <c r="B209" s="173" t="s">
        <v>1234</v>
      </c>
      <c r="C209" s="91" t="s">
        <v>3519</v>
      </c>
      <c r="D209" s="92"/>
      <c r="E209" s="93" t="s">
        <v>3520</v>
      </c>
      <c r="F209" s="189"/>
      <c r="G209" s="197" t="s">
        <v>3504</v>
      </c>
    </row>
    <row r="210">
      <c r="A210" s="84"/>
      <c r="B210" s="173" t="s">
        <v>1237</v>
      </c>
      <c r="C210" s="96" t="s">
        <v>3521</v>
      </c>
      <c r="D210" s="96"/>
      <c r="E210" s="93" t="s">
        <v>3522</v>
      </c>
      <c r="F210" s="87"/>
      <c r="G210" s="197" t="s">
        <v>3504</v>
      </c>
    </row>
    <row r="211">
      <c r="A211" s="84"/>
      <c r="B211" s="173" t="s">
        <v>2894</v>
      </c>
      <c r="C211" s="96" t="s">
        <v>3523</v>
      </c>
      <c r="D211" s="96" t="s">
        <v>3354</v>
      </c>
      <c r="E211" s="93" t="s">
        <v>3524</v>
      </c>
      <c r="F211" s="87" t="s">
        <v>3525</v>
      </c>
      <c r="G211" s="197" t="s">
        <v>3504</v>
      </c>
    </row>
    <row r="212">
      <c r="A212" s="84"/>
      <c r="B212" s="173" t="s">
        <v>2899</v>
      </c>
      <c r="C212" s="96" t="s">
        <v>3526</v>
      </c>
      <c r="D212" s="96" t="s">
        <v>3402</v>
      </c>
      <c r="E212" s="93" t="s">
        <v>3527</v>
      </c>
      <c r="F212" s="87" t="s">
        <v>3528</v>
      </c>
      <c r="G212" s="196" t="s">
        <v>3529</v>
      </c>
    </row>
    <row r="213">
      <c r="A213" s="84"/>
      <c r="B213" s="173" t="s">
        <v>2903</v>
      </c>
      <c r="C213" s="96" t="s">
        <v>3530</v>
      </c>
      <c r="D213" s="96"/>
      <c r="E213" s="93" t="s">
        <v>3531</v>
      </c>
      <c r="F213" s="87"/>
      <c r="G213" s="197" t="s">
        <v>3504</v>
      </c>
    </row>
    <row r="214">
      <c r="A214" s="84"/>
      <c r="B214" s="173" t="s">
        <v>2907</v>
      </c>
      <c r="C214" s="96" t="s">
        <v>3532</v>
      </c>
      <c r="D214" s="96" t="s">
        <v>1549</v>
      </c>
      <c r="E214" s="93" t="s">
        <v>3533</v>
      </c>
      <c r="F214" s="87"/>
      <c r="G214" s="197" t="s">
        <v>3504</v>
      </c>
    </row>
    <row r="215">
      <c r="A215" s="80"/>
      <c r="B215" s="80"/>
      <c r="C215" s="80" t="s">
        <v>709</v>
      </c>
      <c r="D215" s="80"/>
      <c r="E215" s="80" t="s">
        <v>710</v>
      </c>
      <c r="F215" s="80" t="s">
        <v>3241</v>
      </c>
      <c r="G215" s="180" t="s">
        <v>714</v>
      </c>
    </row>
    <row r="216">
      <c r="A216" s="83"/>
      <c r="B216" s="83"/>
      <c r="C216" s="83" t="s">
        <v>3242</v>
      </c>
      <c r="D216" s="83" t="s">
        <v>69</v>
      </c>
      <c r="E216" s="83" t="s">
        <v>3266</v>
      </c>
      <c r="F216" s="83" t="s">
        <v>3267</v>
      </c>
      <c r="G216" s="181" t="s">
        <v>3245</v>
      </c>
    </row>
    <row r="217">
      <c r="A217" s="84" t="s">
        <v>3534</v>
      </c>
      <c r="B217" s="173" t="s">
        <v>2941</v>
      </c>
      <c r="C217" s="102" t="s">
        <v>3415</v>
      </c>
      <c r="D217" s="102"/>
      <c r="E217" s="93" t="s">
        <v>3535</v>
      </c>
      <c r="F217" s="88"/>
      <c r="G217" s="197" t="s">
        <v>3504</v>
      </c>
    </row>
    <row r="218">
      <c r="A218" s="84"/>
      <c r="B218" s="173" t="s">
        <v>2945</v>
      </c>
      <c r="C218" s="96" t="s">
        <v>3536</v>
      </c>
      <c r="D218" s="96"/>
      <c r="E218" s="93" t="s">
        <v>3509</v>
      </c>
      <c r="F218" s="87"/>
      <c r="G218" s="197" t="s">
        <v>3504</v>
      </c>
    </row>
    <row r="219">
      <c r="A219" s="80"/>
      <c r="B219" s="80"/>
      <c r="C219" s="80" t="s">
        <v>709</v>
      </c>
      <c r="D219" s="80"/>
      <c r="E219" s="80" t="s">
        <v>710</v>
      </c>
      <c r="F219" s="80" t="s">
        <v>3241</v>
      </c>
      <c r="G219" s="180" t="s">
        <v>714</v>
      </c>
    </row>
    <row r="220">
      <c r="A220" s="83"/>
      <c r="B220" s="83"/>
      <c r="C220" s="83" t="s">
        <v>3242</v>
      </c>
      <c r="D220" s="83" t="s">
        <v>69</v>
      </c>
      <c r="E220" s="83" t="s">
        <v>3266</v>
      </c>
      <c r="F220" s="83" t="s">
        <v>3267</v>
      </c>
      <c r="G220" s="181" t="s">
        <v>3245</v>
      </c>
    </row>
    <row r="221">
      <c r="A221" s="84" t="s">
        <v>1253</v>
      </c>
      <c r="B221" s="170" t="s">
        <v>1254</v>
      </c>
      <c r="C221" s="91" t="s">
        <v>3303</v>
      </c>
      <c r="D221" s="102"/>
      <c r="E221" s="93" t="s">
        <v>3304</v>
      </c>
      <c r="F221" s="88"/>
      <c r="G221" s="197" t="s">
        <v>3504</v>
      </c>
    </row>
    <row r="222">
      <c r="B222" s="169" t="s">
        <v>1259</v>
      </c>
      <c r="C222" s="91" t="s">
        <v>3305</v>
      </c>
      <c r="D222" s="102"/>
      <c r="E222" s="93" t="s">
        <v>3304</v>
      </c>
      <c r="F222" s="88"/>
      <c r="G222" s="197" t="s">
        <v>3504</v>
      </c>
    </row>
    <row r="223">
      <c r="B223" s="170" t="s">
        <v>1262</v>
      </c>
      <c r="C223" s="91" t="s">
        <v>3306</v>
      </c>
      <c r="D223" s="102"/>
      <c r="E223" s="93" t="s">
        <v>3304</v>
      </c>
      <c r="F223" s="88"/>
      <c r="G223" s="197" t="s">
        <v>3504</v>
      </c>
    </row>
    <row r="224">
      <c r="B224" s="169" t="s">
        <v>1264</v>
      </c>
      <c r="C224" s="91" t="s">
        <v>3308</v>
      </c>
      <c r="D224" s="102"/>
      <c r="E224" s="93" t="s">
        <v>3304</v>
      </c>
      <c r="F224" s="88"/>
      <c r="G224" s="197" t="s">
        <v>3504</v>
      </c>
    </row>
    <row r="225">
      <c r="B225" s="170" t="s">
        <v>2971</v>
      </c>
      <c r="C225" s="96" t="s">
        <v>3537</v>
      </c>
      <c r="D225" s="96"/>
      <c r="E225" s="93" t="s">
        <v>3370</v>
      </c>
      <c r="F225" s="87" t="s">
        <v>3538</v>
      </c>
      <c r="G225" s="197" t="s">
        <v>3504</v>
      </c>
    </row>
    <row r="226">
      <c r="B226" s="169" t="s">
        <v>2975</v>
      </c>
      <c r="C226" s="96" t="s">
        <v>3495</v>
      </c>
      <c r="D226" s="96"/>
      <c r="E226" s="93" t="s">
        <v>3413</v>
      </c>
      <c r="F226" s="87"/>
      <c r="G226" s="197" t="s">
        <v>3504</v>
      </c>
    </row>
    <row r="227">
      <c r="A227" s="80"/>
      <c r="B227" s="80"/>
      <c r="C227" s="80" t="s">
        <v>709</v>
      </c>
      <c r="D227" s="80"/>
      <c r="E227" s="80" t="s">
        <v>710</v>
      </c>
      <c r="F227" s="80" t="s">
        <v>3241</v>
      </c>
      <c r="G227" s="80" t="s">
        <v>714</v>
      </c>
    </row>
    <row r="228">
      <c r="A228" s="83"/>
      <c r="B228" s="83"/>
      <c r="C228" s="83" t="s">
        <v>3242</v>
      </c>
      <c r="D228" s="83" t="s">
        <v>69</v>
      </c>
      <c r="E228" s="83" t="s">
        <v>3266</v>
      </c>
      <c r="F228" s="83" t="s">
        <v>3267</v>
      </c>
      <c r="G228" s="83" t="s">
        <v>3245</v>
      </c>
    </row>
    <row r="229">
      <c r="A229" s="84" t="s">
        <v>3539</v>
      </c>
      <c r="B229" s="172" t="s">
        <v>3005</v>
      </c>
      <c r="C229" s="96" t="s">
        <v>3540</v>
      </c>
      <c r="D229" s="96"/>
      <c r="E229" s="93" t="s">
        <v>3509</v>
      </c>
      <c r="F229" s="87" t="s">
        <v>3541</v>
      </c>
      <c r="G229" s="197" t="s">
        <v>3504</v>
      </c>
    </row>
    <row r="230">
      <c r="A230" s="84"/>
      <c r="B230" s="172" t="s">
        <v>3008</v>
      </c>
      <c r="C230" s="96" t="s">
        <v>3508</v>
      </c>
      <c r="D230" s="96"/>
      <c r="E230" s="93" t="s">
        <v>3509</v>
      </c>
      <c r="F230" s="87" t="s">
        <v>3542</v>
      </c>
      <c r="G230" s="175" t="s">
        <v>3430</v>
      </c>
    </row>
    <row r="231">
      <c r="A231" s="80"/>
      <c r="B231" s="80"/>
      <c r="C231" s="80" t="s">
        <v>709</v>
      </c>
      <c r="D231" s="80"/>
      <c r="E231" s="80" t="s">
        <v>710</v>
      </c>
      <c r="F231" s="80" t="s">
        <v>3241</v>
      </c>
      <c r="G231" s="80" t="s">
        <v>714</v>
      </c>
    </row>
    <row r="232">
      <c r="A232" s="83"/>
      <c r="B232" s="83"/>
      <c r="C232" s="83" t="s">
        <v>3242</v>
      </c>
      <c r="D232" s="83" t="s">
        <v>69</v>
      </c>
      <c r="E232" s="83" t="s">
        <v>3266</v>
      </c>
      <c r="F232" s="83" t="s">
        <v>3267</v>
      </c>
      <c r="G232" s="83" t="s">
        <v>3245</v>
      </c>
    </row>
    <row r="233">
      <c r="A233" s="84" t="s">
        <v>1278</v>
      </c>
      <c r="B233" s="170" t="s">
        <v>3040</v>
      </c>
      <c r="C233" s="91" t="s">
        <v>3250</v>
      </c>
      <c r="D233" s="91"/>
      <c r="E233" s="86" t="s">
        <v>3543</v>
      </c>
      <c r="F233" s="87" t="s">
        <v>3380</v>
      </c>
      <c r="G233" s="196" t="s">
        <v>3504</v>
      </c>
    </row>
    <row r="234">
      <c r="B234" s="169" t="s">
        <v>3044</v>
      </c>
      <c r="C234" s="90" t="s">
        <v>3330</v>
      </c>
      <c r="D234" s="90"/>
      <c r="E234" s="86" t="s">
        <v>3331</v>
      </c>
      <c r="F234" s="87" t="s">
        <v>3292</v>
      </c>
      <c r="G234" s="196" t="s">
        <v>3505</v>
      </c>
    </row>
    <row r="235">
      <c r="A235" s="80"/>
      <c r="B235" s="80"/>
      <c r="C235" s="80" t="s">
        <v>709</v>
      </c>
      <c r="D235" s="80"/>
      <c r="E235" s="80" t="s">
        <v>710</v>
      </c>
      <c r="F235" s="80" t="s">
        <v>3241</v>
      </c>
      <c r="G235" s="80" t="s">
        <v>714</v>
      </c>
    </row>
    <row r="236">
      <c r="A236" s="83"/>
      <c r="B236" s="83"/>
      <c r="C236" s="83" t="s">
        <v>3242</v>
      </c>
      <c r="D236" s="83" t="s">
        <v>69</v>
      </c>
      <c r="E236" s="83" t="s">
        <v>3266</v>
      </c>
      <c r="F236" s="83" t="s">
        <v>3267</v>
      </c>
      <c r="G236" s="83" t="s">
        <v>3245</v>
      </c>
    </row>
    <row r="237">
      <c r="A237" s="84" t="s">
        <v>1288</v>
      </c>
      <c r="B237" s="173" t="s">
        <v>3068</v>
      </c>
      <c r="C237" s="91" t="s">
        <v>3544</v>
      </c>
      <c r="D237" s="91" t="s">
        <v>3262</v>
      </c>
      <c r="E237" s="86" t="s">
        <v>3545</v>
      </c>
      <c r="F237" s="87" t="s">
        <v>3546</v>
      </c>
      <c r="G237" s="196" t="s">
        <v>3504</v>
      </c>
    </row>
    <row r="238">
      <c r="A238" s="84"/>
      <c r="B238" s="173" t="s">
        <v>3070</v>
      </c>
      <c r="C238" s="91" t="s">
        <v>3336</v>
      </c>
      <c r="D238" s="91"/>
      <c r="E238" s="188" t="s">
        <v>3337</v>
      </c>
      <c r="F238" s="87" t="s">
        <v>3338</v>
      </c>
      <c r="G238" s="196" t="s">
        <v>3505</v>
      </c>
    </row>
    <row r="239">
      <c r="A239" s="80"/>
      <c r="B239" s="80"/>
      <c r="C239" s="80" t="s">
        <v>709</v>
      </c>
      <c r="D239" s="80"/>
      <c r="E239" s="80" t="s">
        <v>710</v>
      </c>
      <c r="F239" s="80" t="s">
        <v>3241</v>
      </c>
      <c r="G239" s="80" t="s">
        <v>714</v>
      </c>
    </row>
    <row r="240">
      <c r="A240" s="83"/>
      <c r="B240" s="83"/>
      <c r="C240" s="83" t="s">
        <v>3242</v>
      </c>
      <c r="D240" s="83" t="s">
        <v>69</v>
      </c>
      <c r="E240" s="83" t="s">
        <v>3266</v>
      </c>
      <c r="F240" s="83" t="s">
        <v>3267</v>
      </c>
      <c r="G240" s="83" t="s">
        <v>3245</v>
      </c>
    </row>
    <row r="241">
      <c r="A241" s="84" t="s">
        <v>1301</v>
      </c>
      <c r="B241" s="173" t="s">
        <v>3101</v>
      </c>
      <c r="C241" s="96" t="s">
        <v>3547</v>
      </c>
      <c r="D241" s="96"/>
      <c r="E241" s="93" t="s">
        <v>3548</v>
      </c>
      <c r="F241" s="87" t="s">
        <v>3420</v>
      </c>
      <c r="G241" s="175" t="s">
        <v>3529</v>
      </c>
    </row>
    <row r="242">
      <c r="A242" s="84"/>
      <c r="B242" s="173" t="s">
        <v>3105</v>
      </c>
      <c r="C242" s="91" t="s">
        <v>3549</v>
      </c>
      <c r="D242" s="92"/>
      <c r="E242" s="93" t="s">
        <v>3327</v>
      </c>
      <c r="F242" s="189"/>
      <c r="G242" s="197" t="s">
        <v>3504</v>
      </c>
    </row>
    <row r="243">
      <c r="A243" s="80"/>
      <c r="B243" s="80"/>
      <c r="C243" s="80" t="s">
        <v>709</v>
      </c>
      <c r="D243" s="80"/>
      <c r="E243" s="80" t="s">
        <v>710</v>
      </c>
      <c r="F243" s="80" t="s">
        <v>3241</v>
      </c>
      <c r="G243" s="80" t="s">
        <v>714</v>
      </c>
    </row>
    <row r="244">
      <c r="A244" s="83"/>
      <c r="B244" s="83"/>
      <c r="C244" s="83" t="s">
        <v>3242</v>
      </c>
      <c r="D244" s="83" t="s">
        <v>69</v>
      </c>
      <c r="E244" s="83" t="s">
        <v>3266</v>
      </c>
      <c r="F244" s="83" t="s">
        <v>3267</v>
      </c>
      <c r="G244" s="83" t="s">
        <v>3245</v>
      </c>
    </row>
    <row r="245">
      <c r="A245" s="84" t="s">
        <v>3550</v>
      </c>
      <c r="B245" s="92" t="s">
        <v>3115</v>
      </c>
      <c r="C245" s="96" t="s">
        <v>3551</v>
      </c>
      <c r="D245" s="96" t="s">
        <v>1509</v>
      </c>
      <c r="E245" s="93" t="s">
        <v>3552</v>
      </c>
      <c r="F245" s="87"/>
      <c r="G245" s="197" t="s">
        <v>3504</v>
      </c>
    </row>
    <row r="246">
      <c r="B246" s="92" t="s">
        <v>1311</v>
      </c>
      <c r="C246" s="91" t="s">
        <v>3440</v>
      </c>
      <c r="D246" s="92"/>
      <c r="E246" s="93" t="s">
        <v>3441</v>
      </c>
      <c r="F246" s="112" t="s">
        <v>3248</v>
      </c>
      <c r="G246" s="197" t="s">
        <v>3504</v>
      </c>
    </row>
    <row r="247">
      <c r="B247" s="173" t="s">
        <v>1316</v>
      </c>
      <c r="C247" s="96" t="s">
        <v>3553</v>
      </c>
      <c r="D247" s="96"/>
      <c r="E247" s="93" t="s">
        <v>3554</v>
      </c>
      <c r="F247" s="112" t="s">
        <v>3248</v>
      </c>
      <c r="G247" s="197" t="s">
        <v>3504</v>
      </c>
    </row>
    <row r="248">
      <c r="B248" s="173" t="s">
        <v>1317</v>
      </c>
      <c r="C248" s="91" t="s">
        <v>3555</v>
      </c>
      <c r="D248" s="92"/>
      <c r="E248" s="93" t="s">
        <v>3556</v>
      </c>
      <c r="F248" s="189"/>
      <c r="G248" s="197" t="s">
        <v>3504</v>
      </c>
    </row>
    <row r="249">
      <c r="B249" s="173" t="s">
        <v>1319</v>
      </c>
      <c r="C249" s="96" t="s">
        <v>3446</v>
      </c>
      <c r="D249" s="96"/>
      <c r="E249" s="93" t="s">
        <v>3348</v>
      </c>
      <c r="F249" s="87"/>
      <c r="G249" s="197" t="s">
        <v>3504</v>
      </c>
    </row>
    <row r="250">
      <c r="B250" s="173" t="s">
        <v>3132</v>
      </c>
      <c r="C250" s="96" t="s">
        <v>3557</v>
      </c>
      <c r="D250" s="96" t="s">
        <v>3354</v>
      </c>
      <c r="E250" s="93" t="s">
        <v>1532</v>
      </c>
      <c r="F250" s="87" t="s">
        <v>3558</v>
      </c>
      <c r="G250" s="197" t="s">
        <v>3504</v>
      </c>
    </row>
    <row r="251">
      <c r="B251" s="173" t="s">
        <v>3137</v>
      </c>
      <c r="C251" s="96" t="s">
        <v>3559</v>
      </c>
      <c r="D251" s="96" t="s">
        <v>3402</v>
      </c>
      <c r="E251" s="93" t="s">
        <v>3560</v>
      </c>
      <c r="F251" s="87"/>
      <c r="G251" s="197" t="s">
        <v>3504</v>
      </c>
    </row>
    <row r="252">
      <c r="A252" s="84"/>
      <c r="B252" s="173" t="s">
        <v>3141</v>
      </c>
      <c r="C252" s="92" t="s">
        <v>3530</v>
      </c>
      <c r="D252" s="92"/>
      <c r="E252" s="93" t="s">
        <v>3531</v>
      </c>
      <c r="F252" s="189"/>
      <c r="G252" s="197" t="s">
        <v>3504</v>
      </c>
    </row>
    <row r="253">
      <c r="A253" s="84"/>
      <c r="B253" s="173" t="s">
        <v>3144</v>
      </c>
      <c r="C253" s="92"/>
      <c r="D253" s="91" t="s">
        <v>1549</v>
      </c>
      <c r="E253" s="93" t="s">
        <v>3561</v>
      </c>
      <c r="F253" s="88"/>
      <c r="G253" s="197" t="s">
        <v>3504</v>
      </c>
    </row>
    <row r="254">
      <c r="A254" s="80"/>
      <c r="B254" s="80"/>
      <c r="C254" s="80" t="s">
        <v>709</v>
      </c>
      <c r="D254" s="80"/>
      <c r="E254" s="80" t="s">
        <v>710</v>
      </c>
      <c r="F254" s="80" t="s">
        <v>3241</v>
      </c>
      <c r="G254" s="80" t="s">
        <v>714</v>
      </c>
    </row>
    <row r="255">
      <c r="A255" s="83"/>
      <c r="B255" s="83"/>
      <c r="C255" s="83" t="s">
        <v>3242</v>
      </c>
      <c r="D255" s="83" t="s">
        <v>69</v>
      </c>
      <c r="E255" s="83" t="s">
        <v>3266</v>
      </c>
      <c r="F255" s="83" t="s">
        <v>3267</v>
      </c>
      <c r="G255" s="83" t="s">
        <v>3245</v>
      </c>
    </row>
    <row r="256">
      <c r="A256" s="84" t="s">
        <v>3562</v>
      </c>
      <c r="B256" s="173" t="s">
        <v>3169</v>
      </c>
      <c r="C256" s="96" t="s">
        <v>3563</v>
      </c>
      <c r="D256" s="96"/>
      <c r="E256" s="93" t="s">
        <v>3564</v>
      </c>
      <c r="F256" s="87" t="s">
        <v>3371</v>
      </c>
      <c r="G256" s="175" t="s">
        <v>3565</v>
      </c>
    </row>
    <row r="257">
      <c r="A257" s="80"/>
      <c r="B257" s="80"/>
      <c r="C257" s="80" t="s">
        <v>709</v>
      </c>
      <c r="D257" s="80"/>
      <c r="E257" s="80" t="s">
        <v>710</v>
      </c>
      <c r="F257" s="80" t="s">
        <v>3241</v>
      </c>
      <c r="G257" s="80" t="s">
        <v>714</v>
      </c>
    </row>
    <row r="258">
      <c r="A258" s="83"/>
      <c r="B258" s="83"/>
      <c r="C258" s="83" t="s">
        <v>3242</v>
      </c>
      <c r="D258" s="83" t="s">
        <v>69</v>
      </c>
      <c r="E258" s="83" t="s">
        <v>3266</v>
      </c>
      <c r="F258" s="83" t="s">
        <v>3267</v>
      </c>
      <c r="G258" s="83" t="s">
        <v>3245</v>
      </c>
    </row>
    <row r="259">
      <c r="A259" s="84" t="s">
        <v>1332</v>
      </c>
      <c r="B259" s="173" t="s">
        <v>1333</v>
      </c>
      <c r="C259" s="91" t="s">
        <v>3303</v>
      </c>
      <c r="D259" s="102"/>
      <c r="E259" s="93" t="s">
        <v>3566</v>
      </c>
      <c r="F259" s="88"/>
      <c r="G259" s="197" t="s">
        <v>3504</v>
      </c>
    </row>
    <row r="260">
      <c r="A260" s="84"/>
      <c r="B260" s="173" t="s">
        <v>1337</v>
      </c>
      <c r="C260" s="91" t="s">
        <v>3305</v>
      </c>
      <c r="D260" s="102"/>
      <c r="E260" s="93" t="s">
        <v>3567</v>
      </c>
      <c r="F260" s="88"/>
      <c r="G260" s="197" t="s">
        <v>3504</v>
      </c>
    </row>
    <row r="261">
      <c r="A261" s="84"/>
      <c r="B261" s="173" t="s">
        <v>1338</v>
      </c>
      <c r="C261" s="91" t="s">
        <v>3306</v>
      </c>
      <c r="D261" s="102"/>
      <c r="E261" s="93" t="s">
        <v>3567</v>
      </c>
      <c r="F261" s="88"/>
      <c r="G261" s="197" t="s">
        <v>3504</v>
      </c>
    </row>
    <row r="262">
      <c r="A262" s="84"/>
      <c r="B262" s="173" t="s">
        <v>1341</v>
      </c>
      <c r="C262" s="91" t="s">
        <v>3308</v>
      </c>
      <c r="D262" s="102"/>
      <c r="E262" s="93" t="s">
        <v>3567</v>
      </c>
      <c r="F262" s="88"/>
      <c r="G262" s="197" t="s">
        <v>3504</v>
      </c>
    </row>
    <row r="263">
      <c r="A263" s="84"/>
      <c r="B263" s="173" t="s">
        <v>3200</v>
      </c>
      <c r="C263" s="96" t="s">
        <v>3568</v>
      </c>
      <c r="D263" s="96"/>
      <c r="E263" s="93" t="s">
        <v>3370</v>
      </c>
      <c r="F263" s="87" t="s">
        <v>3371</v>
      </c>
      <c r="G263" s="197" t="s">
        <v>3504</v>
      </c>
    </row>
    <row r="264">
      <c r="A264" s="198"/>
      <c r="B264" s="173" t="s">
        <v>3204</v>
      </c>
      <c r="C264" s="96" t="s">
        <v>3495</v>
      </c>
      <c r="D264" s="96"/>
      <c r="E264" s="93" t="s">
        <v>3413</v>
      </c>
      <c r="F264" s="87"/>
      <c r="G264" s="197" t="s">
        <v>3504</v>
      </c>
    </row>
    <row r="265">
      <c r="A265" s="80"/>
      <c r="B265" s="80"/>
      <c r="C265" s="80" t="s">
        <v>709</v>
      </c>
      <c r="D265" s="80"/>
      <c r="E265" s="80" t="s">
        <v>710</v>
      </c>
      <c r="F265" s="80" t="s">
        <v>3241</v>
      </c>
      <c r="G265" s="80" t="s">
        <v>714</v>
      </c>
    </row>
    <row r="266">
      <c r="A266" s="83"/>
      <c r="B266" s="83"/>
      <c r="C266" s="83" t="s">
        <v>3242</v>
      </c>
      <c r="D266" s="83" t="s">
        <v>69</v>
      </c>
      <c r="E266" s="83" t="s">
        <v>3266</v>
      </c>
      <c r="F266" s="83" t="s">
        <v>3267</v>
      </c>
      <c r="G266" s="83" t="s">
        <v>3245</v>
      </c>
    </row>
    <row r="267">
      <c r="A267" s="84" t="s">
        <v>3569</v>
      </c>
      <c r="B267" s="172" t="s">
        <v>3232</v>
      </c>
      <c r="C267" s="96" t="s">
        <v>3500</v>
      </c>
      <c r="D267" s="96"/>
      <c r="E267" s="93" t="s">
        <v>3501</v>
      </c>
      <c r="F267" s="87" t="s">
        <v>3570</v>
      </c>
      <c r="G267" s="175" t="s">
        <v>3504</v>
      </c>
    </row>
    <row r="268">
      <c r="A268" s="84"/>
      <c r="B268" s="84"/>
      <c r="C268" s="96"/>
      <c r="D268" s="96"/>
      <c r="E268" s="93"/>
      <c r="F268" s="87"/>
      <c r="G268" s="175"/>
    </row>
    <row r="269">
      <c r="A269" s="84"/>
      <c r="B269" s="84"/>
      <c r="C269" s="96"/>
      <c r="D269" s="96"/>
      <c r="E269" s="93"/>
      <c r="F269" s="87"/>
      <c r="G269" s="175"/>
    </row>
    <row r="270">
      <c r="A270" s="84"/>
      <c r="B270" s="84"/>
      <c r="C270" s="96"/>
      <c r="D270" s="96"/>
      <c r="E270" s="93"/>
      <c r="F270" s="87"/>
      <c r="G270" s="175"/>
    </row>
    <row r="271">
      <c r="A271" s="84"/>
      <c r="B271" s="84"/>
      <c r="C271" s="96"/>
      <c r="D271" s="96"/>
      <c r="E271" s="93"/>
      <c r="F271" s="87"/>
      <c r="G271" s="175"/>
    </row>
    <row r="272">
      <c r="A272" s="84"/>
      <c r="B272" s="84"/>
      <c r="C272" s="96"/>
      <c r="D272" s="96"/>
      <c r="E272" s="93"/>
      <c r="F272" s="87"/>
      <c r="G272" s="175"/>
    </row>
    <row r="273">
      <c r="A273" s="84"/>
      <c r="B273" s="84"/>
      <c r="C273" s="96"/>
      <c r="D273" s="96"/>
      <c r="E273" s="93"/>
      <c r="F273" s="87"/>
      <c r="G273" s="175"/>
    </row>
    <row r="274">
      <c r="A274" s="84"/>
      <c r="B274" s="84"/>
      <c r="C274" s="96"/>
      <c r="D274" s="96"/>
      <c r="E274" s="93"/>
      <c r="F274" s="87"/>
      <c r="G274" s="175"/>
    </row>
    <row r="275">
      <c r="A275" s="84"/>
      <c r="B275" s="84"/>
      <c r="C275" s="96"/>
      <c r="D275" s="96"/>
      <c r="E275" s="93"/>
      <c r="F275" s="87"/>
      <c r="G275" s="175"/>
    </row>
    <row r="276">
      <c r="A276" s="84"/>
      <c r="B276" s="96"/>
      <c r="C276" s="96"/>
      <c r="D276" s="96"/>
      <c r="E276" s="93"/>
      <c r="F276" s="87"/>
      <c r="G276" s="175"/>
    </row>
    <row r="277">
      <c r="A277" s="84"/>
      <c r="B277" s="96"/>
      <c r="C277" s="96"/>
      <c r="D277" s="96"/>
      <c r="E277" s="93"/>
      <c r="F277" s="87"/>
      <c r="G277" s="175"/>
    </row>
  </sheetData>
  <mergeCells count="33">
    <mergeCell ref="A3:A4"/>
    <mergeCell ref="A8:A9"/>
    <mergeCell ref="A13:A14"/>
    <mergeCell ref="A30:A34"/>
    <mergeCell ref="A43:A44"/>
    <mergeCell ref="A51:A52"/>
    <mergeCell ref="A55:A56"/>
    <mergeCell ref="A67:A68"/>
    <mergeCell ref="A71:A72"/>
    <mergeCell ref="A82:A83"/>
    <mergeCell ref="A86:A87"/>
    <mergeCell ref="A90:A91"/>
    <mergeCell ref="A94:A95"/>
    <mergeCell ref="A102:A103"/>
    <mergeCell ref="A106:A107"/>
    <mergeCell ref="A114:A115"/>
    <mergeCell ref="A118:A119"/>
    <mergeCell ref="A122:A123"/>
    <mergeCell ref="A130:A132"/>
    <mergeCell ref="A144:A149"/>
    <mergeCell ref="A152:A153"/>
    <mergeCell ref="A201:A203"/>
    <mergeCell ref="A206:A207"/>
    <mergeCell ref="A221:A226"/>
    <mergeCell ref="A233:A234"/>
    <mergeCell ref="A245:A251"/>
    <mergeCell ref="A156:A157"/>
    <mergeCell ref="A160:A161"/>
    <mergeCell ref="A167:A171"/>
    <mergeCell ref="A181:A186"/>
    <mergeCell ref="A189:A190"/>
    <mergeCell ref="A193:A194"/>
    <mergeCell ref="A197:A198"/>
  </mergeCells>
  <conditionalFormatting sqref="B1:B27 B30:B35 B38:B40 B43:B44 B47:B48 B51:B52 B55:B64 B67:B68 B71:B75 B78:B79 B82:B83 B86:B87 B90:B91 B94:B99 B102:B103 B106:B111 B114:B115 B118:B119 B122:B123 B126:B127 B130:B138 B141 B144:B149 B152:B153 B156:B157 B160:B161 B164 B167:B175 B178 B181:B186 B189:B190 B193:B194 B197:B198 B201:B203 B206:B214 B217:B218 B221:B226 B229:B230 B233:B234 B237:B238 B241:B242 B245:B253 B256 B259:B264 B267">
    <cfRule type="notContainsBlanks" dxfId="4" priority="1">
      <formula>LEN(TRIM(B1))&gt;0</formula>
    </cfRule>
  </conditionalFormatting>
  <drawing r:id="rId1"/>
  <tableParts count="48">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75"/>
    <col customWidth="1" min="2" max="2" width="32.13"/>
    <col customWidth="1" min="3" max="3" width="31.5"/>
    <col customWidth="1" min="4" max="4" width="29.0"/>
    <col customWidth="1" min="5" max="5" width="21.88"/>
  </cols>
  <sheetData>
    <row r="1">
      <c r="A1" s="80"/>
      <c r="B1" s="80" t="s">
        <v>709</v>
      </c>
      <c r="C1" s="80" t="s">
        <v>710</v>
      </c>
      <c r="D1" s="80" t="s">
        <v>3571</v>
      </c>
      <c r="E1" s="80" t="s">
        <v>3572</v>
      </c>
    </row>
    <row r="2">
      <c r="A2" s="83"/>
      <c r="B2" s="83" t="s">
        <v>3573</v>
      </c>
      <c r="C2" s="83" t="s">
        <v>11</v>
      </c>
      <c r="D2" s="83" t="s">
        <v>3574</v>
      </c>
      <c r="E2" s="83"/>
    </row>
    <row r="3" ht="41.25" customHeight="1">
      <c r="A3" s="84" t="s">
        <v>727</v>
      </c>
      <c r="B3" s="96" t="s">
        <v>3575</v>
      </c>
      <c r="C3" s="86" t="s">
        <v>3576</v>
      </c>
      <c r="D3" s="199" t="s">
        <v>3577</v>
      </c>
      <c r="E3" s="100" t="s">
        <v>3578</v>
      </c>
    </row>
    <row r="4">
      <c r="A4" s="84" t="s">
        <v>732</v>
      </c>
      <c r="B4" s="96" t="s">
        <v>3579</v>
      </c>
      <c r="C4" s="86" t="s">
        <v>3580</v>
      </c>
      <c r="D4" s="200" t="s">
        <v>3581</v>
      </c>
      <c r="E4" s="88" t="s">
        <v>3582</v>
      </c>
    </row>
    <row r="5">
      <c r="A5" s="84" t="s">
        <v>736</v>
      </c>
      <c r="B5" s="96" t="s">
        <v>3583</v>
      </c>
      <c r="C5" s="86" t="s">
        <v>3584</v>
      </c>
      <c r="D5" s="199" t="s">
        <v>3585</v>
      </c>
      <c r="E5" s="100" t="s">
        <v>3586</v>
      </c>
    </row>
    <row r="6">
      <c r="A6" s="84" t="s">
        <v>740</v>
      </c>
      <c r="B6" s="96" t="s">
        <v>3587</v>
      </c>
      <c r="C6" s="86" t="s">
        <v>3588</v>
      </c>
      <c r="D6" s="200" t="s">
        <v>3589</v>
      </c>
      <c r="E6" s="88" t="s">
        <v>3590</v>
      </c>
    </row>
    <row r="7">
      <c r="A7" s="84" t="s">
        <v>1399</v>
      </c>
      <c r="B7" s="96" t="s">
        <v>3591</v>
      </c>
      <c r="C7" s="86" t="s">
        <v>3592</v>
      </c>
      <c r="D7" s="199" t="s">
        <v>3593</v>
      </c>
      <c r="E7" s="201" t="s">
        <v>3594</v>
      </c>
    </row>
    <row r="8">
      <c r="A8" s="84" t="s">
        <v>1404</v>
      </c>
      <c r="B8" s="96"/>
      <c r="C8" s="86" t="s">
        <v>3595</v>
      </c>
      <c r="D8" s="200"/>
      <c r="E8" s="160" t="s">
        <v>3596</v>
      </c>
    </row>
    <row r="9">
      <c r="A9" s="84" t="s">
        <v>1408</v>
      </c>
      <c r="B9" s="96" t="s">
        <v>3597</v>
      </c>
      <c r="C9" s="86" t="s">
        <v>3598</v>
      </c>
      <c r="D9" s="199" t="s">
        <v>3599</v>
      </c>
      <c r="E9" s="100" t="s">
        <v>3600</v>
      </c>
    </row>
    <row r="10">
      <c r="A10" s="84" t="s">
        <v>3601</v>
      </c>
      <c r="B10" s="202" t="s">
        <v>3602</v>
      </c>
      <c r="C10" s="93"/>
      <c r="D10" s="200" t="s">
        <v>3603</v>
      </c>
      <c r="E10" s="160" t="s">
        <v>3604</v>
      </c>
    </row>
    <row r="11">
      <c r="A11" s="84" t="s">
        <v>745</v>
      </c>
      <c r="B11" s="202" t="s">
        <v>3605</v>
      </c>
      <c r="C11" s="93" t="s">
        <v>3606</v>
      </c>
      <c r="D11" s="199" t="s">
        <v>3607</v>
      </c>
      <c r="E11" s="201" t="s">
        <v>3608</v>
      </c>
    </row>
    <row r="12">
      <c r="A12" s="84" t="s">
        <v>752</v>
      </c>
      <c r="B12" s="202" t="s">
        <v>3609</v>
      </c>
      <c r="C12" s="93" t="s">
        <v>3610</v>
      </c>
      <c r="D12" s="200" t="s">
        <v>3611</v>
      </c>
      <c r="E12" s="160" t="s">
        <v>3612</v>
      </c>
    </row>
    <row r="13">
      <c r="A13" s="84" t="s">
        <v>756</v>
      </c>
      <c r="B13" s="202" t="s">
        <v>3613</v>
      </c>
      <c r="C13" s="86" t="s">
        <v>3614</v>
      </c>
      <c r="D13" s="199" t="s">
        <v>3615</v>
      </c>
      <c r="E13" s="201" t="s">
        <v>3616</v>
      </c>
    </row>
    <row r="14">
      <c r="A14" s="84" t="s">
        <v>760</v>
      </c>
      <c r="B14" s="202" t="s">
        <v>3617</v>
      </c>
      <c r="C14" s="86" t="s">
        <v>3618</v>
      </c>
      <c r="D14" s="200" t="s">
        <v>3619</v>
      </c>
      <c r="E14" s="160" t="s">
        <v>3620</v>
      </c>
    </row>
    <row r="15">
      <c r="A15" s="84" t="s">
        <v>1448</v>
      </c>
      <c r="B15" s="202" t="s">
        <v>3621</v>
      </c>
      <c r="C15" s="86" t="s">
        <v>3622</v>
      </c>
      <c r="D15" s="199" t="s">
        <v>3623</v>
      </c>
      <c r="E15" s="201" t="s">
        <v>3624</v>
      </c>
    </row>
    <row r="16">
      <c r="A16" s="84" t="s">
        <v>1453</v>
      </c>
      <c r="B16" s="202"/>
      <c r="C16" s="86" t="s">
        <v>3595</v>
      </c>
      <c r="D16" s="200" t="s">
        <v>3625</v>
      </c>
      <c r="E16" s="160" t="s">
        <v>3596</v>
      </c>
    </row>
    <row r="17">
      <c r="A17" s="84" t="s">
        <v>1457</v>
      </c>
      <c r="B17" s="202" t="s">
        <v>3626</v>
      </c>
      <c r="C17" s="86" t="s">
        <v>3627</v>
      </c>
      <c r="D17" s="199" t="s">
        <v>3628</v>
      </c>
      <c r="E17" s="201" t="s">
        <v>3629</v>
      </c>
    </row>
    <row r="18">
      <c r="A18" s="84" t="s">
        <v>3630</v>
      </c>
      <c r="B18" s="202" t="s">
        <v>3631</v>
      </c>
      <c r="C18" s="86"/>
      <c r="D18" s="200" t="s">
        <v>3603</v>
      </c>
      <c r="E18" s="160" t="s">
        <v>3632</v>
      </c>
    </row>
    <row r="19">
      <c r="A19" s="84" t="s">
        <v>765</v>
      </c>
      <c r="B19" s="202" t="s">
        <v>3633</v>
      </c>
      <c r="C19" s="86" t="s">
        <v>3634</v>
      </c>
      <c r="D19" s="199" t="s">
        <v>3635</v>
      </c>
      <c r="E19" s="201" t="s">
        <v>3636</v>
      </c>
    </row>
    <row r="20" ht="45.0" customHeight="1">
      <c r="A20" s="84" t="s">
        <v>772</v>
      </c>
      <c r="B20" s="96" t="s">
        <v>3637</v>
      </c>
      <c r="C20" s="86" t="s">
        <v>3638</v>
      </c>
      <c r="D20" s="200" t="s">
        <v>3639</v>
      </c>
      <c r="E20" s="160" t="s">
        <v>3640</v>
      </c>
    </row>
    <row r="21">
      <c r="A21" s="84" t="s">
        <v>775</v>
      </c>
      <c r="B21" s="96" t="s">
        <v>3641</v>
      </c>
      <c r="C21" s="86" t="s">
        <v>3642</v>
      </c>
      <c r="D21" s="199" t="s">
        <v>3643</v>
      </c>
      <c r="E21" s="201" t="s">
        <v>3644</v>
      </c>
    </row>
    <row r="22">
      <c r="A22" s="84" t="s">
        <v>779</v>
      </c>
      <c r="B22" s="96" t="s">
        <v>3645</v>
      </c>
      <c r="C22" s="86" t="s">
        <v>3646</v>
      </c>
      <c r="D22" s="200" t="s">
        <v>3647</v>
      </c>
      <c r="E22" s="160" t="s">
        <v>3648</v>
      </c>
    </row>
    <row r="23">
      <c r="A23" s="84" t="s">
        <v>1495</v>
      </c>
      <c r="B23" s="96" t="s">
        <v>3649</v>
      </c>
      <c r="C23" s="86" t="s">
        <v>3650</v>
      </c>
      <c r="D23" s="199" t="s">
        <v>3651</v>
      </c>
      <c r="E23" s="201" t="s">
        <v>3652</v>
      </c>
    </row>
    <row r="24">
      <c r="A24" s="84" t="s">
        <v>1497</v>
      </c>
      <c r="B24" s="96"/>
      <c r="C24" s="86" t="s">
        <v>3653</v>
      </c>
      <c r="D24" s="200" t="s">
        <v>3436</v>
      </c>
      <c r="E24" s="160" t="s">
        <v>3596</v>
      </c>
    </row>
    <row r="25">
      <c r="A25" s="84" t="s">
        <v>1498</v>
      </c>
      <c r="B25" s="96" t="s">
        <v>3654</v>
      </c>
      <c r="C25" s="86" t="s">
        <v>3598</v>
      </c>
      <c r="D25" s="199" t="s">
        <v>3655</v>
      </c>
      <c r="E25" s="201" t="s">
        <v>3656</v>
      </c>
    </row>
    <row r="26">
      <c r="A26" s="84" t="s">
        <v>3657</v>
      </c>
      <c r="B26" s="96" t="s">
        <v>3658</v>
      </c>
      <c r="C26" s="86"/>
      <c r="D26" s="200" t="s">
        <v>3603</v>
      </c>
      <c r="E26" s="88" t="s">
        <v>3659</v>
      </c>
    </row>
    <row r="27">
      <c r="A27" s="84" t="s">
        <v>784</v>
      </c>
      <c r="B27" s="96" t="s">
        <v>3660</v>
      </c>
      <c r="C27" s="86" t="s">
        <v>3661</v>
      </c>
      <c r="D27" s="199" t="s">
        <v>3662</v>
      </c>
      <c r="E27" s="201" t="s">
        <v>3663</v>
      </c>
    </row>
    <row r="28">
      <c r="A28" s="84" t="s">
        <v>792</v>
      </c>
      <c r="B28" s="96" t="s">
        <v>3664</v>
      </c>
      <c r="C28" s="86" t="s">
        <v>3665</v>
      </c>
      <c r="D28" s="200" t="s">
        <v>3666</v>
      </c>
      <c r="E28" s="160" t="s">
        <v>3667</v>
      </c>
    </row>
    <row r="29">
      <c r="A29" s="84" t="s">
        <v>796</v>
      </c>
      <c r="B29" s="96" t="s">
        <v>3668</v>
      </c>
      <c r="C29" s="86" t="s">
        <v>3669</v>
      </c>
      <c r="D29" s="199" t="s">
        <v>3670</v>
      </c>
      <c r="E29" s="201" t="s">
        <v>3671</v>
      </c>
    </row>
    <row r="30">
      <c r="A30" s="84" t="s">
        <v>800</v>
      </c>
      <c r="B30" s="96" t="s">
        <v>3660</v>
      </c>
      <c r="C30" s="86" t="s">
        <v>3672</v>
      </c>
      <c r="D30" s="200" t="s">
        <v>3673</v>
      </c>
      <c r="E30" s="160" t="s">
        <v>3674</v>
      </c>
    </row>
    <row r="31">
      <c r="A31" s="84" t="s">
        <v>1530</v>
      </c>
      <c r="B31" s="96" t="s">
        <v>3675</v>
      </c>
      <c r="C31" s="86" t="s">
        <v>3676</v>
      </c>
      <c r="D31" s="199" t="s">
        <v>3677</v>
      </c>
      <c r="E31" s="201" t="s">
        <v>3678</v>
      </c>
    </row>
    <row r="32">
      <c r="A32" s="84" t="s">
        <v>1536</v>
      </c>
      <c r="B32" s="96" t="s">
        <v>3679</v>
      </c>
      <c r="C32" s="86" t="s">
        <v>3680</v>
      </c>
      <c r="D32" s="200" t="s">
        <v>3681</v>
      </c>
      <c r="E32" s="160" t="s">
        <v>3682</v>
      </c>
    </row>
    <row r="33">
      <c r="A33" s="84" t="s">
        <v>1542</v>
      </c>
      <c r="B33" s="96"/>
      <c r="C33" s="86" t="s">
        <v>3683</v>
      </c>
      <c r="D33" s="199" t="s">
        <v>3684</v>
      </c>
      <c r="E33" s="201" t="s">
        <v>3596</v>
      </c>
    </row>
    <row r="34">
      <c r="A34" s="84" t="s">
        <v>1547</v>
      </c>
      <c r="B34" s="96" t="s">
        <v>3685</v>
      </c>
      <c r="C34" s="86" t="s">
        <v>3686</v>
      </c>
      <c r="D34" s="200" t="s">
        <v>3687</v>
      </c>
      <c r="E34" s="160" t="s">
        <v>3688</v>
      </c>
    </row>
    <row r="35">
      <c r="A35" s="84" t="s">
        <v>3689</v>
      </c>
      <c r="B35" s="96" t="s">
        <v>3690</v>
      </c>
      <c r="C35" s="86"/>
      <c r="D35" s="199" t="s">
        <v>3691</v>
      </c>
      <c r="E35" s="203" t="s">
        <v>3692</v>
      </c>
    </row>
    <row r="36">
      <c r="A36" s="84" t="s">
        <v>804</v>
      </c>
      <c r="B36" s="96" t="s">
        <v>3693</v>
      </c>
      <c r="C36" s="86" t="s">
        <v>3694</v>
      </c>
      <c r="D36" s="200" t="s">
        <v>3695</v>
      </c>
      <c r="E36" s="160" t="s">
        <v>3696</v>
      </c>
    </row>
    <row r="37">
      <c r="A37" s="84" t="s">
        <v>811</v>
      </c>
      <c r="B37" s="96" t="s">
        <v>3697</v>
      </c>
      <c r="C37" s="86" t="s">
        <v>3698</v>
      </c>
      <c r="D37" s="199" t="s">
        <v>3699</v>
      </c>
      <c r="E37" s="201" t="s">
        <v>3700</v>
      </c>
    </row>
    <row r="38">
      <c r="A38" s="84" t="s">
        <v>815</v>
      </c>
      <c r="B38" s="96" t="s">
        <v>3701</v>
      </c>
      <c r="C38" s="86" t="s">
        <v>3702</v>
      </c>
      <c r="D38" s="200" t="s">
        <v>3703</v>
      </c>
      <c r="E38" s="160" t="s">
        <v>3704</v>
      </c>
    </row>
    <row r="39">
      <c r="A39" s="84" t="s">
        <v>1581</v>
      </c>
      <c r="B39" s="96" t="s">
        <v>3705</v>
      </c>
      <c r="C39" s="86" t="s">
        <v>3706</v>
      </c>
      <c r="D39" s="199" t="s">
        <v>3707</v>
      </c>
      <c r="E39" s="203" t="s">
        <v>3708</v>
      </c>
    </row>
    <row r="40">
      <c r="A40" s="84" t="s">
        <v>1586</v>
      </c>
      <c r="B40" s="96"/>
      <c r="C40" s="86" t="s">
        <v>3709</v>
      </c>
      <c r="D40" s="200" t="s">
        <v>3710</v>
      </c>
      <c r="E40" s="160" t="s">
        <v>3596</v>
      </c>
    </row>
    <row r="41">
      <c r="A41" s="84" t="s">
        <v>1591</v>
      </c>
      <c r="B41" s="96" t="s">
        <v>3711</v>
      </c>
      <c r="C41" s="86" t="s">
        <v>3712</v>
      </c>
      <c r="D41" s="199" t="s">
        <v>3713</v>
      </c>
      <c r="E41" s="201" t="s">
        <v>3714</v>
      </c>
    </row>
    <row r="42">
      <c r="A42" s="84" t="s">
        <v>3715</v>
      </c>
      <c r="B42" s="96" t="s">
        <v>3716</v>
      </c>
      <c r="C42" s="86"/>
      <c r="D42" s="200" t="s">
        <v>3717</v>
      </c>
      <c r="E42" s="88" t="s">
        <v>3718</v>
      </c>
    </row>
    <row r="43">
      <c r="A43" s="84" t="s">
        <v>819</v>
      </c>
      <c r="B43" s="96" t="s">
        <v>3719</v>
      </c>
      <c r="C43" s="86" t="s">
        <v>3720</v>
      </c>
      <c r="D43" s="199" t="s">
        <v>3721</v>
      </c>
      <c r="E43" s="201" t="s">
        <v>3722</v>
      </c>
    </row>
    <row r="44">
      <c r="A44" s="84" t="s">
        <v>827</v>
      </c>
      <c r="B44" s="96" t="s">
        <v>3723</v>
      </c>
      <c r="C44" s="86" t="s">
        <v>3724</v>
      </c>
      <c r="D44" s="200" t="s">
        <v>3725</v>
      </c>
      <c r="E44" s="88" t="s">
        <v>3726</v>
      </c>
    </row>
    <row r="45">
      <c r="A45" s="84" t="s">
        <v>831</v>
      </c>
      <c r="B45" s="96" t="s">
        <v>3727</v>
      </c>
      <c r="C45" s="86" t="s">
        <v>3728</v>
      </c>
      <c r="D45" s="199" t="s">
        <v>3729</v>
      </c>
      <c r="E45" s="100" t="s">
        <v>3730</v>
      </c>
    </row>
    <row r="46">
      <c r="A46" s="84" t="s">
        <v>836</v>
      </c>
      <c r="B46" s="96" t="s">
        <v>3731</v>
      </c>
      <c r="C46" s="86" t="s">
        <v>3732</v>
      </c>
      <c r="D46" s="200" t="s">
        <v>3733</v>
      </c>
      <c r="E46" s="88" t="s">
        <v>3734</v>
      </c>
    </row>
    <row r="47">
      <c r="A47" s="84" t="s">
        <v>1625</v>
      </c>
      <c r="B47" s="96" t="s">
        <v>3735</v>
      </c>
      <c r="C47" s="86" t="s">
        <v>3736</v>
      </c>
      <c r="D47" s="199" t="s">
        <v>3737</v>
      </c>
      <c r="E47" s="201" t="s">
        <v>3738</v>
      </c>
    </row>
    <row r="48">
      <c r="A48" s="84" t="s">
        <v>1629</v>
      </c>
      <c r="B48" s="96"/>
      <c r="C48" s="86" t="s">
        <v>3739</v>
      </c>
      <c r="D48" s="200" t="s">
        <v>3740</v>
      </c>
      <c r="E48" s="160" t="s">
        <v>3596</v>
      </c>
    </row>
    <row r="49">
      <c r="A49" s="84" t="s">
        <v>1634</v>
      </c>
      <c r="B49" s="96" t="s">
        <v>3741</v>
      </c>
      <c r="C49" s="86" t="s">
        <v>3742</v>
      </c>
      <c r="D49" s="199" t="s">
        <v>3743</v>
      </c>
      <c r="E49" s="100" t="s">
        <v>3744</v>
      </c>
    </row>
    <row r="50">
      <c r="A50" s="84" t="s">
        <v>3745</v>
      </c>
      <c r="B50" s="96" t="s">
        <v>3746</v>
      </c>
      <c r="C50" s="86"/>
      <c r="D50" s="200" t="s">
        <v>3603</v>
      </c>
      <c r="E50" s="160" t="s">
        <v>3747</v>
      </c>
    </row>
    <row r="51">
      <c r="A51" s="84" t="s">
        <v>839</v>
      </c>
      <c r="B51" s="96" t="s">
        <v>3748</v>
      </c>
      <c r="C51" s="86" t="s">
        <v>3749</v>
      </c>
      <c r="D51" s="199" t="s">
        <v>3750</v>
      </c>
      <c r="E51" s="201" t="s">
        <v>3751</v>
      </c>
    </row>
    <row r="52">
      <c r="A52" s="84" t="s">
        <v>845</v>
      </c>
      <c r="B52" s="96" t="s">
        <v>3752</v>
      </c>
      <c r="C52" s="86" t="s">
        <v>3753</v>
      </c>
      <c r="D52" s="200" t="s">
        <v>3754</v>
      </c>
      <c r="E52" s="160" t="s">
        <v>3755</v>
      </c>
    </row>
    <row r="53">
      <c r="A53" s="84" t="s">
        <v>849</v>
      </c>
      <c r="B53" s="96" t="s">
        <v>3756</v>
      </c>
      <c r="C53" s="86" t="s">
        <v>3757</v>
      </c>
      <c r="D53" s="199" t="s">
        <v>3758</v>
      </c>
      <c r="E53" s="201" t="s">
        <v>3759</v>
      </c>
    </row>
    <row r="54">
      <c r="A54" s="84" t="s">
        <v>853</v>
      </c>
      <c r="B54" s="96" t="s">
        <v>3760</v>
      </c>
      <c r="C54" s="86" t="s">
        <v>3761</v>
      </c>
      <c r="D54" s="200" t="s">
        <v>3762</v>
      </c>
      <c r="E54" s="160" t="s">
        <v>3763</v>
      </c>
    </row>
    <row r="55">
      <c r="A55" s="84" t="s">
        <v>1664</v>
      </c>
      <c r="B55" s="96" t="s">
        <v>3764</v>
      </c>
      <c r="C55" s="86" t="s">
        <v>3765</v>
      </c>
      <c r="D55" s="199" t="s">
        <v>3766</v>
      </c>
      <c r="E55" s="201" t="s">
        <v>3767</v>
      </c>
    </row>
    <row r="56">
      <c r="A56" s="84" t="s">
        <v>1669</v>
      </c>
      <c r="B56" s="96"/>
      <c r="C56" s="86" t="s">
        <v>3653</v>
      </c>
      <c r="D56" s="200" t="s">
        <v>3436</v>
      </c>
      <c r="E56" s="160" t="s">
        <v>3596</v>
      </c>
    </row>
    <row r="57">
      <c r="A57" s="84" t="s">
        <v>1670</v>
      </c>
      <c r="B57" s="96" t="s">
        <v>3768</v>
      </c>
      <c r="C57" s="86" t="s">
        <v>3627</v>
      </c>
      <c r="D57" s="199" t="s">
        <v>3769</v>
      </c>
      <c r="E57" s="201" t="s">
        <v>3770</v>
      </c>
    </row>
    <row r="58">
      <c r="A58" s="84" t="s">
        <v>3771</v>
      </c>
      <c r="B58" s="96" t="s">
        <v>3772</v>
      </c>
      <c r="C58" s="86"/>
      <c r="D58" s="200" t="s">
        <v>3603</v>
      </c>
      <c r="E58" s="88" t="s">
        <v>3773</v>
      </c>
    </row>
    <row r="59">
      <c r="A59" s="84" t="s">
        <v>858</v>
      </c>
      <c r="B59" s="96" t="s">
        <v>3575</v>
      </c>
      <c r="C59" s="86" t="s">
        <v>3774</v>
      </c>
      <c r="D59" s="199" t="s">
        <v>3775</v>
      </c>
      <c r="E59" s="201" t="s">
        <v>3776</v>
      </c>
    </row>
    <row r="60">
      <c r="A60" s="84" t="s">
        <v>864</v>
      </c>
      <c r="B60" s="96" t="s">
        <v>3587</v>
      </c>
      <c r="C60" s="86" t="s">
        <v>3777</v>
      </c>
      <c r="D60" s="200" t="s">
        <v>3778</v>
      </c>
      <c r="E60" s="160" t="s">
        <v>3779</v>
      </c>
    </row>
    <row r="61">
      <c r="A61" s="84" t="s">
        <v>866</v>
      </c>
      <c r="B61" s="96" t="s">
        <v>3780</v>
      </c>
      <c r="C61" s="86" t="s">
        <v>3781</v>
      </c>
      <c r="D61" s="199" t="s">
        <v>3782</v>
      </c>
      <c r="E61" s="201" t="s">
        <v>3783</v>
      </c>
    </row>
    <row r="62">
      <c r="A62" s="84" t="s">
        <v>870</v>
      </c>
      <c r="B62" s="96" t="s">
        <v>3579</v>
      </c>
      <c r="C62" s="86" t="s">
        <v>3784</v>
      </c>
      <c r="D62" s="200" t="s">
        <v>3785</v>
      </c>
      <c r="E62" s="160" t="s">
        <v>3786</v>
      </c>
    </row>
    <row r="63">
      <c r="A63" s="84" t="s">
        <v>1707</v>
      </c>
      <c r="B63" s="96" t="s">
        <v>3591</v>
      </c>
      <c r="C63" s="86" t="s">
        <v>3592</v>
      </c>
      <c r="D63" s="199" t="s">
        <v>3787</v>
      </c>
      <c r="E63" s="201" t="s">
        <v>3788</v>
      </c>
    </row>
    <row r="64">
      <c r="A64" s="84" t="s">
        <v>1711</v>
      </c>
      <c r="B64" s="96"/>
      <c r="C64" s="86" t="s">
        <v>3595</v>
      </c>
      <c r="D64" s="200" t="s">
        <v>3436</v>
      </c>
      <c r="E64" s="160" t="s">
        <v>3596</v>
      </c>
    </row>
    <row r="65">
      <c r="A65" s="84" t="s">
        <v>1715</v>
      </c>
      <c r="B65" s="96" t="s">
        <v>3789</v>
      </c>
      <c r="C65" s="86" t="s">
        <v>3598</v>
      </c>
      <c r="D65" s="199" t="s">
        <v>3599</v>
      </c>
      <c r="E65" s="201" t="s">
        <v>3790</v>
      </c>
    </row>
    <row r="66">
      <c r="A66" s="84" t="s">
        <v>3791</v>
      </c>
      <c r="B66" s="96" t="s">
        <v>3792</v>
      </c>
      <c r="C66" s="86" t="s">
        <v>3793</v>
      </c>
      <c r="D66" s="200" t="s">
        <v>3603</v>
      </c>
      <c r="E66" s="160" t="s">
        <v>3794</v>
      </c>
    </row>
    <row r="67">
      <c r="A67" s="84" t="s">
        <v>873</v>
      </c>
      <c r="B67" s="96" t="s">
        <v>3605</v>
      </c>
      <c r="C67" s="86" t="s">
        <v>3606</v>
      </c>
      <c r="D67" s="199" t="s">
        <v>3795</v>
      </c>
      <c r="E67" s="201" t="s">
        <v>3796</v>
      </c>
    </row>
    <row r="68">
      <c r="A68" s="84" t="s">
        <v>877</v>
      </c>
      <c r="B68" s="96" t="s">
        <v>3609</v>
      </c>
      <c r="C68" s="86" t="s">
        <v>3610</v>
      </c>
      <c r="D68" s="200" t="s">
        <v>3797</v>
      </c>
      <c r="E68" s="88" t="s">
        <v>3798</v>
      </c>
    </row>
    <row r="69">
      <c r="A69" s="84" t="s">
        <v>880</v>
      </c>
      <c r="B69" s="96" t="s">
        <v>3799</v>
      </c>
      <c r="C69" s="86" t="s">
        <v>3614</v>
      </c>
      <c r="D69" s="199" t="s">
        <v>3800</v>
      </c>
      <c r="E69" s="201" t="s">
        <v>3801</v>
      </c>
    </row>
    <row r="70">
      <c r="A70" s="84" t="s">
        <v>881</v>
      </c>
      <c r="B70" s="96" t="s">
        <v>3802</v>
      </c>
      <c r="C70" s="86" t="s">
        <v>3803</v>
      </c>
      <c r="D70" s="200" t="s">
        <v>3804</v>
      </c>
      <c r="E70" s="160" t="s">
        <v>3805</v>
      </c>
    </row>
    <row r="71">
      <c r="A71" s="84" t="s">
        <v>1751</v>
      </c>
      <c r="B71" s="96" t="s">
        <v>3806</v>
      </c>
      <c r="C71" s="86" t="s">
        <v>3807</v>
      </c>
      <c r="D71" s="199" t="s">
        <v>3808</v>
      </c>
      <c r="E71" s="100" t="s">
        <v>3809</v>
      </c>
    </row>
    <row r="72">
      <c r="A72" s="84" t="s">
        <v>1756</v>
      </c>
      <c r="B72" s="96"/>
      <c r="C72" s="86" t="s">
        <v>3595</v>
      </c>
      <c r="D72" s="200" t="s">
        <v>3625</v>
      </c>
      <c r="E72" s="160" t="s">
        <v>3596</v>
      </c>
    </row>
    <row r="73">
      <c r="A73" s="84" t="s">
        <v>1761</v>
      </c>
      <c r="B73" s="96" t="s">
        <v>3810</v>
      </c>
      <c r="C73" s="86" t="s">
        <v>3627</v>
      </c>
      <c r="D73" s="199" t="s">
        <v>3628</v>
      </c>
      <c r="E73" s="201" t="s">
        <v>3811</v>
      </c>
    </row>
    <row r="74">
      <c r="A74" s="84" t="s">
        <v>3812</v>
      </c>
      <c r="B74" s="96" t="s">
        <v>3813</v>
      </c>
      <c r="C74" s="86"/>
      <c r="D74" s="200" t="s">
        <v>3603</v>
      </c>
      <c r="E74" s="160" t="s">
        <v>3814</v>
      </c>
    </row>
    <row r="75">
      <c r="A75" s="84" t="s">
        <v>885</v>
      </c>
      <c r="B75" s="96" t="s">
        <v>3633</v>
      </c>
      <c r="C75" s="86" t="s">
        <v>3634</v>
      </c>
      <c r="D75" s="199" t="s">
        <v>3815</v>
      </c>
      <c r="E75" s="201" t="s">
        <v>3816</v>
      </c>
    </row>
    <row r="76">
      <c r="A76" s="84" t="s">
        <v>890</v>
      </c>
      <c r="B76" s="96" t="s">
        <v>3817</v>
      </c>
      <c r="C76" s="86" t="s">
        <v>3818</v>
      </c>
      <c r="D76" s="200" t="s">
        <v>3819</v>
      </c>
      <c r="E76" s="160" t="s">
        <v>3820</v>
      </c>
    </row>
    <row r="77">
      <c r="A77" s="84" t="s">
        <v>893</v>
      </c>
      <c r="B77" s="96" t="s">
        <v>3641</v>
      </c>
      <c r="C77" s="86" t="s">
        <v>3821</v>
      </c>
      <c r="D77" s="199" t="s">
        <v>3822</v>
      </c>
      <c r="E77" s="201" t="s">
        <v>3823</v>
      </c>
    </row>
    <row r="78">
      <c r="A78" s="84" t="s">
        <v>897</v>
      </c>
      <c r="B78" s="96" t="s">
        <v>3824</v>
      </c>
      <c r="C78" s="86" t="s">
        <v>3825</v>
      </c>
      <c r="D78" s="200" t="s">
        <v>3826</v>
      </c>
      <c r="E78" s="88" t="s">
        <v>3827</v>
      </c>
    </row>
    <row r="79">
      <c r="A79" s="84" t="s">
        <v>1799</v>
      </c>
      <c r="B79" s="96" t="s">
        <v>3649</v>
      </c>
      <c r="C79" s="86" t="s">
        <v>3828</v>
      </c>
      <c r="D79" s="199" t="s">
        <v>3829</v>
      </c>
      <c r="E79" s="201" t="s">
        <v>3830</v>
      </c>
    </row>
    <row r="80">
      <c r="A80" s="84" t="s">
        <v>1802</v>
      </c>
      <c r="B80" s="96"/>
      <c r="C80" s="86" t="s">
        <v>3653</v>
      </c>
      <c r="D80" s="200" t="s">
        <v>3436</v>
      </c>
      <c r="E80" s="160" t="s">
        <v>3596</v>
      </c>
    </row>
    <row r="81">
      <c r="A81" s="84" t="s">
        <v>1806</v>
      </c>
      <c r="B81" s="96" t="s">
        <v>3831</v>
      </c>
      <c r="C81" s="86" t="s">
        <v>3598</v>
      </c>
      <c r="D81" s="199" t="s">
        <v>3655</v>
      </c>
      <c r="E81" s="201" t="s">
        <v>3832</v>
      </c>
    </row>
    <row r="82">
      <c r="A82" s="84" t="s">
        <v>3833</v>
      </c>
      <c r="B82" s="96" t="s">
        <v>3834</v>
      </c>
      <c r="C82" s="86"/>
      <c r="D82" s="200" t="s">
        <v>3603</v>
      </c>
      <c r="E82" s="160" t="s">
        <v>3835</v>
      </c>
    </row>
    <row r="83">
      <c r="A83" s="84" t="s">
        <v>901</v>
      </c>
      <c r="B83" s="96" t="s">
        <v>3836</v>
      </c>
      <c r="C83" s="86" t="s">
        <v>3661</v>
      </c>
      <c r="D83" s="199" t="s">
        <v>3837</v>
      </c>
      <c r="E83" s="201" t="s">
        <v>3838</v>
      </c>
    </row>
    <row r="84">
      <c r="A84" s="84" t="s">
        <v>907</v>
      </c>
      <c r="B84" s="96" t="s">
        <v>3664</v>
      </c>
      <c r="C84" s="86" t="s">
        <v>3665</v>
      </c>
      <c r="D84" s="200" t="s">
        <v>3839</v>
      </c>
      <c r="E84" s="160" t="s">
        <v>3840</v>
      </c>
    </row>
    <row r="85">
      <c r="A85" s="84" t="s">
        <v>908</v>
      </c>
      <c r="B85" s="96" t="s">
        <v>3668</v>
      </c>
      <c r="C85" s="86" t="s">
        <v>3669</v>
      </c>
      <c r="D85" s="199" t="s">
        <v>3841</v>
      </c>
      <c r="E85" s="201" t="s">
        <v>3842</v>
      </c>
    </row>
    <row r="86">
      <c r="A86" s="84" t="s">
        <v>909</v>
      </c>
      <c r="B86" s="96" t="s">
        <v>3843</v>
      </c>
      <c r="C86" s="86" t="s">
        <v>3672</v>
      </c>
      <c r="D86" s="200" t="s">
        <v>3844</v>
      </c>
      <c r="E86" s="160" t="s">
        <v>3845</v>
      </c>
    </row>
    <row r="87">
      <c r="A87" s="84" t="s">
        <v>1832</v>
      </c>
      <c r="B87" s="96" t="s">
        <v>3846</v>
      </c>
      <c r="C87" s="86" t="s">
        <v>3676</v>
      </c>
      <c r="D87" s="199" t="s">
        <v>3847</v>
      </c>
      <c r="E87" s="203" t="s">
        <v>3848</v>
      </c>
    </row>
    <row r="88">
      <c r="A88" s="84" t="s">
        <v>1836</v>
      </c>
      <c r="B88" s="96" t="s">
        <v>3679</v>
      </c>
      <c r="C88" s="86" t="s">
        <v>3849</v>
      </c>
      <c r="D88" s="200" t="s">
        <v>3681</v>
      </c>
      <c r="E88" s="160" t="s">
        <v>3850</v>
      </c>
    </row>
    <row r="89">
      <c r="A89" s="84" t="s">
        <v>1841</v>
      </c>
      <c r="B89" s="96"/>
      <c r="C89" s="86" t="s">
        <v>3683</v>
      </c>
      <c r="D89" s="199" t="s">
        <v>3684</v>
      </c>
      <c r="E89" s="201" t="s">
        <v>3596</v>
      </c>
    </row>
    <row r="90">
      <c r="A90" s="84" t="s">
        <v>1846</v>
      </c>
      <c r="B90" s="96" t="s">
        <v>3851</v>
      </c>
      <c r="C90" s="86" t="s">
        <v>3686</v>
      </c>
      <c r="D90" s="200" t="s">
        <v>3687</v>
      </c>
      <c r="E90" s="160" t="s">
        <v>3852</v>
      </c>
    </row>
    <row r="91">
      <c r="A91" s="84" t="s">
        <v>3853</v>
      </c>
      <c r="B91" s="96" t="s">
        <v>3854</v>
      </c>
      <c r="C91" s="86"/>
      <c r="D91" s="199" t="s">
        <v>3691</v>
      </c>
      <c r="E91" s="100" t="s">
        <v>3855</v>
      </c>
    </row>
    <row r="92">
      <c r="A92" s="84" t="s">
        <v>912</v>
      </c>
      <c r="B92" s="96" t="s">
        <v>3856</v>
      </c>
      <c r="C92" s="86" t="s">
        <v>3857</v>
      </c>
      <c r="D92" s="200" t="s">
        <v>3858</v>
      </c>
      <c r="E92" s="160" t="s">
        <v>3859</v>
      </c>
    </row>
    <row r="93">
      <c r="A93" s="84" t="s">
        <v>918</v>
      </c>
      <c r="B93" s="96" t="s">
        <v>3860</v>
      </c>
      <c r="C93" s="86" t="s">
        <v>3861</v>
      </c>
      <c r="D93" s="199" t="s">
        <v>3862</v>
      </c>
      <c r="E93" s="201" t="s">
        <v>3863</v>
      </c>
    </row>
    <row r="94">
      <c r="A94" s="84" t="s">
        <v>920</v>
      </c>
      <c r="B94" s="96" t="s">
        <v>3864</v>
      </c>
      <c r="C94" s="86" t="s">
        <v>3865</v>
      </c>
      <c r="D94" s="200" t="s">
        <v>3866</v>
      </c>
      <c r="E94" s="160" t="s">
        <v>3867</v>
      </c>
    </row>
    <row r="95">
      <c r="A95" s="84" t="s">
        <v>922</v>
      </c>
      <c r="B95" s="96" t="s">
        <v>3868</v>
      </c>
      <c r="C95" s="86" t="s">
        <v>3869</v>
      </c>
      <c r="D95" s="199" t="s">
        <v>3870</v>
      </c>
      <c r="E95" s="201" t="s">
        <v>3871</v>
      </c>
    </row>
    <row r="96">
      <c r="A96" s="84" t="s">
        <v>926</v>
      </c>
      <c r="B96" s="96" t="s">
        <v>3872</v>
      </c>
      <c r="C96" s="86" t="s">
        <v>3873</v>
      </c>
      <c r="D96" s="200" t="s">
        <v>3874</v>
      </c>
      <c r="E96" s="160" t="s">
        <v>3875</v>
      </c>
    </row>
    <row r="97">
      <c r="A97" s="84" t="s">
        <v>1882</v>
      </c>
      <c r="B97" s="96" t="s">
        <v>3705</v>
      </c>
      <c r="C97" s="86" t="s">
        <v>3706</v>
      </c>
      <c r="D97" s="199" t="s">
        <v>3876</v>
      </c>
      <c r="E97" s="201" t="s">
        <v>3877</v>
      </c>
    </row>
    <row r="98">
      <c r="A98" s="84" t="s">
        <v>1886</v>
      </c>
      <c r="B98" s="96"/>
      <c r="C98" s="86" t="s">
        <v>3878</v>
      </c>
      <c r="D98" s="200" t="s">
        <v>3879</v>
      </c>
      <c r="E98" s="160" t="s">
        <v>3596</v>
      </c>
    </row>
    <row r="99">
      <c r="A99" s="84" t="s">
        <v>1890</v>
      </c>
      <c r="B99" s="96" t="s">
        <v>3880</v>
      </c>
      <c r="C99" s="86" t="s">
        <v>3686</v>
      </c>
      <c r="D99" s="199" t="s">
        <v>3881</v>
      </c>
      <c r="E99" s="201" t="s">
        <v>3882</v>
      </c>
    </row>
    <row r="100">
      <c r="A100" s="84" t="s">
        <v>3883</v>
      </c>
      <c r="B100" s="96" t="s">
        <v>3884</v>
      </c>
      <c r="C100" s="86"/>
      <c r="D100" s="200" t="s">
        <v>3691</v>
      </c>
      <c r="E100" s="160" t="s">
        <v>3885</v>
      </c>
    </row>
    <row r="101">
      <c r="A101" s="84" t="s">
        <v>931</v>
      </c>
      <c r="B101" s="96" t="s">
        <v>3886</v>
      </c>
      <c r="C101" s="86" t="s">
        <v>3887</v>
      </c>
      <c r="D101" s="199" t="s">
        <v>3888</v>
      </c>
      <c r="E101" s="201" t="s">
        <v>3889</v>
      </c>
    </row>
    <row r="102">
      <c r="A102" s="84" t="s">
        <v>936</v>
      </c>
      <c r="B102" s="96" t="s">
        <v>3890</v>
      </c>
      <c r="C102" s="86" t="s">
        <v>3891</v>
      </c>
      <c r="D102" s="200" t="s">
        <v>3892</v>
      </c>
      <c r="E102" s="160" t="s">
        <v>3893</v>
      </c>
    </row>
    <row r="103">
      <c r="A103" s="84" t="s">
        <v>940</v>
      </c>
      <c r="B103" s="96" t="s">
        <v>3723</v>
      </c>
      <c r="C103" s="86" t="s">
        <v>3728</v>
      </c>
      <c r="D103" s="199" t="s">
        <v>3894</v>
      </c>
      <c r="E103" s="201" t="s">
        <v>3895</v>
      </c>
    </row>
    <row r="104">
      <c r="A104" s="84" t="s">
        <v>943</v>
      </c>
      <c r="B104" s="96" t="s">
        <v>3727</v>
      </c>
      <c r="C104" s="86" t="s">
        <v>3896</v>
      </c>
      <c r="D104" s="200" t="s">
        <v>3897</v>
      </c>
      <c r="E104" s="160" t="s">
        <v>3898</v>
      </c>
    </row>
    <row r="105">
      <c r="A105" s="84" t="s">
        <v>1921</v>
      </c>
      <c r="B105" s="96" t="s">
        <v>3899</v>
      </c>
      <c r="C105" s="86" t="s">
        <v>3900</v>
      </c>
      <c r="D105" s="199" t="s">
        <v>3901</v>
      </c>
      <c r="E105" s="201" t="s">
        <v>3902</v>
      </c>
    </row>
    <row r="106">
      <c r="A106" s="84" t="s">
        <v>1925</v>
      </c>
      <c r="B106" s="96"/>
      <c r="C106" s="86" t="s">
        <v>3903</v>
      </c>
      <c r="D106" s="200" t="s">
        <v>3740</v>
      </c>
      <c r="E106" s="160" t="s">
        <v>3596</v>
      </c>
    </row>
    <row r="107">
      <c r="A107" s="84" t="s">
        <v>1928</v>
      </c>
      <c r="B107" s="96" t="s">
        <v>3904</v>
      </c>
      <c r="C107" s="86" t="s">
        <v>3686</v>
      </c>
      <c r="D107" s="199" t="s">
        <v>3905</v>
      </c>
      <c r="E107" s="201" t="s">
        <v>3906</v>
      </c>
    </row>
    <row r="108">
      <c r="A108" s="84" t="s">
        <v>3907</v>
      </c>
      <c r="B108" s="96" t="s">
        <v>3908</v>
      </c>
      <c r="C108" s="86" t="s">
        <v>3909</v>
      </c>
      <c r="D108" s="200" t="s">
        <v>3603</v>
      </c>
      <c r="E108" s="160" t="s">
        <v>3910</v>
      </c>
    </row>
    <row r="109">
      <c r="A109" s="84" t="s">
        <v>946</v>
      </c>
      <c r="B109" s="96" t="s">
        <v>3911</v>
      </c>
      <c r="C109" s="86" t="s">
        <v>3912</v>
      </c>
      <c r="D109" s="199" t="s">
        <v>3913</v>
      </c>
      <c r="E109" s="201" t="s">
        <v>3914</v>
      </c>
    </row>
    <row r="110">
      <c r="A110" s="84" t="s">
        <v>951</v>
      </c>
      <c r="B110" s="96" t="s">
        <v>3915</v>
      </c>
      <c r="C110" s="86" t="s">
        <v>3916</v>
      </c>
      <c r="D110" s="200" t="s">
        <v>3917</v>
      </c>
      <c r="E110" s="160" t="s">
        <v>3918</v>
      </c>
    </row>
    <row r="111">
      <c r="A111" s="84" t="s">
        <v>953</v>
      </c>
      <c r="B111" s="96" t="s">
        <v>3919</v>
      </c>
      <c r="C111" s="86" t="s">
        <v>3920</v>
      </c>
      <c r="D111" s="199" t="s">
        <v>3921</v>
      </c>
      <c r="E111" s="201" t="s">
        <v>3922</v>
      </c>
    </row>
    <row r="112">
      <c r="A112" s="84" t="s">
        <v>1955</v>
      </c>
      <c r="B112" s="96" t="s">
        <v>3923</v>
      </c>
      <c r="C112" s="86" t="s">
        <v>3924</v>
      </c>
      <c r="D112" s="200" t="s">
        <v>3925</v>
      </c>
      <c r="E112" s="160" t="s">
        <v>3926</v>
      </c>
    </row>
    <row r="113">
      <c r="A113" s="84" t="s">
        <v>1960</v>
      </c>
      <c r="B113" s="96"/>
      <c r="C113" s="86" t="s">
        <v>3595</v>
      </c>
      <c r="D113" s="199" t="s">
        <v>3927</v>
      </c>
      <c r="E113" s="201" t="s">
        <v>3596</v>
      </c>
    </row>
    <row r="114">
      <c r="A114" s="84" t="s">
        <v>1964</v>
      </c>
      <c r="B114" s="96" t="s">
        <v>3928</v>
      </c>
      <c r="C114" s="86" t="s">
        <v>3627</v>
      </c>
      <c r="D114" s="200" t="s">
        <v>3929</v>
      </c>
      <c r="E114" s="160" t="s">
        <v>3930</v>
      </c>
    </row>
    <row r="115">
      <c r="A115" s="84" t="s">
        <v>3931</v>
      </c>
      <c r="B115" s="96" t="s">
        <v>3932</v>
      </c>
      <c r="C115" s="86"/>
      <c r="D115" s="199" t="s">
        <v>3717</v>
      </c>
      <c r="E115" s="100" t="s">
        <v>3933</v>
      </c>
    </row>
    <row r="116">
      <c r="A116" s="84" t="s">
        <v>955</v>
      </c>
      <c r="B116" s="96" t="s">
        <v>3934</v>
      </c>
      <c r="C116" s="86" t="s">
        <v>3774</v>
      </c>
      <c r="D116" s="200" t="s">
        <v>3935</v>
      </c>
      <c r="E116" s="88" t="s">
        <v>3936</v>
      </c>
    </row>
    <row r="117">
      <c r="A117" s="84" t="s">
        <v>960</v>
      </c>
      <c r="B117" s="96" t="s">
        <v>3587</v>
      </c>
      <c r="C117" s="86" t="s">
        <v>3937</v>
      </c>
      <c r="D117" s="199" t="s">
        <v>3938</v>
      </c>
      <c r="E117" s="100" t="s">
        <v>3939</v>
      </c>
    </row>
    <row r="118">
      <c r="A118" s="84" t="s">
        <v>963</v>
      </c>
      <c r="B118" s="96" t="s">
        <v>3748</v>
      </c>
      <c r="C118" s="86" t="s">
        <v>3940</v>
      </c>
      <c r="D118" s="200" t="s">
        <v>3941</v>
      </c>
      <c r="E118" s="88" t="s">
        <v>3942</v>
      </c>
    </row>
    <row r="119">
      <c r="A119" s="84" t="s">
        <v>965</v>
      </c>
      <c r="B119" s="96" t="s">
        <v>3579</v>
      </c>
      <c r="C119" s="86" t="s">
        <v>3943</v>
      </c>
      <c r="D119" s="199" t="s">
        <v>3944</v>
      </c>
      <c r="E119" s="100" t="s">
        <v>3945</v>
      </c>
    </row>
    <row r="120">
      <c r="A120" s="84" t="s">
        <v>1998</v>
      </c>
      <c r="B120" s="96" t="s">
        <v>3591</v>
      </c>
      <c r="C120" s="86" t="s">
        <v>3592</v>
      </c>
      <c r="D120" s="200" t="s">
        <v>3946</v>
      </c>
      <c r="E120" s="88" t="s">
        <v>3947</v>
      </c>
    </row>
    <row r="121">
      <c r="A121" s="84" t="s">
        <v>2003</v>
      </c>
      <c r="B121" s="96"/>
      <c r="C121" s="86" t="s">
        <v>3595</v>
      </c>
      <c r="D121" s="199" t="s">
        <v>3436</v>
      </c>
      <c r="E121" s="201" t="s">
        <v>3596</v>
      </c>
    </row>
    <row r="122">
      <c r="A122" s="84" t="s">
        <v>2007</v>
      </c>
      <c r="B122" s="96" t="s">
        <v>3948</v>
      </c>
      <c r="C122" s="86" t="s">
        <v>3598</v>
      </c>
      <c r="D122" s="200" t="s">
        <v>3599</v>
      </c>
      <c r="E122" s="204" t="s">
        <v>3949</v>
      </c>
    </row>
    <row r="123">
      <c r="A123" s="84" t="s">
        <v>3950</v>
      </c>
      <c r="B123" s="96" t="s">
        <v>3951</v>
      </c>
      <c r="C123" s="86"/>
      <c r="D123" s="199" t="s">
        <v>3603</v>
      </c>
      <c r="E123" s="100" t="s">
        <v>3952</v>
      </c>
    </row>
    <row r="124">
      <c r="A124" s="84" t="s">
        <v>968</v>
      </c>
      <c r="B124" s="96" t="s">
        <v>3605</v>
      </c>
      <c r="C124" s="86" t="s">
        <v>3606</v>
      </c>
      <c r="D124" s="200" t="s">
        <v>3953</v>
      </c>
      <c r="E124" s="88" t="s">
        <v>3954</v>
      </c>
    </row>
    <row r="125">
      <c r="A125" s="84" t="s">
        <v>972</v>
      </c>
      <c r="B125" s="96" t="s">
        <v>3609</v>
      </c>
      <c r="C125" s="86" t="s">
        <v>3610</v>
      </c>
      <c r="D125" s="199" t="s">
        <v>3955</v>
      </c>
      <c r="E125" s="100" t="s">
        <v>3956</v>
      </c>
    </row>
    <row r="126">
      <c r="A126" s="84" t="s">
        <v>974</v>
      </c>
      <c r="B126" s="96" t="s">
        <v>3957</v>
      </c>
      <c r="C126" s="86" t="s">
        <v>3614</v>
      </c>
      <c r="D126" s="200" t="s">
        <v>3958</v>
      </c>
      <c r="E126" s="88" t="s">
        <v>3959</v>
      </c>
    </row>
    <row r="127">
      <c r="A127" s="84" t="s">
        <v>976</v>
      </c>
      <c r="B127" s="96" t="s">
        <v>3802</v>
      </c>
      <c r="C127" s="86" t="s">
        <v>3803</v>
      </c>
      <c r="D127" s="199" t="s">
        <v>3960</v>
      </c>
      <c r="E127" s="100" t="s">
        <v>3961</v>
      </c>
    </row>
    <row r="128">
      <c r="A128" s="84" t="s">
        <v>2037</v>
      </c>
      <c r="B128" s="96" t="s">
        <v>3621</v>
      </c>
      <c r="C128" s="86" t="s">
        <v>3962</v>
      </c>
      <c r="D128" s="200" t="s">
        <v>3963</v>
      </c>
      <c r="E128" s="88" t="s">
        <v>3964</v>
      </c>
    </row>
    <row r="129">
      <c r="A129" s="84" t="s">
        <v>2041</v>
      </c>
      <c r="B129" s="96"/>
      <c r="C129" s="86" t="s">
        <v>3595</v>
      </c>
      <c r="D129" s="199" t="s">
        <v>3965</v>
      </c>
      <c r="E129" s="201" t="s">
        <v>3596</v>
      </c>
    </row>
    <row r="130">
      <c r="A130" s="84" t="s">
        <v>2046</v>
      </c>
      <c r="B130" s="96" t="s">
        <v>3966</v>
      </c>
      <c r="C130" s="86" t="s">
        <v>3627</v>
      </c>
      <c r="D130" s="200" t="s">
        <v>3628</v>
      </c>
      <c r="E130" s="88" t="s">
        <v>3967</v>
      </c>
    </row>
    <row r="131">
      <c r="A131" s="84" t="s">
        <v>3968</v>
      </c>
      <c r="B131" s="96" t="s">
        <v>3969</v>
      </c>
      <c r="C131" s="86"/>
      <c r="D131" s="199" t="s">
        <v>3603</v>
      </c>
      <c r="E131" s="100" t="s">
        <v>3970</v>
      </c>
    </row>
    <row r="132">
      <c r="A132" s="84" t="s">
        <v>979</v>
      </c>
      <c r="B132" s="96" t="s">
        <v>3971</v>
      </c>
      <c r="C132" s="86" t="s">
        <v>3972</v>
      </c>
      <c r="D132" s="200" t="s">
        <v>3973</v>
      </c>
      <c r="E132" s="88" t="s">
        <v>3974</v>
      </c>
    </row>
    <row r="133">
      <c r="A133" s="84" t="s">
        <v>984</v>
      </c>
      <c r="B133" s="96" t="s">
        <v>3975</v>
      </c>
      <c r="C133" s="86" t="s">
        <v>3976</v>
      </c>
      <c r="D133" s="199" t="s">
        <v>3977</v>
      </c>
      <c r="E133" s="100" t="s">
        <v>3978</v>
      </c>
    </row>
    <row r="134">
      <c r="A134" s="84" t="s">
        <v>986</v>
      </c>
      <c r="B134" s="96" t="s">
        <v>3633</v>
      </c>
      <c r="C134" s="86" t="s">
        <v>3979</v>
      </c>
      <c r="D134" s="200" t="s">
        <v>3980</v>
      </c>
      <c r="E134" s="88" t="s">
        <v>3981</v>
      </c>
    </row>
    <row r="135">
      <c r="A135" s="84" t="s">
        <v>989</v>
      </c>
      <c r="B135" s="96" t="s">
        <v>3824</v>
      </c>
      <c r="C135" s="86" t="s">
        <v>3982</v>
      </c>
      <c r="D135" s="199" t="s">
        <v>3983</v>
      </c>
      <c r="E135" s="100" t="s">
        <v>3984</v>
      </c>
    </row>
    <row r="136">
      <c r="A136" s="84" t="s">
        <v>2077</v>
      </c>
      <c r="B136" s="96" t="s">
        <v>3649</v>
      </c>
      <c r="C136" s="86" t="s">
        <v>3985</v>
      </c>
      <c r="D136" s="200" t="s">
        <v>3986</v>
      </c>
      <c r="E136" s="88" t="s">
        <v>3987</v>
      </c>
    </row>
    <row r="137">
      <c r="A137" s="84" t="s">
        <v>2082</v>
      </c>
      <c r="B137" s="96"/>
      <c r="C137" s="86" t="s">
        <v>3653</v>
      </c>
      <c r="D137" s="199" t="s">
        <v>3436</v>
      </c>
      <c r="E137" s="201" t="s">
        <v>3596</v>
      </c>
    </row>
    <row r="138">
      <c r="A138" s="84" t="s">
        <v>2087</v>
      </c>
      <c r="B138" s="96" t="s">
        <v>3988</v>
      </c>
      <c r="C138" s="86" t="s">
        <v>3598</v>
      </c>
      <c r="D138" s="200" t="s">
        <v>3655</v>
      </c>
      <c r="E138" s="88" t="s">
        <v>3989</v>
      </c>
    </row>
    <row r="139">
      <c r="A139" s="84" t="s">
        <v>3990</v>
      </c>
      <c r="B139" s="96" t="s">
        <v>3991</v>
      </c>
      <c r="C139" s="86"/>
      <c r="D139" s="199" t="s">
        <v>3603</v>
      </c>
      <c r="E139" s="100" t="s">
        <v>3992</v>
      </c>
    </row>
    <row r="140">
      <c r="A140" s="84" t="s">
        <v>992</v>
      </c>
      <c r="B140" s="96" t="s">
        <v>3993</v>
      </c>
      <c r="C140" s="86" t="s">
        <v>3661</v>
      </c>
      <c r="D140" s="200" t="s">
        <v>3994</v>
      </c>
      <c r="E140" s="88" t="s">
        <v>3995</v>
      </c>
    </row>
    <row r="141">
      <c r="A141" s="84" t="s">
        <v>996</v>
      </c>
      <c r="B141" s="96" t="s">
        <v>3664</v>
      </c>
      <c r="C141" s="86" t="s">
        <v>3996</v>
      </c>
      <c r="D141" s="199" t="s">
        <v>3997</v>
      </c>
      <c r="E141" s="100" t="s">
        <v>3998</v>
      </c>
    </row>
    <row r="142">
      <c r="A142" s="84" t="s">
        <v>998</v>
      </c>
      <c r="B142" s="96" t="s">
        <v>3668</v>
      </c>
      <c r="C142" s="86" t="s">
        <v>3669</v>
      </c>
      <c r="D142" s="200" t="s">
        <v>3999</v>
      </c>
      <c r="E142" s="88" t="s">
        <v>4000</v>
      </c>
    </row>
    <row r="143">
      <c r="A143" s="84" t="s">
        <v>1000</v>
      </c>
      <c r="B143" s="96" t="s">
        <v>3843</v>
      </c>
      <c r="C143" s="86" t="s">
        <v>4001</v>
      </c>
      <c r="D143" s="199" t="s">
        <v>4002</v>
      </c>
      <c r="E143" s="100" t="s">
        <v>4003</v>
      </c>
    </row>
    <row r="144">
      <c r="A144" s="84" t="s">
        <v>2111</v>
      </c>
      <c r="B144" s="96" t="s">
        <v>3675</v>
      </c>
      <c r="C144" s="86" t="s">
        <v>3676</v>
      </c>
      <c r="D144" s="200" t="s">
        <v>4004</v>
      </c>
      <c r="E144" s="88" t="s">
        <v>4005</v>
      </c>
    </row>
    <row r="145">
      <c r="A145" s="84" t="s">
        <v>2116</v>
      </c>
      <c r="B145" s="96" t="s">
        <v>3679</v>
      </c>
      <c r="C145" s="86" t="s">
        <v>3849</v>
      </c>
      <c r="D145" s="199" t="s">
        <v>3681</v>
      </c>
      <c r="E145" s="201" t="s">
        <v>4006</v>
      </c>
    </row>
    <row r="146">
      <c r="A146" s="84" t="s">
        <v>2121</v>
      </c>
      <c r="B146" s="96"/>
      <c r="C146" s="86" t="s">
        <v>3683</v>
      </c>
      <c r="D146" s="200" t="s">
        <v>3684</v>
      </c>
      <c r="E146" s="160" t="s">
        <v>3596</v>
      </c>
    </row>
    <row r="147">
      <c r="A147" s="84" t="s">
        <v>2123</v>
      </c>
      <c r="B147" s="96" t="s">
        <v>4007</v>
      </c>
      <c r="C147" s="86" t="s">
        <v>3686</v>
      </c>
      <c r="D147" s="199" t="s">
        <v>3687</v>
      </c>
      <c r="E147" s="100" t="s">
        <v>4008</v>
      </c>
    </row>
    <row r="148">
      <c r="A148" s="84" t="s">
        <v>4009</v>
      </c>
      <c r="B148" s="96" t="s">
        <v>4010</v>
      </c>
      <c r="C148" s="86"/>
      <c r="D148" s="200" t="s">
        <v>3691</v>
      </c>
      <c r="E148" s="88" t="s">
        <v>4011</v>
      </c>
    </row>
    <row r="149">
      <c r="A149" s="84" t="s">
        <v>1004</v>
      </c>
      <c r="B149" s="96" t="s">
        <v>3693</v>
      </c>
      <c r="C149" s="86" t="s">
        <v>4012</v>
      </c>
      <c r="D149" s="199" t="s">
        <v>4013</v>
      </c>
      <c r="E149" s="100" t="s">
        <v>4014</v>
      </c>
    </row>
    <row r="150">
      <c r="A150" s="84" t="s">
        <v>1009</v>
      </c>
      <c r="B150" s="96" t="s">
        <v>3701</v>
      </c>
      <c r="C150" s="86" t="s">
        <v>4015</v>
      </c>
      <c r="D150" s="200" t="s">
        <v>4016</v>
      </c>
      <c r="E150" s="88" t="s">
        <v>4017</v>
      </c>
    </row>
    <row r="151">
      <c r="A151" s="84" t="s">
        <v>1013</v>
      </c>
      <c r="B151" s="96" t="s">
        <v>4018</v>
      </c>
      <c r="C151" s="86" t="s">
        <v>4019</v>
      </c>
      <c r="D151" s="199" t="s">
        <v>4020</v>
      </c>
      <c r="E151" s="100" t="s">
        <v>4021</v>
      </c>
    </row>
    <row r="152">
      <c r="A152" s="84" t="s">
        <v>1015</v>
      </c>
      <c r="B152" s="96" t="s">
        <v>4022</v>
      </c>
      <c r="C152" s="86" t="s">
        <v>4023</v>
      </c>
      <c r="D152" s="200" t="s">
        <v>4024</v>
      </c>
      <c r="E152" s="88" t="s">
        <v>4025</v>
      </c>
    </row>
    <row r="153">
      <c r="A153" s="84" t="s">
        <v>1017</v>
      </c>
      <c r="B153" s="96" t="s">
        <v>4026</v>
      </c>
      <c r="C153" s="86" t="s">
        <v>4027</v>
      </c>
      <c r="D153" s="199" t="s">
        <v>4028</v>
      </c>
      <c r="E153" s="100" t="s">
        <v>4029</v>
      </c>
    </row>
    <row r="154">
      <c r="A154" s="84" t="s">
        <v>2159</v>
      </c>
      <c r="B154" s="96" t="s">
        <v>3705</v>
      </c>
      <c r="C154" s="86" t="s">
        <v>3706</v>
      </c>
      <c r="D154" s="200" t="s">
        <v>4030</v>
      </c>
      <c r="E154" s="88" t="s">
        <v>4031</v>
      </c>
    </row>
    <row r="155">
      <c r="A155" s="84" t="s">
        <v>2163</v>
      </c>
      <c r="B155" s="96"/>
      <c r="C155" s="86" t="s">
        <v>3878</v>
      </c>
      <c r="D155" s="199" t="s">
        <v>3879</v>
      </c>
      <c r="E155" s="201" t="s">
        <v>3596</v>
      </c>
    </row>
    <row r="156">
      <c r="A156" s="84" t="s">
        <v>2168</v>
      </c>
      <c r="B156" s="96" t="s">
        <v>4032</v>
      </c>
      <c r="C156" s="86" t="s">
        <v>3686</v>
      </c>
      <c r="D156" s="200" t="s">
        <v>3881</v>
      </c>
      <c r="E156" s="88" t="s">
        <v>4033</v>
      </c>
    </row>
    <row r="157">
      <c r="A157" s="84" t="s">
        <v>4034</v>
      </c>
      <c r="B157" s="96" t="s">
        <v>4035</v>
      </c>
      <c r="C157" s="86"/>
      <c r="D157" s="199" t="s">
        <v>3691</v>
      </c>
      <c r="E157" s="100" t="s">
        <v>4036</v>
      </c>
    </row>
    <row r="158">
      <c r="A158" s="84" t="s">
        <v>1021</v>
      </c>
      <c r="B158" s="96" t="s">
        <v>3660</v>
      </c>
      <c r="C158" s="86" t="s">
        <v>4037</v>
      </c>
      <c r="D158" s="200" t="s">
        <v>4038</v>
      </c>
      <c r="E158" s="160" t="s">
        <v>4039</v>
      </c>
    </row>
    <row r="159">
      <c r="A159" s="84" t="s">
        <v>1027</v>
      </c>
      <c r="B159" s="96" t="s">
        <v>3723</v>
      </c>
      <c r="C159" s="86" t="s">
        <v>4040</v>
      </c>
      <c r="D159" s="199" t="s">
        <v>4041</v>
      </c>
      <c r="E159" s="205" t="s">
        <v>4042</v>
      </c>
    </row>
    <row r="160">
      <c r="A160" s="84" t="s">
        <v>1029</v>
      </c>
      <c r="B160" s="96" t="s">
        <v>3727</v>
      </c>
      <c r="C160" s="86" t="s">
        <v>4043</v>
      </c>
      <c r="D160" s="200" t="s">
        <v>4044</v>
      </c>
      <c r="E160" s="88" t="s">
        <v>4045</v>
      </c>
    </row>
    <row r="161">
      <c r="A161" s="84" t="s">
        <v>1031</v>
      </c>
      <c r="B161" s="96" t="s">
        <v>3731</v>
      </c>
      <c r="C161" s="86" t="s">
        <v>4046</v>
      </c>
      <c r="D161" s="199" t="s">
        <v>4047</v>
      </c>
      <c r="E161" s="100" t="s">
        <v>4048</v>
      </c>
    </row>
    <row r="162">
      <c r="A162" s="84" t="s">
        <v>2203</v>
      </c>
      <c r="B162" s="96" t="s">
        <v>3899</v>
      </c>
      <c r="C162" s="86" t="s">
        <v>3736</v>
      </c>
      <c r="D162" s="200" t="s">
        <v>4049</v>
      </c>
      <c r="E162" s="160" t="s">
        <v>4050</v>
      </c>
    </row>
    <row r="163">
      <c r="A163" s="84" t="s">
        <v>2207</v>
      </c>
      <c r="B163" s="96"/>
      <c r="C163" s="86" t="s">
        <v>4051</v>
      </c>
      <c r="D163" s="199" t="s">
        <v>3740</v>
      </c>
      <c r="E163" s="201" t="s">
        <v>3596</v>
      </c>
    </row>
    <row r="164">
      <c r="A164" s="84" t="s">
        <v>2211</v>
      </c>
      <c r="B164" s="96" t="s">
        <v>4052</v>
      </c>
      <c r="C164" s="86" t="s">
        <v>3686</v>
      </c>
      <c r="D164" s="200" t="s">
        <v>3905</v>
      </c>
      <c r="E164" s="88" t="s">
        <v>4053</v>
      </c>
    </row>
    <row r="165">
      <c r="A165" s="84" t="s">
        <v>4054</v>
      </c>
      <c r="B165" s="96" t="s">
        <v>4055</v>
      </c>
      <c r="C165" s="86"/>
      <c r="D165" s="199" t="s">
        <v>3603</v>
      </c>
      <c r="E165" s="100" t="s">
        <v>4056</v>
      </c>
    </row>
    <row r="166">
      <c r="A166" s="84" t="s">
        <v>1034</v>
      </c>
      <c r="B166" s="96" t="s">
        <v>4057</v>
      </c>
      <c r="C166" s="86" t="s">
        <v>4058</v>
      </c>
      <c r="D166" s="200" t="s">
        <v>4059</v>
      </c>
      <c r="E166" s="88" t="s">
        <v>4060</v>
      </c>
    </row>
    <row r="167">
      <c r="A167" s="84" t="s">
        <v>1038</v>
      </c>
      <c r="B167" s="96" t="s">
        <v>4061</v>
      </c>
      <c r="C167" s="86" t="s">
        <v>4062</v>
      </c>
      <c r="D167" s="199" t="s">
        <v>4063</v>
      </c>
      <c r="E167" s="100" t="s">
        <v>4064</v>
      </c>
    </row>
    <row r="168">
      <c r="A168" s="84" t="s">
        <v>2232</v>
      </c>
      <c r="B168" s="96" t="s">
        <v>4065</v>
      </c>
      <c r="C168" s="86" t="s">
        <v>4066</v>
      </c>
      <c r="D168" s="200" t="s">
        <v>4067</v>
      </c>
      <c r="E168" s="88" t="s">
        <v>4068</v>
      </c>
    </row>
    <row r="169">
      <c r="A169" s="84" t="s">
        <v>1039</v>
      </c>
      <c r="B169" s="96" t="s">
        <v>4069</v>
      </c>
      <c r="C169" s="86" t="s">
        <v>4070</v>
      </c>
      <c r="D169" s="199" t="s">
        <v>4071</v>
      </c>
      <c r="E169" s="100" t="s">
        <v>4072</v>
      </c>
    </row>
    <row r="170">
      <c r="A170" s="84" t="s">
        <v>2241</v>
      </c>
      <c r="B170" s="96" t="s">
        <v>3764</v>
      </c>
      <c r="C170" s="86" t="s">
        <v>4073</v>
      </c>
      <c r="D170" s="200" t="s">
        <v>4074</v>
      </c>
      <c r="E170" s="88" t="s">
        <v>4075</v>
      </c>
    </row>
    <row r="171">
      <c r="A171" s="84" t="s">
        <v>2246</v>
      </c>
      <c r="B171" s="96"/>
      <c r="C171" s="86" t="s">
        <v>3595</v>
      </c>
      <c r="D171" s="199" t="s">
        <v>3436</v>
      </c>
      <c r="E171" s="201" t="s">
        <v>3596</v>
      </c>
    </row>
    <row r="172">
      <c r="A172" s="84" t="s">
        <v>2250</v>
      </c>
      <c r="B172" s="96" t="s">
        <v>4076</v>
      </c>
      <c r="C172" s="86" t="s">
        <v>3627</v>
      </c>
      <c r="D172" s="200" t="s">
        <v>4077</v>
      </c>
      <c r="E172" s="88" t="s">
        <v>4078</v>
      </c>
    </row>
    <row r="173">
      <c r="A173" s="84" t="s">
        <v>4079</v>
      </c>
      <c r="B173" s="96" t="s">
        <v>4080</v>
      </c>
      <c r="C173" s="86"/>
      <c r="D173" s="199" t="s">
        <v>3603</v>
      </c>
      <c r="E173" s="203" t="s">
        <v>4081</v>
      </c>
    </row>
    <row r="174">
      <c r="A174" s="84" t="s">
        <v>1041</v>
      </c>
      <c r="B174" s="96" t="s">
        <v>3934</v>
      </c>
      <c r="C174" s="86" t="s">
        <v>3774</v>
      </c>
      <c r="D174" s="200" t="s">
        <v>4082</v>
      </c>
      <c r="E174" s="88" t="s">
        <v>4083</v>
      </c>
    </row>
    <row r="175">
      <c r="A175" s="84" t="s">
        <v>1046</v>
      </c>
      <c r="B175" s="96" t="s">
        <v>3579</v>
      </c>
      <c r="C175" s="86" t="s">
        <v>4084</v>
      </c>
      <c r="D175" s="199" t="s">
        <v>4085</v>
      </c>
      <c r="E175" s="100" t="s">
        <v>4086</v>
      </c>
    </row>
    <row r="176">
      <c r="A176" s="84" t="s">
        <v>1048</v>
      </c>
      <c r="B176" s="96" t="s">
        <v>3748</v>
      </c>
      <c r="C176" s="86" t="s">
        <v>4087</v>
      </c>
      <c r="D176" s="200" t="s">
        <v>4088</v>
      </c>
      <c r="E176" s="88" t="s">
        <v>4089</v>
      </c>
    </row>
    <row r="177">
      <c r="A177" s="84" t="s">
        <v>1050</v>
      </c>
      <c r="B177" s="96" t="s">
        <v>3587</v>
      </c>
      <c r="C177" s="86" t="s">
        <v>4090</v>
      </c>
      <c r="D177" s="199" t="s">
        <v>4091</v>
      </c>
      <c r="E177" s="100" t="s">
        <v>4092</v>
      </c>
    </row>
    <row r="178">
      <c r="A178" s="84" t="s">
        <v>2283</v>
      </c>
      <c r="B178" s="96" t="s">
        <v>3591</v>
      </c>
      <c r="C178" s="86" t="s">
        <v>3592</v>
      </c>
      <c r="D178" s="200" t="s">
        <v>4093</v>
      </c>
      <c r="E178" s="88" t="s">
        <v>4094</v>
      </c>
    </row>
    <row r="179">
      <c r="A179" s="84" t="s">
        <v>2286</v>
      </c>
      <c r="B179" s="96"/>
      <c r="C179" s="86" t="s">
        <v>3595</v>
      </c>
      <c r="D179" s="199" t="s">
        <v>3436</v>
      </c>
      <c r="E179" s="201" t="s">
        <v>3596</v>
      </c>
    </row>
    <row r="180">
      <c r="A180" s="84" t="s">
        <v>2290</v>
      </c>
      <c r="B180" s="96" t="s">
        <v>4095</v>
      </c>
      <c r="C180" s="86" t="s">
        <v>3598</v>
      </c>
      <c r="D180" s="200" t="s">
        <v>3599</v>
      </c>
      <c r="E180" s="88" t="s">
        <v>4096</v>
      </c>
    </row>
    <row r="181">
      <c r="A181" s="84" t="s">
        <v>4097</v>
      </c>
      <c r="B181" s="96" t="s">
        <v>4098</v>
      </c>
      <c r="C181" s="86"/>
      <c r="D181" s="199" t="s">
        <v>3603</v>
      </c>
      <c r="E181" s="100" t="s">
        <v>4099</v>
      </c>
    </row>
    <row r="182">
      <c r="A182" s="84" t="s">
        <v>1053</v>
      </c>
      <c r="B182" s="96" t="s">
        <v>3605</v>
      </c>
      <c r="C182" s="86" t="s">
        <v>3606</v>
      </c>
      <c r="D182" s="200" t="s">
        <v>4100</v>
      </c>
      <c r="E182" s="88" t="s">
        <v>4101</v>
      </c>
    </row>
    <row r="183">
      <c r="A183" s="84" t="s">
        <v>1057</v>
      </c>
      <c r="B183" s="96" t="s">
        <v>3609</v>
      </c>
      <c r="C183" s="86" t="s">
        <v>3610</v>
      </c>
      <c r="D183" s="199" t="s">
        <v>4102</v>
      </c>
      <c r="E183" s="100" t="s">
        <v>4103</v>
      </c>
    </row>
    <row r="184">
      <c r="A184" s="84" t="s">
        <v>1060</v>
      </c>
      <c r="B184" s="96" t="s">
        <v>4104</v>
      </c>
      <c r="C184" s="86" t="s">
        <v>4105</v>
      </c>
      <c r="D184" s="200" t="s">
        <v>4106</v>
      </c>
      <c r="E184" s="88" t="s">
        <v>4107</v>
      </c>
    </row>
    <row r="185">
      <c r="A185" s="84" t="s">
        <v>1061</v>
      </c>
      <c r="B185" s="96" t="s">
        <v>3802</v>
      </c>
      <c r="C185" s="86" t="s">
        <v>3803</v>
      </c>
      <c r="D185" s="199" t="s">
        <v>4108</v>
      </c>
      <c r="E185" s="100" t="s">
        <v>4109</v>
      </c>
    </row>
    <row r="186">
      <c r="A186" s="84" t="s">
        <v>2326</v>
      </c>
      <c r="B186" s="96" t="s">
        <v>4110</v>
      </c>
      <c r="C186" s="86" t="s">
        <v>4111</v>
      </c>
      <c r="D186" s="200" t="s">
        <v>4112</v>
      </c>
      <c r="E186" s="88" t="s">
        <v>4113</v>
      </c>
    </row>
    <row r="187">
      <c r="A187" s="84" t="s">
        <v>2331</v>
      </c>
      <c r="B187" s="96"/>
      <c r="C187" s="86" t="s">
        <v>3595</v>
      </c>
      <c r="D187" s="199" t="s">
        <v>3965</v>
      </c>
      <c r="E187" s="201" t="s">
        <v>3596</v>
      </c>
    </row>
    <row r="188">
      <c r="A188" s="84" t="s">
        <v>2335</v>
      </c>
      <c r="B188" s="96" t="s">
        <v>4114</v>
      </c>
      <c r="C188" s="86" t="s">
        <v>3627</v>
      </c>
      <c r="D188" s="200" t="s">
        <v>3628</v>
      </c>
      <c r="E188" s="88" t="s">
        <v>4115</v>
      </c>
    </row>
    <row r="189">
      <c r="A189" s="84" t="s">
        <v>4116</v>
      </c>
      <c r="B189" s="96" t="s">
        <v>4117</v>
      </c>
      <c r="C189" s="86"/>
      <c r="D189" s="199" t="s">
        <v>3603</v>
      </c>
      <c r="E189" s="100" t="s">
        <v>4118</v>
      </c>
    </row>
    <row r="190">
      <c r="A190" s="84" t="s">
        <v>1064</v>
      </c>
      <c r="B190" s="96" t="s">
        <v>4119</v>
      </c>
      <c r="C190" s="86" t="s">
        <v>4120</v>
      </c>
      <c r="D190" s="200" t="s">
        <v>4121</v>
      </c>
      <c r="E190" s="88" t="s">
        <v>4122</v>
      </c>
    </row>
    <row r="191">
      <c r="A191" s="84" t="s">
        <v>1069</v>
      </c>
      <c r="B191" s="96" t="s">
        <v>4123</v>
      </c>
      <c r="C191" s="86" t="s">
        <v>4124</v>
      </c>
      <c r="D191" s="199" t="s">
        <v>4125</v>
      </c>
      <c r="E191" s="100" t="s">
        <v>4126</v>
      </c>
    </row>
    <row r="192">
      <c r="A192" s="84" t="s">
        <v>1071</v>
      </c>
      <c r="B192" s="96" t="s">
        <v>3824</v>
      </c>
      <c r="C192" s="86" t="s">
        <v>4127</v>
      </c>
      <c r="D192" s="200" t="s">
        <v>4128</v>
      </c>
      <c r="E192" s="88" t="s">
        <v>4129</v>
      </c>
    </row>
    <row r="193">
      <c r="A193" s="84" t="s">
        <v>1073</v>
      </c>
      <c r="B193" s="96" t="s">
        <v>4130</v>
      </c>
      <c r="C193" s="86" t="s">
        <v>4131</v>
      </c>
      <c r="D193" s="199" t="s">
        <v>4132</v>
      </c>
      <c r="E193" s="100" t="s">
        <v>4133</v>
      </c>
    </row>
    <row r="194">
      <c r="A194" s="84" t="s">
        <v>2366</v>
      </c>
      <c r="B194" s="96" t="s">
        <v>3649</v>
      </c>
      <c r="C194" s="86" t="s">
        <v>4134</v>
      </c>
      <c r="D194" s="200" t="s">
        <v>4135</v>
      </c>
      <c r="E194" s="88" t="s">
        <v>4136</v>
      </c>
    </row>
    <row r="195">
      <c r="A195" s="84" t="s">
        <v>2369</v>
      </c>
      <c r="B195" s="96"/>
      <c r="C195" s="86" t="s">
        <v>3653</v>
      </c>
      <c r="D195" s="199" t="s">
        <v>3436</v>
      </c>
      <c r="E195" s="201" t="s">
        <v>3596</v>
      </c>
    </row>
    <row r="196">
      <c r="A196" s="84" t="s">
        <v>2372</v>
      </c>
      <c r="B196" s="96" t="s">
        <v>4137</v>
      </c>
      <c r="C196" s="86" t="s">
        <v>3598</v>
      </c>
      <c r="D196" s="200" t="s">
        <v>3655</v>
      </c>
      <c r="E196" s="88" t="s">
        <v>4138</v>
      </c>
    </row>
    <row r="197">
      <c r="A197" s="84" t="s">
        <v>4139</v>
      </c>
      <c r="B197" s="96" t="s">
        <v>4140</v>
      </c>
      <c r="C197" s="86"/>
      <c r="D197" s="199" t="s">
        <v>3603</v>
      </c>
      <c r="E197" s="100" t="s">
        <v>4141</v>
      </c>
    </row>
    <row r="198">
      <c r="A198" s="84" t="s">
        <v>1075</v>
      </c>
      <c r="B198" s="96" t="s">
        <v>4142</v>
      </c>
      <c r="C198" s="86" t="s">
        <v>4143</v>
      </c>
      <c r="D198" s="200" t="s">
        <v>4144</v>
      </c>
      <c r="E198" s="88" t="s">
        <v>4145</v>
      </c>
    </row>
    <row r="199">
      <c r="A199" s="84" t="s">
        <v>1080</v>
      </c>
      <c r="B199" s="96" t="s">
        <v>3664</v>
      </c>
      <c r="C199" s="86" t="s">
        <v>4146</v>
      </c>
      <c r="D199" s="199" t="s">
        <v>4147</v>
      </c>
      <c r="E199" s="100" t="s">
        <v>4148</v>
      </c>
    </row>
    <row r="200">
      <c r="A200" s="84" t="s">
        <v>1081</v>
      </c>
      <c r="B200" s="96" t="s">
        <v>3668</v>
      </c>
      <c r="C200" s="86" t="s">
        <v>4149</v>
      </c>
      <c r="D200" s="200" t="s">
        <v>4150</v>
      </c>
      <c r="E200" s="88" t="s">
        <v>4151</v>
      </c>
    </row>
    <row r="201">
      <c r="A201" s="84" t="s">
        <v>1083</v>
      </c>
      <c r="B201" s="96" t="s">
        <v>3843</v>
      </c>
      <c r="C201" s="86" t="s">
        <v>4152</v>
      </c>
      <c r="D201" s="199" t="s">
        <v>4153</v>
      </c>
      <c r="E201" s="100" t="s">
        <v>4154</v>
      </c>
    </row>
    <row r="202">
      <c r="A202" s="84" t="s">
        <v>2401</v>
      </c>
      <c r="B202" s="96" t="s">
        <v>3675</v>
      </c>
      <c r="C202" s="86" t="s">
        <v>3676</v>
      </c>
      <c r="D202" s="200" t="s">
        <v>4155</v>
      </c>
      <c r="E202" s="88" t="s">
        <v>4156</v>
      </c>
    </row>
    <row r="203">
      <c r="A203" s="84" t="s">
        <v>2406</v>
      </c>
      <c r="B203" s="96" t="s">
        <v>4157</v>
      </c>
      <c r="C203" s="86" t="s">
        <v>3849</v>
      </c>
      <c r="D203" s="199" t="s">
        <v>3681</v>
      </c>
      <c r="E203" s="201" t="s">
        <v>4158</v>
      </c>
    </row>
    <row r="204">
      <c r="A204" s="84" t="s">
        <v>2411</v>
      </c>
      <c r="B204" s="96"/>
      <c r="C204" s="86" t="s">
        <v>3683</v>
      </c>
      <c r="D204" s="200" t="s">
        <v>3684</v>
      </c>
      <c r="E204" s="160" t="s">
        <v>3596</v>
      </c>
    </row>
    <row r="205">
      <c r="A205" s="84" t="s">
        <v>2416</v>
      </c>
      <c r="B205" s="96" t="s">
        <v>4159</v>
      </c>
      <c r="C205" s="86" t="s">
        <v>3686</v>
      </c>
      <c r="D205" s="199" t="s">
        <v>3687</v>
      </c>
      <c r="E205" s="100" t="s">
        <v>4160</v>
      </c>
    </row>
    <row r="206">
      <c r="A206" s="84" t="s">
        <v>4161</v>
      </c>
      <c r="B206" s="96" t="s">
        <v>4162</v>
      </c>
      <c r="C206" s="86"/>
      <c r="D206" s="200" t="s">
        <v>3691</v>
      </c>
      <c r="E206" s="88" t="s">
        <v>4163</v>
      </c>
    </row>
    <row r="207">
      <c r="A207" s="84" t="s">
        <v>1088</v>
      </c>
      <c r="B207" s="96" t="s">
        <v>3864</v>
      </c>
      <c r="C207" s="86" t="s">
        <v>4164</v>
      </c>
      <c r="D207" s="199" t="s">
        <v>4165</v>
      </c>
      <c r="E207" s="100" t="s">
        <v>4166</v>
      </c>
    </row>
    <row r="208">
      <c r="A208" s="84" t="s">
        <v>1093</v>
      </c>
      <c r="B208" s="96" t="s">
        <v>3817</v>
      </c>
      <c r="C208" s="86" t="s">
        <v>4167</v>
      </c>
      <c r="D208" s="200" t="s">
        <v>4168</v>
      </c>
      <c r="E208" s="88" t="s">
        <v>4169</v>
      </c>
    </row>
    <row r="209">
      <c r="A209" s="84" t="s">
        <v>1096</v>
      </c>
      <c r="B209" s="96" t="s">
        <v>3701</v>
      </c>
      <c r="C209" s="86" t="s">
        <v>4170</v>
      </c>
      <c r="D209" s="199" t="s">
        <v>4171</v>
      </c>
      <c r="E209" s="100" t="s">
        <v>4172</v>
      </c>
    </row>
    <row r="210">
      <c r="A210" s="84" t="s">
        <v>1098</v>
      </c>
      <c r="B210" s="96" t="s">
        <v>4022</v>
      </c>
      <c r="C210" s="86" t="s">
        <v>4173</v>
      </c>
      <c r="D210" s="200" t="s">
        <v>4174</v>
      </c>
      <c r="E210" s="88" t="s">
        <v>4175</v>
      </c>
    </row>
    <row r="211">
      <c r="A211" s="84" t="s">
        <v>1100</v>
      </c>
      <c r="B211" s="96" t="s">
        <v>4018</v>
      </c>
      <c r="C211" s="86" t="s">
        <v>4176</v>
      </c>
      <c r="D211" s="199" t="s">
        <v>4177</v>
      </c>
      <c r="E211" s="100" t="s">
        <v>4178</v>
      </c>
    </row>
    <row r="212">
      <c r="A212" s="84" t="s">
        <v>1102</v>
      </c>
      <c r="B212" s="96" t="s">
        <v>4026</v>
      </c>
      <c r="C212" s="86" t="s">
        <v>4179</v>
      </c>
      <c r="D212" s="200" t="s">
        <v>4180</v>
      </c>
      <c r="E212" s="88" t="s">
        <v>4181</v>
      </c>
    </row>
    <row r="213">
      <c r="A213" s="84" t="s">
        <v>2459</v>
      </c>
      <c r="B213" s="96" t="s">
        <v>4182</v>
      </c>
      <c r="C213" s="86" t="s">
        <v>3706</v>
      </c>
      <c r="D213" s="199" t="s">
        <v>4183</v>
      </c>
      <c r="E213" s="100" t="s">
        <v>4184</v>
      </c>
    </row>
    <row r="214">
      <c r="A214" s="84" t="s">
        <v>2463</v>
      </c>
      <c r="B214" s="96"/>
      <c r="C214" s="86" t="s">
        <v>3878</v>
      </c>
      <c r="D214" s="200" t="s">
        <v>4185</v>
      </c>
      <c r="E214" s="160" t="s">
        <v>3596</v>
      </c>
    </row>
    <row r="215">
      <c r="A215" s="84" t="s">
        <v>2467</v>
      </c>
      <c r="B215" s="96" t="s">
        <v>4186</v>
      </c>
      <c r="C215" s="86" t="s">
        <v>3686</v>
      </c>
      <c r="D215" s="199" t="s">
        <v>4187</v>
      </c>
      <c r="E215" s="100" t="s">
        <v>4160</v>
      </c>
    </row>
    <row r="216">
      <c r="A216" s="84" t="s">
        <v>4188</v>
      </c>
      <c r="B216" s="96" t="s">
        <v>4189</v>
      </c>
      <c r="C216" s="86"/>
      <c r="D216" s="200" t="s">
        <v>4190</v>
      </c>
      <c r="E216" s="88" t="s">
        <v>4191</v>
      </c>
    </row>
    <row r="217">
      <c r="A217" s="84" t="s">
        <v>1105</v>
      </c>
      <c r="B217" s="96" t="s">
        <v>4192</v>
      </c>
      <c r="C217" s="86" t="s">
        <v>4193</v>
      </c>
      <c r="D217" s="199" t="s">
        <v>4194</v>
      </c>
      <c r="E217" s="100" t="s">
        <v>4195</v>
      </c>
    </row>
    <row r="218">
      <c r="A218" s="84" t="s">
        <v>1110</v>
      </c>
      <c r="B218" s="96" t="s">
        <v>3723</v>
      </c>
      <c r="C218" s="86" t="s">
        <v>4196</v>
      </c>
      <c r="D218" s="200" t="s">
        <v>4197</v>
      </c>
      <c r="E218" s="88" t="s">
        <v>4198</v>
      </c>
    </row>
    <row r="219">
      <c r="A219" s="84" t="s">
        <v>1112</v>
      </c>
      <c r="B219" s="96" t="s">
        <v>3727</v>
      </c>
      <c r="C219" s="86" t="s">
        <v>3728</v>
      </c>
      <c r="D219" s="199" t="s">
        <v>4199</v>
      </c>
      <c r="E219" s="100" t="s">
        <v>4200</v>
      </c>
    </row>
    <row r="220">
      <c r="A220" s="84" t="s">
        <v>1115</v>
      </c>
      <c r="B220" s="96" t="s">
        <v>4201</v>
      </c>
      <c r="C220" s="86" t="s">
        <v>4202</v>
      </c>
      <c r="D220" s="200" t="s">
        <v>4203</v>
      </c>
      <c r="E220" s="88" t="s">
        <v>4204</v>
      </c>
    </row>
    <row r="221">
      <c r="A221" s="84" t="s">
        <v>2494</v>
      </c>
      <c r="B221" s="96" t="s">
        <v>3899</v>
      </c>
      <c r="C221" s="86" t="s">
        <v>4205</v>
      </c>
      <c r="D221" s="199" t="s">
        <v>4206</v>
      </c>
      <c r="E221" s="100" t="s">
        <v>4207</v>
      </c>
    </row>
    <row r="222">
      <c r="A222" s="84" t="s">
        <v>2498</v>
      </c>
      <c r="B222" s="96"/>
      <c r="C222" s="86" t="s">
        <v>4051</v>
      </c>
      <c r="D222" s="200" t="s">
        <v>3740</v>
      </c>
      <c r="E222" s="160" t="s">
        <v>3596</v>
      </c>
    </row>
    <row r="223">
      <c r="A223" s="84" t="s">
        <v>2501</v>
      </c>
      <c r="B223" s="96" t="s">
        <v>4208</v>
      </c>
      <c r="C223" s="86" t="s">
        <v>3686</v>
      </c>
      <c r="D223" s="199" t="s">
        <v>3905</v>
      </c>
      <c r="E223" s="100" t="s">
        <v>4160</v>
      </c>
    </row>
    <row r="224">
      <c r="A224" s="84" t="s">
        <v>4209</v>
      </c>
      <c r="B224" s="96" t="s">
        <v>4210</v>
      </c>
      <c r="C224" s="86" t="s">
        <v>4211</v>
      </c>
      <c r="D224" s="200" t="s">
        <v>3603</v>
      </c>
      <c r="E224" s="88" t="s">
        <v>4212</v>
      </c>
    </row>
    <row r="225">
      <c r="A225" s="84" t="s">
        <v>1118</v>
      </c>
      <c r="B225" s="96" t="s">
        <v>4213</v>
      </c>
      <c r="C225" s="86" t="s">
        <v>4214</v>
      </c>
      <c r="D225" s="199" t="s">
        <v>4215</v>
      </c>
      <c r="E225" s="100" t="s">
        <v>4216</v>
      </c>
    </row>
    <row r="226">
      <c r="A226" s="84" t="s">
        <v>1122</v>
      </c>
      <c r="B226" s="96" t="s">
        <v>4217</v>
      </c>
      <c r="C226" s="86" t="s">
        <v>4218</v>
      </c>
      <c r="D226" s="200" t="s">
        <v>4219</v>
      </c>
      <c r="E226" s="88" t="s">
        <v>4220</v>
      </c>
    </row>
    <row r="227">
      <c r="A227" s="84" t="s">
        <v>1124</v>
      </c>
      <c r="B227" s="96" t="s">
        <v>4221</v>
      </c>
      <c r="C227" s="86" t="s">
        <v>4222</v>
      </c>
      <c r="D227" s="199" t="s">
        <v>4223</v>
      </c>
      <c r="E227" s="100" t="s">
        <v>4224</v>
      </c>
    </row>
    <row r="228">
      <c r="A228" s="84" t="s">
        <v>1127</v>
      </c>
      <c r="B228" s="96" t="s">
        <v>4225</v>
      </c>
      <c r="C228" s="86" t="s">
        <v>4226</v>
      </c>
      <c r="D228" s="200" t="s">
        <v>4227</v>
      </c>
      <c r="E228" s="88" t="s">
        <v>4228</v>
      </c>
    </row>
    <row r="229">
      <c r="A229" s="84" t="s">
        <v>2533</v>
      </c>
      <c r="B229" s="96" t="s">
        <v>4229</v>
      </c>
      <c r="C229" s="86" t="s">
        <v>4230</v>
      </c>
      <c r="D229" s="199" t="s">
        <v>4231</v>
      </c>
      <c r="E229" s="100" t="s">
        <v>4232</v>
      </c>
    </row>
    <row r="230">
      <c r="A230" s="84" t="s">
        <v>2537</v>
      </c>
      <c r="B230" s="96"/>
      <c r="C230" s="86" t="s">
        <v>3595</v>
      </c>
      <c r="D230" s="200" t="s">
        <v>3436</v>
      </c>
      <c r="E230" s="160" t="s">
        <v>3596</v>
      </c>
    </row>
    <row r="231">
      <c r="A231" s="84" t="s">
        <v>2539</v>
      </c>
      <c r="B231" s="96" t="s">
        <v>4233</v>
      </c>
      <c r="C231" s="86" t="s">
        <v>3627</v>
      </c>
      <c r="D231" s="199" t="s">
        <v>3769</v>
      </c>
      <c r="E231" s="100" t="s">
        <v>4234</v>
      </c>
    </row>
    <row r="232">
      <c r="A232" s="84" t="s">
        <v>4235</v>
      </c>
      <c r="B232" s="96" t="s">
        <v>4236</v>
      </c>
      <c r="C232" s="86"/>
      <c r="D232" s="200" t="s">
        <v>3603</v>
      </c>
      <c r="E232" s="88" t="s">
        <v>4237</v>
      </c>
    </row>
    <row r="233">
      <c r="A233" s="84" t="s">
        <v>1130</v>
      </c>
      <c r="B233" s="96" t="s">
        <v>4238</v>
      </c>
      <c r="C233" s="86" t="s">
        <v>3774</v>
      </c>
      <c r="D233" s="199" t="s">
        <v>4239</v>
      </c>
      <c r="E233" s="100" t="s">
        <v>4240</v>
      </c>
    </row>
    <row r="234">
      <c r="A234" s="84" t="s">
        <v>1134</v>
      </c>
      <c r="B234" s="96" t="s">
        <v>3579</v>
      </c>
      <c r="C234" s="86" t="s">
        <v>3784</v>
      </c>
      <c r="D234" s="200" t="s">
        <v>4241</v>
      </c>
      <c r="E234" s="88" t="s">
        <v>4242</v>
      </c>
    </row>
    <row r="235">
      <c r="A235" s="84" t="s">
        <v>1136</v>
      </c>
      <c r="B235" s="96" t="s">
        <v>3583</v>
      </c>
      <c r="C235" s="86" t="s">
        <v>3584</v>
      </c>
      <c r="D235" s="199" t="s">
        <v>4243</v>
      </c>
      <c r="E235" s="100" t="s">
        <v>4244</v>
      </c>
    </row>
    <row r="236">
      <c r="A236" s="84" t="s">
        <v>1137</v>
      </c>
      <c r="B236" s="96" t="s">
        <v>3587</v>
      </c>
      <c r="C236" s="86" t="s">
        <v>4245</v>
      </c>
      <c r="D236" s="200" t="s">
        <v>4246</v>
      </c>
      <c r="E236" s="88" t="s">
        <v>4247</v>
      </c>
    </row>
    <row r="237">
      <c r="A237" s="84" t="s">
        <v>2567</v>
      </c>
      <c r="B237" s="96" t="s">
        <v>3591</v>
      </c>
      <c r="C237" s="86" t="s">
        <v>3592</v>
      </c>
      <c r="D237" s="199" t="s">
        <v>4248</v>
      </c>
      <c r="E237" s="201" t="s">
        <v>4249</v>
      </c>
    </row>
    <row r="238">
      <c r="A238" s="84" t="s">
        <v>2569</v>
      </c>
      <c r="B238" s="96"/>
      <c r="C238" s="86" t="s">
        <v>3595</v>
      </c>
      <c r="D238" s="200" t="s">
        <v>3436</v>
      </c>
      <c r="E238" s="160" t="s">
        <v>3596</v>
      </c>
    </row>
    <row r="239">
      <c r="A239" s="84" t="s">
        <v>2572</v>
      </c>
      <c r="B239" s="96" t="s">
        <v>4250</v>
      </c>
      <c r="C239" s="86" t="s">
        <v>3598</v>
      </c>
      <c r="D239" s="199" t="s">
        <v>3599</v>
      </c>
      <c r="E239" s="100" t="s">
        <v>4251</v>
      </c>
    </row>
    <row r="240">
      <c r="A240" s="84" t="s">
        <v>4252</v>
      </c>
      <c r="B240" s="96" t="s">
        <v>4253</v>
      </c>
      <c r="C240" s="86"/>
      <c r="D240" s="200" t="s">
        <v>3603</v>
      </c>
      <c r="E240" s="88" t="s">
        <v>4254</v>
      </c>
    </row>
    <row r="241">
      <c r="A241" s="84" t="s">
        <v>1139</v>
      </c>
      <c r="B241" s="96" t="s">
        <v>3605</v>
      </c>
      <c r="C241" s="86" t="s">
        <v>3606</v>
      </c>
      <c r="D241" s="199" t="s">
        <v>4255</v>
      </c>
      <c r="E241" s="100" t="s">
        <v>4256</v>
      </c>
    </row>
    <row r="242">
      <c r="A242" s="84" t="s">
        <v>1144</v>
      </c>
      <c r="B242" s="96" t="s">
        <v>3609</v>
      </c>
      <c r="C242" s="86" t="s">
        <v>3610</v>
      </c>
      <c r="D242" s="200" t="s">
        <v>4257</v>
      </c>
      <c r="E242" s="88" t="s">
        <v>4258</v>
      </c>
    </row>
    <row r="243">
      <c r="A243" s="84" t="s">
        <v>1145</v>
      </c>
      <c r="B243" s="96" t="s">
        <v>4259</v>
      </c>
      <c r="C243" s="86" t="s">
        <v>4105</v>
      </c>
      <c r="D243" s="199" t="s">
        <v>4260</v>
      </c>
      <c r="E243" s="100" t="s">
        <v>4261</v>
      </c>
    </row>
    <row r="244">
      <c r="A244" s="84" t="s">
        <v>1146</v>
      </c>
      <c r="B244" s="96" t="s">
        <v>3802</v>
      </c>
      <c r="C244" s="86" t="s">
        <v>4262</v>
      </c>
      <c r="D244" s="200" t="s">
        <v>4263</v>
      </c>
      <c r="E244" s="88" t="s">
        <v>4264</v>
      </c>
    </row>
    <row r="245">
      <c r="A245" s="84" t="s">
        <v>2594</v>
      </c>
      <c r="B245" s="96" t="s">
        <v>4265</v>
      </c>
      <c r="C245" s="86" t="s">
        <v>4111</v>
      </c>
      <c r="D245" s="199" t="s">
        <v>4266</v>
      </c>
      <c r="E245" s="100" t="s">
        <v>4267</v>
      </c>
    </row>
    <row r="246">
      <c r="A246" s="84" t="s">
        <v>2596</v>
      </c>
      <c r="B246" s="96"/>
      <c r="C246" s="86" t="s">
        <v>4268</v>
      </c>
      <c r="D246" s="200" t="s">
        <v>3965</v>
      </c>
      <c r="E246" s="160" t="s">
        <v>3596</v>
      </c>
    </row>
    <row r="247">
      <c r="A247" s="84" t="s">
        <v>2599</v>
      </c>
      <c r="B247" s="96" t="s">
        <v>4269</v>
      </c>
      <c r="C247" s="86" t="s">
        <v>3627</v>
      </c>
      <c r="D247" s="199" t="s">
        <v>3628</v>
      </c>
      <c r="E247" s="100" t="s">
        <v>4115</v>
      </c>
    </row>
    <row r="248">
      <c r="A248" s="84" t="s">
        <v>4270</v>
      </c>
      <c r="B248" s="96" t="s">
        <v>4271</v>
      </c>
      <c r="C248" s="86"/>
      <c r="D248" s="200" t="s">
        <v>3603</v>
      </c>
      <c r="E248" s="88" t="s">
        <v>4272</v>
      </c>
    </row>
    <row r="249">
      <c r="A249" s="84" t="s">
        <v>1148</v>
      </c>
      <c r="B249" s="96" t="s">
        <v>4273</v>
      </c>
      <c r="C249" s="86" t="s">
        <v>4274</v>
      </c>
      <c r="D249" s="199" t="s">
        <v>4275</v>
      </c>
      <c r="E249" s="100" t="s">
        <v>4126</v>
      </c>
    </row>
    <row r="250">
      <c r="A250" s="84" t="s">
        <v>1152</v>
      </c>
      <c r="B250" s="96" t="s">
        <v>4276</v>
      </c>
      <c r="C250" s="86" t="s">
        <v>4124</v>
      </c>
      <c r="D250" s="200" t="s">
        <v>4277</v>
      </c>
      <c r="E250" s="88" t="s">
        <v>4278</v>
      </c>
    </row>
    <row r="251">
      <c r="A251" s="84" t="s">
        <v>1153</v>
      </c>
      <c r="B251" s="96" t="s">
        <v>4279</v>
      </c>
      <c r="C251" s="86" t="s">
        <v>4280</v>
      </c>
      <c r="D251" s="199" t="s">
        <v>4281</v>
      </c>
      <c r="E251" s="100" t="s">
        <v>4282</v>
      </c>
    </row>
    <row r="252">
      <c r="A252" s="84" t="s">
        <v>1154</v>
      </c>
      <c r="B252" s="96" t="s">
        <v>3645</v>
      </c>
      <c r="C252" s="86" t="s">
        <v>3982</v>
      </c>
      <c r="D252" s="200" t="s">
        <v>4283</v>
      </c>
      <c r="E252" s="88" t="s">
        <v>4284</v>
      </c>
    </row>
    <row r="253">
      <c r="A253" s="84" t="s">
        <v>2628</v>
      </c>
      <c r="B253" s="96" t="s">
        <v>3649</v>
      </c>
      <c r="C253" s="86" t="s">
        <v>4285</v>
      </c>
      <c r="D253" s="199" t="s">
        <v>4286</v>
      </c>
      <c r="E253" s="100" t="s">
        <v>4287</v>
      </c>
    </row>
    <row r="254">
      <c r="A254" s="84" t="s">
        <v>2633</v>
      </c>
      <c r="B254" s="96"/>
      <c r="C254" s="86" t="s">
        <v>3653</v>
      </c>
      <c r="D254" s="200" t="s">
        <v>3436</v>
      </c>
      <c r="E254" s="160" t="s">
        <v>3596</v>
      </c>
    </row>
    <row r="255">
      <c r="A255" s="84" t="s">
        <v>2636</v>
      </c>
      <c r="B255" s="96" t="s">
        <v>4288</v>
      </c>
      <c r="C255" s="86" t="s">
        <v>3598</v>
      </c>
      <c r="D255" s="199" t="s">
        <v>3655</v>
      </c>
      <c r="E255" s="100" t="s">
        <v>4289</v>
      </c>
    </row>
    <row r="256">
      <c r="A256" s="84" t="s">
        <v>4290</v>
      </c>
      <c r="B256" s="96" t="s">
        <v>4291</v>
      </c>
      <c r="C256" s="86"/>
      <c r="D256" s="200" t="s">
        <v>3603</v>
      </c>
      <c r="E256" s="88" t="s">
        <v>4141</v>
      </c>
    </row>
    <row r="257">
      <c r="A257" s="84" t="s">
        <v>1157</v>
      </c>
      <c r="B257" s="96" t="s">
        <v>3660</v>
      </c>
      <c r="C257" s="86" t="s">
        <v>4292</v>
      </c>
      <c r="D257" s="199" t="s">
        <v>4293</v>
      </c>
      <c r="E257" s="100" t="s">
        <v>4294</v>
      </c>
    </row>
    <row r="258">
      <c r="A258" s="84" t="s">
        <v>1161</v>
      </c>
      <c r="B258" s="96" t="s">
        <v>3664</v>
      </c>
      <c r="C258" s="86" t="s">
        <v>3665</v>
      </c>
      <c r="D258" s="200" t="s">
        <v>4295</v>
      </c>
      <c r="E258" s="88" t="s">
        <v>4296</v>
      </c>
    </row>
    <row r="259">
      <c r="A259" s="84" t="s">
        <v>1162</v>
      </c>
      <c r="B259" s="96" t="s">
        <v>3668</v>
      </c>
      <c r="C259" s="86" t="s">
        <v>3669</v>
      </c>
      <c r="D259" s="199" t="s">
        <v>4297</v>
      </c>
      <c r="E259" s="100" t="s">
        <v>4298</v>
      </c>
    </row>
    <row r="260">
      <c r="A260" s="84" t="s">
        <v>1163</v>
      </c>
      <c r="B260" s="96" t="s">
        <v>3843</v>
      </c>
      <c r="C260" s="86" t="s">
        <v>3672</v>
      </c>
      <c r="D260" s="200" t="s">
        <v>4299</v>
      </c>
      <c r="E260" s="88" t="s">
        <v>4300</v>
      </c>
    </row>
    <row r="261">
      <c r="A261" s="84" t="s">
        <v>2658</v>
      </c>
      <c r="B261" s="96" t="s">
        <v>3675</v>
      </c>
      <c r="C261" s="86" t="s">
        <v>3676</v>
      </c>
      <c r="D261" s="199" t="s">
        <v>4301</v>
      </c>
      <c r="E261" s="100" t="s">
        <v>4302</v>
      </c>
    </row>
    <row r="262">
      <c r="A262" s="84" t="s">
        <v>2663</v>
      </c>
      <c r="B262" s="96" t="s">
        <v>3679</v>
      </c>
      <c r="C262" s="86" t="s">
        <v>3680</v>
      </c>
      <c r="D262" s="200" t="s">
        <v>3681</v>
      </c>
      <c r="E262" s="88" t="s">
        <v>4158</v>
      </c>
    </row>
    <row r="263">
      <c r="A263" s="84" t="s">
        <v>2668</v>
      </c>
      <c r="B263" s="96"/>
      <c r="C263" s="86" t="s">
        <v>3683</v>
      </c>
      <c r="D263" s="199" t="s">
        <v>3684</v>
      </c>
      <c r="E263" s="201" t="s">
        <v>3596</v>
      </c>
    </row>
    <row r="264">
      <c r="A264" s="84" t="s">
        <v>2671</v>
      </c>
      <c r="B264" s="96" t="s">
        <v>4303</v>
      </c>
      <c r="C264" s="86" t="s">
        <v>3686</v>
      </c>
      <c r="D264" s="200" t="s">
        <v>3687</v>
      </c>
      <c r="E264" s="88" t="s">
        <v>4160</v>
      </c>
    </row>
    <row r="265">
      <c r="A265" s="84" t="s">
        <v>4304</v>
      </c>
      <c r="B265" s="96" t="s">
        <v>4305</v>
      </c>
      <c r="C265" s="86"/>
      <c r="D265" s="199" t="s">
        <v>3691</v>
      </c>
      <c r="E265" s="100" t="s">
        <v>4163</v>
      </c>
    </row>
    <row r="266">
      <c r="A266" s="84" t="s">
        <v>1165</v>
      </c>
      <c r="B266" s="96" t="s">
        <v>3860</v>
      </c>
      <c r="C266" s="86" t="s">
        <v>4306</v>
      </c>
      <c r="D266" s="200" t="s">
        <v>4307</v>
      </c>
      <c r="E266" s="88" t="s">
        <v>4308</v>
      </c>
    </row>
    <row r="267">
      <c r="A267" s="84" t="s">
        <v>1169</v>
      </c>
      <c r="B267" s="96" t="s">
        <v>3701</v>
      </c>
      <c r="C267" s="86" t="s">
        <v>4309</v>
      </c>
      <c r="D267" s="199" t="s">
        <v>4310</v>
      </c>
      <c r="E267" s="100" t="s">
        <v>4311</v>
      </c>
    </row>
    <row r="268">
      <c r="A268" s="84" t="s">
        <v>1171</v>
      </c>
      <c r="B268" s="96" t="s">
        <v>3824</v>
      </c>
      <c r="C268" s="86" t="s">
        <v>4312</v>
      </c>
      <c r="D268" s="200" t="s">
        <v>4313</v>
      </c>
      <c r="E268" s="88" t="s">
        <v>4314</v>
      </c>
    </row>
    <row r="269">
      <c r="A269" s="84" t="s">
        <v>1173</v>
      </c>
      <c r="B269" s="96" t="s">
        <v>4022</v>
      </c>
      <c r="C269" s="86" t="s">
        <v>4315</v>
      </c>
      <c r="D269" s="199" t="s">
        <v>4316</v>
      </c>
      <c r="E269" s="100" t="s">
        <v>4317</v>
      </c>
    </row>
    <row r="270">
      <c r="A270" s="84" t="s">
        <v>1174</v>
      </c>
      <c r="B270" s="96" t="s">
        <v>4018</v>
      </c>
      <c r="C270" s="86" t="s">
        <v>4318</v>
      </c>
      <c r="D270" s="200" t="s">
        <v>4319</v>
      </c>
      <c r="E270" s="88" t="s">
        <v>4320</v>
      </c>
    </row>
    <row r="271">
      <c r="A271" s="84" t="s">
        <v>1175</v>
      </c>
      <c r="B271" s="96" t="s">
        <v>4026</v>
      </c>
      <c r="C271" s="86" t="s">
        <v>4321</v>
      </c>
      <c r="D271" s="199" t="s">
        <v>4322</v>
      </c>
      <c r="E271" s="100" t="s">
        <v>4323</v>
      </c>
    </row>
    <row r="272">
      <c r="A272" s="84" t="s">
        <v>2703</v>
      </c>
      <c r="B272" s="96" t="s">
        <v>3705</v>
      </c>
      <c r="C272" s="86" t="s">
        <v>3706</v>
      </c>
      <c r="D272" s="200" t="s">
        <v>4324</v>
      </c>
      <c r="E272" s="88" t="s">
        <v>4325</v>
      </c>
    </row>
    <row r="273">
      <c r="A273" s="84" t="s">
        <v>2706</v>
      </c>
      <c r="B273" s="96"/>
      <c r="C273" s="86" t="s">
        <v>3878</v>
      </c>
      <c r="D273" s="199" t="s">
        <v>4185</v>
      </c>
      <c r="E273" s="201" t="s">
        <v>3596</v>
      </c>
    </row>
    <row r="274">
      <c r="A274" s="84" t="s">
        <v>2709</v>
      </c>
      <c r="B274" s="96" t="s">
        <v>4326</v>
      </c>
      <c r="C274" s="86" t="s">
        <v>3686</v>
      </c>
      <c r="D274" s="200" t="s">
        <v>4187</v>
      </c>
      <c r="E274" s="88" t="s">
        <v>4160</v>
      </c>
    </row>
    <row r="275">
      <c r="A275" s="84" t="s">
        <v>4327</v>
      </c>
      <c r="B275" s="96" t="s">
        <v>4328</v>
      </c>
      <c r="C275" s="86"/>
      <c r="D275" s="199" t="s">
        <v>4190</v>
      </c>
      <c r="E275" s="100" t="s">
        <v>4191</v>
      </c>
    </row>
    <row r="276">
      <c r="A276" s="84" t="s">
        <v>1179</v>
      </c>
      <c r="B276" s="96" t="s">
        <v>4329</v>
      </c>
      <c r="C276" s="86" t="s">
        <v>3887</v>
      </c>
      <c r="D276" s="200" t="s">
        <v>4330</v>
      </c>
      <c r="E276" s="88" t="s">
        <v>4331</v>
      </c>
    </row>
    <row r="277">
      <c r="A277" s="84" t="s">
        <v>1183</v>
      </c>
      <c r="B277" s="96" t="s">
        <v>3723</v>
      </c>
      <c r="C277" s="86" t="s">
        <v>4040</v>
      </c>
      <c r="D277" s="199" t="s">
        <v>4332</v>
      </c>
      <c r="E277" s="100" t="s">
        <v>4333</v>
      </c>
    </row>
    <row r="278">
      <c r="A278" s="84" t="s">
        <v>1184</v>
      </c>
      <c r="B278" s="96" t="s">
        <v>3727</v>
      </c>
      <c r="C278" s="86" t="s">
        <v>4043</v>
      </c>
      <c r="D278" s="200" t="s">
        <v>4334</v>
      </c>
      <c r="E278" s="88" t="s">
        <v>4335</v>
      </c>
    </row>
    <row r="279">
      <c r="A279" s="84" t="s">
        <v>1185</v>
      </c>
      <c r="B279" s="96" t="s">
        <v>4201</v>
      </c>
      <c r="C279" s="86" t="s">
        <v>4336</v>
      </c>
      <c r="D279" s="199" t="s">
        <v>4337</v>
      </c>
      <c r="E279" s="117" t="s">
        <v>4338</v>
      </c>
    </row>
    <row r="280">
      <c r="A280" s="84" t="s">
        <v>2732</v>
      </c>
      <c r="B280" s="96" t="s">
        <v>3735</v>
      </c>
      <c r="C280" s="86" t="s">
        <v>4339</v>
      </c>
      <c r="D280" s="200" t="s">
        <v>4340</v>
      </c>
      <c r="E280" s="160" t="s">
        <v>4207</v>
      </c>
    </row>
    <row r="281">
      <c r="A281" s="206" t="s">
        <v>2735</v>
      </c>
      <c r="B281" s="91"/>
      <c r="C281" s="93" t="s">
        <v>4051</v>
      </c>
      <c r="D281" s="199" t="s">
        <v>3740</v>
      </c>
      <c r="E281" s="201" t="s">
        <v>3596</v>
      </c>
    </row>
    <row r="282">
      <c r="A282" s="84" t="s">
        <v>2737</v>
      </c>
      <c r="B282" s="96" t="s">
        <v>4341</v>
      </c>
      <c r="C282" s="86" t="s">
        <v>3686</v>
      </c>
      <c r="D282" s="200" t="s">
        <v>3905</v>
      </c>
      <c r="E282" s="88" t="s">
        <v>4342</v>
      </c>
    </row>
    <row r="283">
      <c r="A283" s="84" t="s">
        <v>4343</v>
      </c>
      <c r="B283" s="96" t="s">
        <v>4344</v>
      </c>
      <c r="C283" s="86" t="s">
        <v>4211</v>
      </c>
      <c r="D283" s="199" t="s">
        <v>3603</v>
      </c>
      <c r="E283" s="100" t="s">
        <v>4345</v>
      </c>
    </row>
    <row r="284">
      <c r="A284" s="84" t="s">
        <v>1187</v>
      </c>
      <c r="B284" s="96" t="s">
        <v>4346</v>
      </c>
      <c r="C284" s="86" t="s">
        <v>4347</v>
      </c>
      <c r="D284" s="200" t="s">
        <v>4348</v>
      </c>
      <c r="E284" s="88" t="s">
        <v>4349</v>
      </c>
    </row>
    <row r="285">
      <c r="A285" s="84" t="s">
        <v>2750</v>
      </c>
      <c r="B285" s="96" t="s">
        <v>4350</v>
      </c>
      <c r="C285" s="86" t="s">
        <v>4351</v>
      </c>
      <c r="D285" s="199" t="s">
        <v>4352</v>
      </c>
      <c r="E285" s="100" t="s">
        <v>4353</v>
      </c>
    </row>
    <row r="286">
      <c r="A286" s="84" t="s">
        <v>1191</v>
      </c>
      <c r="B286" s="96" t="s">
        <v>4354</v>
      </c>
      <c r="C286" s="86" t="s">
        <v>4355</v>
      </c>
      <c r="D286" s="200" t="s">
        <v>4356</v>
      </c>
      <c r="E286" s="88" t="s">
        <v>4357</v>
      </c>
    </row>
    <row r="287">
      <c r="A287" s="84" t="s">
        <v>2757</v>
      </c>
      <c r="B287" s="96" t="s">
        <v>4229</v>
      </c>
      <c r="C287" s="86" t="s">
        <v>4358</v>
      </c>
      <c r="D287" s="199" t="s">
        <v>4359</v>
      </c>
      <c r="E287" s="100" t="s">
        <v>4360</v>
      </c>
    </row>
    <row r="288">
      <c r="A288" s="84" t="s">
        <v>2761</v>
      </c>
      <c r="B288" s="96"/>
      <c r="C288" s="86" t="s">
        <v>3595</v>
      </c>
      <c r="D288" s="200" t="s">
        <v>3927</v>
      </c>
      <c r="E288" s="160" t="s">
        <v>3596</v>
      </c>
    </row>
    <row r="289">
      <c r="A289" s="84" t="s">
        <v>2765</v>
      </c>
      <c r="B289" s="96" t="s">
        <v>4361</v>
      </c>
      <c r="C289" s="86" t="s">
        <v>3627</v>
      </c>
      <c r="D289" s="199" t="s">
        <v>4362</v>
      </c>
      <c r="E289" s="100" t="s">
        <v>4363</v>
      </c>
    </row>
    <row r="290">
      <c r="A290" s="84" t="s">
        <v>4364</v>
      </c>
      <c r="B290" s="96" t="s">
        <v>4365</v>
      </c>
      <c r="C290" s="86"/>
      <c r="D290" s="200" t="s">
        <v>3717</v>
      </c>
      <c r="E290" s="88" t="s">
        <v>4366</v>
      </c>
    </row>
    <row r="291">
      <c r="A291" s="84" t="s">
        <v>1193</v>
      </c>
      <c r="B291" s="96" t="s">
        <v>3934</v>
      </c>
      <c r="C291" s="86" t="s">
        <v>3774</v>
      </c>
      <c r="D291" s="199" t="s">
        <v>4367</v>
      </c>
      <c r="E291" s="100" t="s">
        <v>4368</v>
      </c>
    </row>
    <row r="292">
      <c r="A292" s="84" t="s">
        <v>1198</v>
      </c>
      <c r="B292" s="96" t="s">
        <v>3587</v>
      </c>
      <c r="C292" s="86" t="s">
        <v>4369</v>
      </c>
      <c r="D292" s="200" t="s">
        <v>4370</v>
      </c>
      <c r="E292" s="88" t="s">
        <v>4371</v>
      </c>
    </row>
    <row r="293">
      <c r="A293" s="84" t="s">
        <v>1200</v>
      </c>
      <c r="B293" s="96" t="s">
        <v>3579</v>
      </c>
      <c r="C293" s="86" t="s">
        <v>3784</v>
      </c>
      <c r="D293" s="199" t="s">
        <v>4372</v>
      </c>
      <c r="E293" s="100" t="s">
        <v>4373</v>
      </c>
    </row>
    <row r="294">
      <c r="A294" s="84" t="s">
        <v>1202</v>
      </c>
      <c r="B294" s="96" t="s">
        <v>4374</v>
      </c>
      <c r="C294" s="86" t="s">
        <v>4375</v>
      </c>
      <c r="D294" s="200" t="s">
        <v>4376</v>
      </c>
      <c r="E294" s="88" t="s">
        <v>4377</v>
      </c>
    </row>
    <row r="295">
      <c r="A295" s="84" t="s">
        <v>2793</v>
      </c>
      <c r="B295" s="96" t="s">
        <v>3591</v>
      </c>
      <c r="C295" s="86" t="s">
        <v>3592</v>
      </c>
      <c r="D295" s="199" t="s">
        <v>4378</v>
      </c>
      <c r="E295" s="100" t="s">
        <v>4379</v>
      </c>
    </row>
    <row r="296">
      <c r="A296" s="84" t="s">
        <v>2797</v>
      </c>
      <c r="B296" s="96"/>
      <c r="C296" s="86" t="s">
        <v>3595</v>
      </c>
      <c r="D296" s="200" t="s">
        <v>3436</v>
      </c>
      <c r="E296" s="160" t="s">
        <v>3596</v>
      </c>
    </row>
    <row r="297">
      <c r="A297" s="84" t="s">
        <v>2800</v>
      </c>
      <c r="B297" s="96" t="s">
        <v>4380</v>
      </c>
      <c r="C297" s="86" t="s">
        <v>3598</v>
      </c>
      <c r="D297" s="199" t="s">
        <v>3599</v>
      </c>
      <c r="E297" s="100" t="s">
        <v>4381</v>
      </c>
    </row>
    <row r="298">
      <c r="A298" s="84" t="s">
        <v>4382</v>
      </c>
      <c r="B298" s="96" t="s">
        <v>4383</v>
      </c>
      <c r="C298" s="86"/>
      <c r="D298" s="200" t="s">
        <v>3603</v>
      </c>
      <c r="E298" s="88" t="s">
        <v>4384</v>
      </c>
    </row>
    <row r="299">
      <c r="A299" s="84" t="s">
        <v>1205</v>
      </c>
      <c r="B299" s="96" t="s">
        <v>3605</v>
      </c>
      <c r="C299" s="86" t="s">
        <v>4385</v>
      </c>
      <c r="D299" s="199" t="s">
        <v>4386</v>
      </c>
      <c r="E299" s="100" t="s">
        <v>4387</v>
      </c>
    </row>
    <row r="300">
      <c r="A300" s="84" t="s">
        <v>1210</v>
      </c>
      <c r="B300" s="96" t="s">
        <v>3609</v>
      </c>
      <c r="C300" s="86" t="s">
        <v>3610</v>
      </c>
      <c r="D300" s="200" t="s">
        <v>4388</v>
      </c>
      <c r="E300" s="88" t="s">
        <v>4389</v>
      </c>
    </row>
    <row r="301">
      <c r="A301" s="84" t="s">
        <v>1212</v>
      </c>
      <c r="B301" s="96" t="s">
        <v>4259</v>
      </c>
      <c r="C301" s="86" t="s">
        <v>4105</v>
      </c>
      <c r="D301" s="199" t="s">
        <v>4390</v>
      </c>
      <c r="E301" s="100" t="s">
        <v>4391</v>
      </c>
    </row>
    <row r="302">
      <c r="A302" s="84" t="s">
        <v>1214</v>
      </c>
      <c r="B302" s="96" t="s">
        <v>3802</v>
      </c>
      <c r="C302" s="86" t="s">
        <v>3803</v>
      </c>
      <c r="D302" s="200" t="s">
        <v>4392</v>
      </c>
      <c r="E302" s="88" t="s">
        <v>4393</v>
      </c>
    </row>
    <row r="303">
      <c r="A303" s="84" t="s">
        <v>2827</v>
      </c>
      <c r="B303" s="96" t="s">
        <v>4394</v>
      </c>
      <c r="C303" s="86" t="s">
        <v>4111</v>
      </c>
      <c r="D303" s="199" t="s">
        <v>4395</v>
      </c>
      <c r="E303" s="100" t="s">
        <v>4396</v>
      </c>
    </row>
    <row r="304">
      <c r="A304" s="84" t="s">
        <v>2830</v>
      </c>
      <c r="B304" s="96"/>
      <c r="C304" s="86" t="s">
        <v>3595</v>
      </c>
      <c r="D304" s="200" t="s">
        <v>3965</v>
      </c>
      <c r="E304" s="160" t="s">
        <v>3596</v>
      </c>
    </row>
    <row r="305">
      <c r="A305" s="84" t="s">
        <v>2832</v>
      </c>
      <c r="B305" s="96" t="s">
        <v>4397</v>
      </c>
      <c r="C305" s="86" t="s">
        <v>3627</v>
      </c>
      <c r="D305" s="199" t="s">
        <v>3628</v>
      </c>
      <c r="E305" s="100" t="s">
        <v>4398</v>
      </c>
    </row>
    <row r="306">
      <c r="A306" s="84" t="s">
        <v>4399</v>
      </c>
      <c r="B306" s="96" t="s">
        <v>4400</v>
      </c>
      <c r="C306" s="86"/>
      <c r="D306" s="200" t="s">
        <v>3603</v>
      </c>
      <c r="E306" s="88" t="s">
        <v>4401</v>
      </c>
    </row>
    <row r="307">
      <c r="A307" s="84" t="s">
        <v>1217</v>
      </c>
      <c r="B307" s="96" t="s">
        <v>3633</v>
      </c>
      <c r="C307" s="86" t="s">
        <v>3634</v>
      </c>
      <c r="D307" s="199" t="s">
        <v>4402</v>
      </c>
      <c r="E307" s="100" t="s">
        <v>4403</v>
      </c>
    </row>
    <row r="308">
      <c r="A308" s="84" t="s">
        <v>1221</v>
      </c>
      <c r="B308" s="96" t="s">
        <v>3975</v>
      </c>
      <c r="C308" s="86" t="s">
        <v>3638</v>
      </c>
      <c r="D308" s="200" t="s">
        <v>4404</v>
      </c>
      <c r="E308" s="88" t="s">
        <v>4405</v>
      </c>
    </row>
    <row r="309">
      <c r="A309" s="84" t="s">
        <v>1224</v>
      </c>
      <c r="B309" s="96" t="s">
        <v>3641</v>
      </c>
      <c r="C309" s="86" t="s">
        <v>3972</v>
      </c>
      <c r="D309" s="199" t="s">
        <v>4406</v>
      </c>
      <c r="E309" s="100" t="s">
        <v>4407</v>
      </c>
    </row>
    <row r="310">
      <c r="A310" s="84" t="s">
        <v>1226</v>
      </c>
      <c r="B310" s="96" t="s">
        <v>3824</v>
      </c>
      <c r="C310" s="86" t="s">
        <v>4408</v>
      </c>
      <c r="D310" s="200" t="s">
        <v>4409</v>
      </c>
      <c r="E310" s="88" t="s">
        <v>4410</v>
      </c>
    </row>
    <row r="311">
      <c r="A311" s="84" t="s">
        <v>2862</v>
      </c>
      <c r="B311" s="96" t="s">
        <v>3649</v>
      </c>
      <c r="C311" s="86" t="s">
        <v>3650</v>
      </c>
      <c r="D311" s="199" t="s">
        <v>4411</v>
      </c>
      <c r="E311" s="100" t="s">
        <v>4412</v>
      </c>
    </row>
    <row r="312" ht="23.25" customHeight="1">
      <c r="A312" s="84" t="s">
        <v>2866</v>
      </c>
      <c r="B312" s="96"/>
      <c r="C312" s="86" t="s">
        <v>3653</v>
      </c>
      <c r="D312" s="200" t="s">
        <v>3436</v>
      </c>
      <c r="E312" s="160" t="s">
        <v>3596</v>
      </c>
    </row>
    <row r="313">
      <c r="A313" s="84" t="s">
        <v>2870</v>
      </c>
      <c r="B313" s="96" t="s">
        <v>4413</v>
      </c>
      <c r="C313" s="86" t="s">
        <v>3598</v>
      </c>
      <c r="D313" s="199" t="s">
        <v>3655</v>
      </c>
      <c r="E313" s="100" t="s">
        <v>4414</v>
      </c>
    </row>
    <row r="314">
      <c r="A314" s="84" t="s">
        <v>4415</v>
      </c>
      <c r="B314" s="96" t="s">
        <v>4416</v>
      </c>
      <c r="C314" s="86"/>
      <c r="D314" s="200" t="s">
        <v>3603</v>
      </c>
      <c r="E314" s="88" t="s">
        <v>4417</v>
      </c>
    </row>
    <row r="315">
      <c r="A315" s="84" t="s">
        <v>1228</v>
      </c>
      <c r="B315" s="96" t="s">
        <v>4418</v>
      </c>
      <c r="C315" s="86" t="s">
        <v>4292</v>
      </c>
      <c r="D315" s="199" t="s">
        <v>4419</v>
      </c>
      <c r="E315" s="100" t="s">
        <v>4420</v>
      </c>
    </row>
    <row r="316">
      <c r="A316" s="84" t="s">
        <v>1232</v>
      </c>
      <c r="B316" s="96" t="s">
        <v>3664</v>
      </c>
      <c r="C316" s="86" t="s">
        <v>3665</v>
      </c>
      <c r="D316" s="200" t="s">
        <v>4421</v>
      </c>
      <c r="E316" s="88" t="s">
        <v>4422</v>
      </c>
    </row>
    <row r="317">
      <c r="A317" s="84" t="s">
        <v>1234</v>
      </c>
      <c r="B317" s="96" t="s">
        <v>3668</v>
      </c>
      <c r="C317" s="86" t="s">
        <v>4423</v>
      </c>
      <c r="D317" s="199" t="s">
        <v>4424</v>
      </c>
      <c r="E317" s="100" t="s">
        <v>4425</v>
      </c>
    </row>
    <row r="318">
      <c r="A318" s="84" t="s">
        <v>1237</v>
      </c>
      <c r="B318" s="96" t="s">
        <v>3843</v>
      </c>
      <c r="C318" s="86" t="s">
        <v>4152</v>
      </c>
      <c r="D318" s="200" t="s">
        <v>4426</v>
      </c>
      <c r="E318" s="88" t="s">
        <v>4427</v>
      </c>
    </row>
    <row r="319">
      <c r="A319" s="84" t="s">
        <v>2894</v>
      </c>
      <c r="B319" s="96" t="s">
        <v>4428</v>
      </c>
      <c r="C319" s="86" t="s">
        <v>3676</v>
      </c>
      <c r="D319" s="199" t="s">
        <v>4429</v>
      </c>
      <c r="E319" s="100" t="s">
        <v>4430</v>
      </c>
    </row>
    <row r="320">
      <c r="A320" s="84" t="s">
        <v>2899</v>
      </c>
      <c r="B320" s="96" t="s">
        <v>3679</v>
      </c>
      <c r="C320" s="86" t="s">
        <v>3849</v>
      </c>
      <c r="D320" s="200" t="s">
        <v>4431</v>
      </c>
      <c r="E320" s="160" t="s">
        <v>4432</v>
      </c>
    </row>
    <row r="321">
      <c r="A321" s="84" t="s">
        <v>2903</v>
      </c>
      <c r="B321" s="96"/>
      <c r="C321" s="86" t="s">
        <v>3683</v>
      </c>
      <c r="D321" s="199" t="s">
        <v>3684</v>
      </c>
      <c r="E321" s="201" t="s">
        <v>3596</v>
      </c>
    </row>
    <row r="322">
      <c r="A322" s="84" t="s">
        <v>2907</v>
      </c>
      <c r="B322" s="96" t="s">
        <v>4433</v>
      </c>
      <c r="C322" s="86" t="s">
        <v>3686</v>
      </c>
      <c r="D322" s="200" t="s">
        <v>3687</v>
      </c>
      <c r="E322" s="88" t="s">
        <v>4434</v>
      </c>
    </row>
    <row r="323">
      <c r="A323" s="84" t="s">
        <v>4435</v>
      </c>
      <c r="B323" s="96" t="s">
        <v>4436</v>
      </c>
      <c r="C323" s="86"/>
      <c r="D323" s="199" t="s">
        <v>3691</v>
      </c>
      <c r="E323" s="100" t="s">
        <v>4437</v>
      </c>
    </row>
    <row r="324">
      <c r="A324" s="84" t="s">
        <v>1239</v>
      </c>
      <c r="B324" s="96" t="s">
        <v>3701</v>
      </c>
      <c r="C324" s="86" t="s">
        <v>3857</v>
      </c>
      <c r="D324" s="200" t="s">
        <v>4438</v>
      </c>
      <c r="E324" s="88" t="s">
        <v>4439</v>
      </c>
    </row>
    <row r="325">
      <c r="A325" s="84" t="s">
        <v>1244</v>
      </c>
      <c r="B325" s="96" t="s">
        <v>3864</v>
      </c>
      <c r="C325" s="86" t="s">
        <v>4440</v>
      </c>
      <c r="D325" s="199" t="s">
        <v>4441</v>
      </c>
      <c r="E325" s="100" t="s">
        <v>4442</v>
      </c>
    </row>
    <row r="326">
      <c r="A326" s="84" t="s">
        <v>1246</v>
      </c>
      <c r="B326" s="96" t="s">
        <v>3817</v>
      </c>
      <c r="C326" s="86" t="s">
        <v>4443</v>
      </c>
      <c r="D326" s="200" t="s">
        <v>4444</v>
      </c>
      <c r="E326" s="88" t="s">
        <v>4445</v>
      </c>
    </row>
    <row r="327">
      <c r="A327" s="84" t="s">
        <v>1248</v>
      </c>
      <c r="B327" s="96" t="s">
        <v>4022</v>
      </c>
      <c r="C327" s="86" t="s">
        <v>4446</v>
      </c>
      <c r="D327" s="199" t="s">
        <v>4447</v>
      </c>
      <c r="E327" s="100" t="s">
        <v>4448</v>
      </c>
    </row>
    <row r="328">
      <c r="A328" s="84" t="s">
        <v>1250</v>
      </c>
      <c r="B328" s="96" t="s">
        <v>4026</v>
      </c>
      <c r="C328" s="86" t="s">
        <v>4179</v>
      </c>
      <c r="D328" s="200" t="s">
        <v>4449</v>
      </c>
      <c r="E328" s="160" t="s">
        <v>4450</v>
      </c>
    </row>
    <row r="329">
      <c r="A329" s="84" t="s">
        <v>2941</v>
      </c>
      <c r="B329" s="96" t="s">
        <v>4182</v>
      </c>
      <c r="C329" s="86" t="s">
        <v>3706</v>
      </c>
      <c r="D329" s="199" t="s">
        <v>4451</v>
      </c>
      <c r="E329" s="100" t="s">
        <v>4452</v>
      </c>
    </row>
    <row r="330">
      <c r="A330" s="84" t="s">
        <v>2945</v>
      </c>
      <c r="B330" s="96"/>
      <c r="C330" s="86" t="s">
        <v>3878</v>
      </c>
      <c r="D330" s="200" t="s">
        <v>3879</v>
      </c>
      <c r="E330" s="160" t="s">
        <v>3596</v>
      </c>
    </row>
    <row r="331">
      <c r="A331" s="84" t="s">
        <v>2948</v>
      </c>
      <c r="B331" s="96" t="s">
        <v>4453</v>
      </c>
      <c r="C331" s="86" t="s">
        <v>3686</v>
      </c>
      <c r="D331" s="199" t="s">
        <v>3881</v>
      </c>
      <c r="E331" s="100" t="s">
        <v>4434</v>
      </c>
    </row>
    <row r="332">
      <c r="A332" s="84" t="s">
        <v>4454</v>
      </c>
      <c r="B332" s="96" t="s">
        <v>4455</v>
      </c>
      <c r="C332" s="86"/>
      <c r="D332" s="200" t="s">
        <v>3691</v>
      </c>
      <c r="E332" s="88" t="s">
        <v>4456</v>
      </c>
    </row>
    <row r="333">
      <c r="A333" s="84" t="s">
        <v>1254</v>
      </c>
      <c r="B333" s="96" t="s">
        <v>4192</v>
      </c>
      <c r="C333" s="86" t="s">
        <v>3887</v>
      </c>
      <c r="D333" s="199" t="s">
        <v>4457</v>
      </c>
      <c r="E333" s="100" t="s">
        <v>4458</v>
      </c>
    </row>
    <row r="334">
      <c r="A334" s="84" t="s">
        <v>1259</v>
      </c>
      <c r="B334" s="96" t="s">
        <v>3723</v>
      </c>
      <c r="C334" s="86" t="s">
        <v>4040</v>
      </c>
      <c r="D334" s="200" t="s">
        <v>4459</v>
      </c>
      <c r="E334" s="88" t="s">
        <v>4460</v>
      </c>
    </row>
    <row r="335">
      <c r="A335" s="84" t="s">
        <v>1262</v>
      </c>
      <c r="B335" s="96" t="s">
        <v>3727</v>
      </c>
      <c r="C335" s="86" t="s">
        <v>4043</v>
      </c>
      <c r="D335" s="199" t="s">
        <v>4461</v>
      </c>
      <c r="E335" s="100" t="s">
        <v>4462</v>
      </c>
    </row>
    <row r="336">
      <c r="A336" s="84" t="s">
        <v>1264</v>
      </c>
      <c r="B336" s="96" t="s">
        <v>3731</v>
      </c>
      <c r="C336" s="86" t="s">
        <v>4336</v>
      </c>
      <c r="D336" s="200" t="s">
        <v>4463</v>
      </c>
      <c r="E336" s="88" t="s">
        <v>4464</v>
      </c>
    </row>
    <row r="337">
      <c r="A337" s="84" t="s">
        <v>2971</v>
      </c>
      <c r="B337" s="96" t="s">
        <v>3899</v>
      </c>
      <c r="C337" s="86" t="s">
        <v>4465</v>
      </c>
      <c r="D337" s="199" t="s">
        <v>4466</v>
      </c>
      <c r="E337" s="100" t="s">
        <v>4467</v>
      </c>
    </row>
    <row r="338">
      <c r="A338" s="206" t="s">
        <v>2975</v>
      </c>
      <c r="B338" s="91"/>
      <c r="C338" s="93" t="s">
        <v>4051</v>
      </c>
      <c r="D338" s="200" t="s">
        <v>3740</v>
      </c>
      <c r="E338" s="160" t="s">
        <v>3596</v>
      </c>
    </row>
    <row r="339">
      <c r="A339" s="84" t="s">
        <v>2977</v>
      </c>
      <c r="B339" s="96" t="s">
        <v>4468</v>
      </c>
      <c r="C339" s="86" t="s">
        <v>3686</v>
      </c>
      <c r="D339" s="199" t="s">
        <v>3905</v>
      </c>
      <c r="E339" s="100" t="s">
        <v>4434</v>
      </c>
    </row>
    <row r="340">
      <c r="A340" s="84" t="s">
        <v>4469</v>
      </c>
      <c r="B340" s="96" t="s">
        <v>4470</v>
      </c>
      <c r="C340" s="86"/>
      <c r="D340" s="200" t="s">
        <v>3603</v>
      </c>
      <c r="E340" s="88" t="s">
        <v>4471</v>
      </c>
    </row>
    <row r="341">
      <c r="A341" s="84" t="s">
        <v>1266</v>
      </c>
      <c r="B341" s="96" t="s">
        <v>4472</v>
      </c>
      <c r="C341" s="86" t="s">
        <v>4473</v>
      </c>
      <c r="D341" s="199" t="s">
        <v>4474</v>
      </c>
      <c r="E341" s="100" t="s">
        <v>4475</v>
      </c>
    </row>
    <row r="342">
      <c r="A342" s="84" t="s">
        <v>1271</v>
      </c>
      <c r="B342" s="96" t="s">
        <v>3993</v>
      </c>
      <c r="C342" s="86" t="s">
        <v>4476</v>
      </c>
      <c r="D342" s="200" t="s">
        <v>4477</v>
      </c>
      <c r="E342" s="88" t="s">
        <v>4478</v>
      </c>
    </row>
    <row r="343">
      <c r="A343" s="84" t="s">
        <v>1272</v>
      </c>
      <c r="B343" s="96" t="s">
        <v>4479</v>
      </c>
      <c r="C343" s="86" t="s">
        <v>4480</v>
      </c>
      <c r="D343" s="199" t="s">
        <v>4481</v>
      </c>
      <c r="E343" s="100" t="s">
        <v>4482</v>
      </c>
    </row>
    <row r="344">
      <c r="A344" s="84" t="s">
        <v>1276</v>
      </c>
      <c r="B344" s="96" t="s">
        <v>4483</v>
      </c>
      <c r="C344" s="86" t="s">
        <v>4484</v>
      </c>
      <c r="D344" s="200" t="s">
        <v>4485</v>
      </c>
      <c r="E344" s="88" t="s">
        <v>4486</v>
      </c>
    </row>
    <row r="345">
      <c r="A345" s="84" t="s">
        <v>3005</v>
      </c>
      <c r="B345" s="96" t="s">
        <v>4487</v>
      </c>
      <c r="C345" s="86" t="s">
        <v>4488</v>
      </c>
      <c r="D345" s="199" t="s">
        <v>4489</v>
      </c>
      <c r="E345" s="100" t="s">
        <v>4490</v>
      </c>
    </row>
    <row r="346">
      <c r="A346" s="84" t="s">
        <v>3008</v>
      </c>
      <c r="B346" s="96"/>
      <c r="C346" s="86" t="s">
        <v>3595</v>
      </c>
      <c r="D346" s="200" t="s">
        <v>3436</v>
      </c>
      <c r="E346" s="160" t="s">
        <v>3596</v>
      </c>
    </row>
    <row r="347">
      <c r="A347" s="84" t="s">
        <v>3010</v>
      </c>
      <c r="B347" s="96" t="s">
        <v>4491</v>
      </c>
      <c r="C347" s="86" t="s">
        <v>3627</v>
      </c>
      <c r="D347" s="199" t="s">
        <v>3769</v>
      </c>
      <c r="E347" s="100" t="s">
        <v>4492</v>
      </c>
    </row>
    <row r="348">
      <c r="A348" s="84" t="s">
        <v>4493</v>
      </c>
      <c r="B348" s="96" t="s">
        <v>4494</v>
      </c>
      <c r="C348" s="86"/>
      <c r="D348" s="200" t="s">
        <v>3603</v>
      </c>
      <c r="E348" s="88" t="s">
        <v>4495</v>
      </c>
    </row>
    <row r="349">
      <c r="A349" s="84" t="s">
        <v>1279</v>
      </c>
      <c r="B349" s="96" t="s">
        <v>3934</v>
      </c>
      <c r="C349" s="86" t="s">
        <v>4496</v>
      </c>
      <c r="D349" s="199" t="s">
        <v>4497</v>
      </c>
      <c r="E349" s="100" t="s">
        <v>4498</v>
      </c>
    </row>
    <row r="350">
      <c r="A350" s="84" t="s">
        <v>1283</v>
      </c>
      <c r="B350" s="96" t="s">
        <v>3587</v>
      </c>
      <c r="C350" s="86" t="s">
        <v>4499</v>
      </c>
      <c r="D350" s="200" t="s">
        <v>4500</v>
      </c>
      <c r="E350" s="88" t="s">
        <v>4501</v>
      </c>
    </row>
    <row r="351">
      <c r="A351" s="84" t="s">
        <v>1284</v>
      </c>
      <c r="B351" s="96" t="s">
        <v>3579</v>
      </c>
      <c r="C351" s="86" t="s">
        <v>4087</v>
      </c>
      <c r="D351" s="199" t="s">
        <v>4502</v>
      </c>
      <c r="E351" s="100" t="s">
        <v>4503</v>
      </c>
    </row>
    <row r="352">
      <c r="A352" s="84" t="s">
        <v>1286</v>
      </c>
      <c r="B352" s="96" t="s">
        <v>3583</v>
      </c>
      <c r="C352" s="86" t="s">
        <v>4504</v>
      </c>
      <c r="D352" s="200" t="s">
        <v>4505</v>
      </c>
      <c r="E352" s="87" t="s">
        <v>4506</v>
      </c>
    </row>
    <row r="353">
      <c r="A353" s="84" t="s">
        <v>3040</v>
      </c>
      <c r="B353" s="96" t="s">
        <v>3591</v>
      </c>
      <c r="C353" s="86" t="s">
        <v>3592</v>
      </c>
      <c r="D353" s="199" t="s">
        <v>4507</v>
      </c>
      <c r="E353" s="100" t="s">
        <v>4508</v>
      </c>
    </row>
    <row r="354">
      <c r="A354" s="84" t="s">
        <v>3044</v>
      </c>
      <c r="B354" s="96"/>
      <c r="C354" s="86" t="s">
        <v>3595</v>
      </c>
      <c r="D354" s="200" t="s">
        <v>3436</v>
      </c>
      <c r="E354" s="160" t="s">
        <v>3596</v>
      </c>
    </row>
    <row r="355">
      <c r="A355" s="84" t="s">
        <v>3046</v>
      </c>
      <c r="B355" s="96" t="s">
        <v>4509</v>
      </c>
      <c r="C355" s="86" t="s">
        <v>3598</v>
      </c>
      <c r="D355" s="199" t="s">
        <v>3599</v>
      </c>
      <c r="E355" s="100" t="s">
        <v>4381</v>
      </c>
    </row>
    <row r="356">
      <c r="A356" s="84" t="s">
        <v>4510</v>
      </c>
      <c r="B356" s="96" t="s">
        <v>4511</v>
      </c>
      <c r="C356" s="86"/>
      <c r="D356" s="200" t="s">
        <v>3603</v>
      </c>
      <c r="E356" s="87" t="s">
        <v>4384</v>
      </c>
    </row>
    <row r="357">
      <c r="A357" s="84" t="s">
        <v>1289</v>
      </c>
      <c r="B357" s="96" t="s">
        <v>3605</v>
      </c>
      <c r="C357" s="86" t="s">
        <v>3606</v>
      </c>
      <c r="D357" s="199" t="s">
        <v>4512</v>
      </c>
      <c r="E357" s="100" t="s">
        <v>4513</v>
      </c>
    </row>
    <row r="358">
      <c r="A358" s="84" t="s">
        <v>1293</v>
      </c>
      <c r="B358" s="96" t="s">
        <v>3609</v>
      </c>
      <c r="C358" s="86" t="s">
        <v>3610</v>
      </c>
      <c r="D358" s="200" t="s">
        <v>4514</v>
      </c>
      <c r="E358" s="88" t="s">
        <v>4515</v>
      </c>
    </row>
    <row r="359">
      <c r="A359" s="84" t="s">
        <v>1296</v>
      </c>
      <c r="B359" s="96" t="s">
        <v>4259</v>
      </c>
      <c r="C359" s="86" t="s">
        <v>4105</v>
      </c>
      <c r="D359" s="199" t="s">
        <v>4516</v>
      </c>
      <c r="E359" s="100" t="s">
        <v>4517</v>
      </c>
    </row>
    <row r="360">
      <c r="A360" s="84" t="s">
        <v>1299</v>
      </c>
      <c r="B360" s="96" t="s">
        <v>3802</v>
      </c>
      <c r="C360" s="86" t="s">
        <v>3803</v>
      </c>
      <c r="D360" s="200" t="s">
        <v>4518</v>
      </c>
      <c r="E360" s="88" t="s">
        <v>4519</v>
      </c>
    </row>
    <row r="361">
      <c r="A361" s="84" t="s">
        <v>3068</v>
      </c>
      <c r="B361" s="96" t="s">
        <v>4520</v>
      </c>
      <c r="C361" s="86" t="s">
        <v>3962</v>
      </c>
      <c r="D361" s="199" t="s">
        <v>4521</v>
      </c>
      <c r="E361" s="100" t="s">
        <v>4522</v>
      </c>
    </row>
    <row r="362">
      <c r="A362" s="84" t="s">
        <v>3070</v>
      </c>
      <c r="B362" s="96"/>
      <c r="C362" s="86" t="s">
        <v>3595</v>
      </c>
      <c r="D362" s="200" t="s">
        <v>3965</v>
      </c>
      <c r="E362" s="160" t="s">
        <v>3596</v>
      </c>
    </row>
    <row r="363">
      <c r="A363" s="84" t="s">
        <v>3073</v>
      </c>
      <c r="B363" s="96" t="s">
        <v>4523</v>
      </c>
      <c r="C363" s="86" t="s">
        <v>3627</v>
      </c>
      <c r="D363" s="199" t="s">
        <v>3628</v>
      </c>
      <c r="E363" s="100" t="s">
        <v>4524</v>
      </c>
    </row>
    <row r="364">
      <c r="A364" s="84" t="s">
        <v>4525</v>
      </c>
      <c r="B364" s="96" t="s">
        <v>4526</v>
      </c>
      <c r="C364" s="86"/>
      <c r="D364" s="200" t="s">
        <v>3603</v>
      </c>
      <c r="E364" s="88" t="s">
        <v>4527</v>
      </c>
    </row>
    <row r="365">
      <c r="A365" s="84" t="s">
        <v>1302</v>
      </c>
      <c r="B365" s="96" t="s">
        <v>3633</v>
      </c>
      <c r="C365" s="86" t="s">
        <v>3634</v>
      </c>
      <c r="D365" s="199" t="s">
        <v>4528</v>
      </c>
      <c r="E365" s="100" t="s">
        <v>4529</v>
      </c>
    </row>
    <row r="366">
      <c r="A366" s="84" t="s">
        <v>1306</v>
      </c>
      <c r="B366" s="96" t="s">
        <v>4530</v>
      </c>
      <c r="C366" s="86" t="s">
        <v>4124</v>
      </c>
      <c r="D366" s="200" t="s">
        <v>4531</v>
      </c>
      <c r="E366" s="88" t="s">
        <v>4532</v>
      </c>
    </row>
    <row r="367">
      <c r="A367" s="84" t="s">
        <v>1308</v>
      </c>
      <c r="B367" s="96" t="s">
        <v>3701</v>
      </c>
      <c r="C367" s="86" t="s">
        <v>4533</v>
      </c>
      <c r="D367" s="199" t="s">
        <v>4534</v>
      </c>
      <c r="E367" s="100" t="s">
        <v>4535</v>
      </c>
    </row>
    <row r="368">
      <c r="A368" s="84" t="s">
        <v>1309</v>
      </c>
      <c r="B368" s="96" t="s">
        <v>4536</v>
      </c>
      <c r="C368" s="86" t="s">
        <v>4537</v>
      </c>
      <c r="D368" s="200" t="s">
        <v>4538</v>
      </c>
      <c r="E368" s="88" t="s">
        <v>4539</v>
      </c>
    </row>
    <row r="369">
      <c r="A369" s="84" t="s">
        <v>3101</v>
      </c>
      <c r="B369" s="96" t="s">
        <v>3649</v>
      </c>
      <c r="C369" s="86" t="s">
        <v>4540</v>
      </c>
      <c r="D369" s="199" t="s">
        <v>4541</v>
      </c>
      <c r="E369" s="100" t="s">
        <v>4542</v>
      </c>
    </row>
    <row r="370">
      <c r="A370" s="84" t="s">
        <v>3105</v>
      </c>
      <c r="B370" s="96"/>
      <c r="C370" s="86" t="s">
        <v>3653</v>
      </c>
      <c r="D370" s="200" t="s">
        <v>3436</v>
      </c>
      <c r="E370" s="160" t="s">
        <v>3596</v>
      </c>
    </row>
    <row r="371">
      <c r="A371" s="84" t="s">
        <v>3108</v>
      </c>
      <c r="B371" s="96" t="s">
        <v>4543</v>
      </c>
      <c r="C371" s="86" t="s">
        <v>3598</v>
      </c>
      <c r="D371" s="199" t="s">
        <v>3655</v>
      </c>
      <c r="E371" s="100" t="s">
        <v>4414</v>
      </c>
    </row>
    <row r="372">
      <c r="A372" s="84" t="s">
        <v>4544</v>
      </c>
      <c r="B372" s="96" t="s">
        <v>4545</v>
      </c>
      <c r="C372" s="86"/>
      <c r="D372" s="200" t="s">
        <v>3603</v>
      </c>
      <c r="E372" s="88" t="s">
        <v>4417</v>
      </c>
    </row>
    <row r="373">
      <c r="A373" s="84" t="s">
        <v>1311</v>
      </c>
      <c r="B373" s="96" t="s">
        <v>4418</v>
      </c>
      <c r="C373" s="86" t="s">
        <v>4292</v>
      </c>
      <c r="D373" s="199" t="s">
        <v>4546</v>
      </c>
      <c r="E373" s="100" t="s">
        <v>4547</v>
      </c>
    </row>
    <row r="374">
      <c r="A374" s="84" t="s">
        <v>1316</v>
      </c>
      <c r="B374" s="96" t="s">
        <v>3664</v>
      </c>
      <c r="C374" s="86" t="s">
        <v>3996</v>
      </c>
      <c r="D374" s="200" t="s">
        <v>4548</v>
      </c>
      <c r="E374" s="88" t="s">
        <v>4549</v>
      </c>
    </row>
    <row r="375">
      <c r="A375" s="84" t="s">
        <v>1317</v>
      </c>
      <c r="B375" s="96" t="s">
        <v>3668</v>
      </c>
      <c r="C375" s="86" t="s">
        <v>4423</v>
      </c>
      <c r="D375" s="199" t="s">
        <v>4550</v>
      </c>
      <c r="E375" s="100" t="s">
        <v>4551</v>
      </c>
    </row>
    <row r="376">
      <c r="A376" s="84" t="s">
        <v>1319</v>
      </c>
      <c r="B376" s="96" t="s">
        <v>3843</v>
      </c>
      <c r="C376" s="86" t="s">
        <v>4552</v>
      </c>
      <c r="D376" s="200" t="s">
        <v>4553</v>
      </c>
      <c r="E376" s="88" t="s">
        <v>4554</v>
      </c>
    </row>
    <row r="377">
      <c r="A377" s="84" t="s">
        <v>3132</v>
      </c>
      <c r="B377" s="96" t="s">
        <v>3675</v>
      </c>
      <c r="C377" s="86" t="s">
        <v>3676</v>
      </c>
      <c r="D377" s="199" t="s">
        <v>4555</v>
      </c>
      <c r="E377" s="100" t="s">
        <v>4556</v>
      </c>
    </row>
    <row r="378">
      <c r="A378" s="84" t="s">
        <v>3137</v>
      </c>
      <c r="B378" s="96" t="s">
        <v>3679</v>
      </c>
      <c r="C378" s="86" t="s">
        <v>3680</v>
      </c>
      <c r="D378" s="200" t="s">
        <v>3681</v>
      </c>
      <c r="E378" s="160" t="s">
        <v>4557</v>
      </c>
    </row>
    <row r="379">
      <c r="A379" s="84" t="s">
        <v>3141</v>
      </c>
      <c r="B379" s="96"/>
      <c r="C379" s="86" t="s">
        <v>3683</v>
      </c>
      <c r="D379" s="199" t="s">
        <v>3684</v>
      </c>
      <c r="E379" s="201" t="s">
        <v>3596</v>
      </c>
    </row>
    <row r="380">
      <c r="A380" s="84" t="s">
        <v>3144</v>
      </c>
      <c r="B380" s="96" t="s">
        <v>4558</v>
      </c>
      <c r="C380" s="86" t="s">
        <v>3686</v>
      </c>
      <c r="D380" s="200" t="s">
        <v>3687</v>
      </c>
      <c r="E380" s="88" t="s">
        <v>4434</v>
      </c>
    </row>
    <row r="381">
      <c r="A381" s="84" t="s">
        <v>4559</v>
      </c>
      <c r="B381" s="96" t="s">
        <v>4560</v>
      </c>
      <c r="C381" s="86"/>
      <c r="D381" s="199" t="s">
        <v>3691</v>
      </c>
      <c r="E381" s="100" t="s">
        <v>4437</v>
      </c>
    </row>
    <row r="382">
      <c r="A382" s="84" t="s">
        <v>1323</v>
      </c>
      <c r="B382" s="96" t="s">
        <v>3860</v>
      </c>
      <c r="C382" s="86" t="s">
        <v>4561</v>
      </c>
      <c r="D382" s="200" t="s">
        <v>4562</v>
      </c>
      <c r="E382" s="88" t="s">
        <v>4563</v>
      </c>
    </row>
    <row r="383">
      <c r="A383" s="84" t="s">
        <v>1327</v>
      </c>
      <c r="B383" s="96" t="s">
        <v>3817</v>
      </c>
      <c r="C383" s="86" t="s">
        <v>4564</v>
      </c>
      <c r="D383" s="199" t="s">
        <v>4565</v>
      </c>
      <c r="E383" s="100" t="s">
        <v>4566</v>
      </c>
    </row>
    <row r="384">
      <c r="A384" s="84" t="s">
        <v>1329</v>
      </c>
      <c r="B384" s="96" t="s">
        <v>4026</v>
      </c>
      <c r="C384" s="86" t="s">
        <v>4567</v>
      </c>
      <c r="D384" s="200" t="s">
        <v>4568</v>
      </c>
      <c r="E384" s="160" t="s">
        <v>4569</v>
      </c>
    </row>
    <row r="385">
      <c r="A385" s="84" t="s">
        <v>3169</v>
      </c>
      <c r="B385" s="96" t="s">
        <v>3705</v>
      </c>
      <c r="C385" s="86" t="s">
        <v>3706</v>
      </c>
      <c r="D385" s="199" t="s">
        <v>4570</v>
      </c>
      <c r="E385" s="100" t="s">
        <v>4571</v>
      </c>
    </row>
    <row r="386">
      <c r="A386" s="84" t="s">
        <v>3173</v>
      </c>
      <c r="B386" s="96"/>
      <c r="C386" s="86" t="s">
        <v>3878</v>
      </c>
      <c r="D386" s="200" t="s">
        <v>3710</v>
      </c>
      <c r="E386" s="160" t="s">
        <v>3596</v>
      </c>
    </row>
    <row r="387">
      <c r="A387" s="84" t="s">
        <v>3176</v>
      </c>
      <c r="B387" s="96" t="s">
        <v>4572</v>
      </c>
      <c r="C387" s="86" t="s">
        <v>3686</v>
      </c>
      <c r="D387" s="199" t="s">
        <v>3713</v>
      </c>
      <c r="E387" s="100" t="s">
        <v>4434</v>
      </c>
    </row>
    <row r="388">
      <c r="A388" s="84" t="s">
        <v>4573</v>
      </c>
      <c r="B388" s="96" t="s">
        <v>4574</v>
      </c>
      <c r="C388" s="86"/>
      <c r="D388" s="200" t="s">
        <v>3717</v>
      </c>
      <c r="E388" s="88" t="s">
        <v>4456</v>
      </c>
    </row>
    <row r="389">
      <c r="A389" s="84" t="s">
        <v>1333</v>
      </c>
      <c r="B389" s="96" t="s">
        <v>4192</v>
      </c>
      <c r="C389" s="86" t="s">
        <v>3887</v>
      </c>
      <c r="D389" s="207" t="s">
        <v>4575</v>
      </c>
      <c r="E389" s="100" t="s">
        <v>4576</v>
      </c>
    </row>
    <row r="390">
      <c r="A390" s="84" t="s">
        <v>1337</v>
      </c>
      <c r="B390" s="96" t="s">
        <v>3723</v>
      </c>
      <c r="C390" s="86" t="s">
        <v>4040</v>
      </c>
      <c r="D390" s="87" t="s">
        <v>4577</v>
      </c>
      <c r="E390" s="88" t="s">
        <v>4578</v>
      </c>
    </row>
    <row r="391">
      <c r="A391" s="84" t="s">
        <v>1338</v>
      </c>
      <c r="B391" s="96" t="s">
        <v>3727</v>
      </c>
      <c r="C391" s="86" t="s">
        <v>4043</v>
      </c>
      <c r="D391" s="207" t="s">
        <v>4579</v>
      </c>
      <c r="E391" s="100" t="s">
        <v>4462</v>
      </c>
    </row>
    <row r="392">
      <c r="A392" s="84" t="s">
        <v>1341</v>
      </c>
      <c r="B392" s="96" t="s">
        <v>4201</v>
      </c>
      <c r="C392" s="86" t="s">
        <v>4336</v>
      </c>
      <c r="D392" s="87" t="s">
        <v>4580</v>
      </c>
      <c r="E392" s="88" t="s">
        <v>4581</v>
      </c>
    </row>
    <row r="393">
      <c r="A393" s="84" t="s">
        <v>3200</v>
      </c>
      <c r="B393" s="96" t="s">
        <v>3899</v>
      </c>
      <c r="C393" s="86" t="s">
        <v>4582</v>
      </c>
      <c r="D393" s="199" t="s">
        <v>4583</v>
      </c>
      <c r="E393" s="201" t="s">
        <v>4584</v>
      </c>
    </row>
    <row r="394">
      <c r="A394" s="206" t="s">
        <v>3204</v>
      </c>
      <c r="B394" s="91"/>
      <c r="C394" s="93" t="s">
        <v>4051</v>
      </c>
      <c r="D394" s="208" t="s">
        <v>4585</v>
      </c>
      <c r="E394" s="160" t="s">
        <v>3596</v>
      </c>
    </row>
    <row r="395">
      <c r="A395" s="84" t="s">
        <v>3207</v>
      </c>
      <c r="B395" s="96" t="s">
        <v>4586</v>
      </c>
      <c r="C395" s="86" t="s">
        <v>3686</v>
      </c>
      <c r="D395" s="199" t="s">
        <v>3743</v>
      </c>
      <c r="E395" s="100" t="s">
        <v>4587</v>
      </c>
    </row>
    <row r="396">
      <c r="A396" s="84" t="s">
        <v>4588</v>
      </c>
      <c r="B396" s="96" t="s">
        <v>4589</v>
      </c>
      <c r="C396" s="86"/>
      <c r="D396" s="200" t="s">
        <v>3603</v>
      </c>
      <c r="E396" s="88" t="s">
        <v>4471</v>
      </c>
    </row>
    <row r="397">
      <c r="A397" s="84" t="s">
        <v>1344</v>
      </c>
      <c r="B397" s="96" t="s">
        <v>4590</v>
      </c>
      <c r="C397" s="86" t="s">
        <v>4591</v>
      </c>
      <c r="D397" s="199" t="s">
        <v>4592</v>
      </c>
      <c r="E397" s="100" t="s">
        <v>4593</v>
      </c>
    </row>
    <row r="398">
      <c r="A398" s="84" t="s">
        <v>1348</v>
      </c>
      <c r="B398" s="96" t="s">
        <v>4594</v>
      </c>
      <c r="C398" s="86" t="s">
        <v>4595</v>
      </c>
      <c r="D398" s="200" t="s">
        <v>4596</v>
      </c>
      <c r="E398" s="88" t="s">
        <v>4597</v>
      </c>
    </row>
    <row r="399">
      <c r="A399" s="84" t="s">
        <v>1349</v>
      </c>
      <c r="B399" s="96" t="s">
        <v>4065</v>
      </c>
      <c r="C399" s="86" t="s">
        <v>4598</v>
      </c>
      <c r="D399" s="199" t="s">
        <v>4599</v>
      </c>
      <c r="E399" s="100" t="s">
        <v>4600</v>
      </c>
    </row>
    <row r="400">
      <c r="A400" s="84" t="s">
        <v>1351</v>
      </c>
      <c r="B400" s="96" t="s">
        <v>4350</v>
      </c>
      <c r="C400" s="86" t="s">
        <v>4351</v>
      </c>
      <c r="D400" s="200" t="s">
        <v>4601</v>
      </c>
      <c r="E400" s="88" t="s">
        <v>4602</v>
      </c>
    </row>
    <row r="401">
      <c r="A401" s="84" t="s">
        <v>3232</v>
      </c>
      <c r="B401" s="96" t="s">
        <v>4603</v>
      </c>
      <c r="C401" s="86" t="s">
        <v>4604</v>
      </c>
      <c r="D401" s="199" t="s">
        <v>4605</v>
      </c>
      <c r="E401" s="100" t="s">
        <v>4606</v>
      </c>
    </row>
    <row r="402">
      <c r="A402" s="84" t="s">
        <v>3234</v>
      </c>
      <c r="B402" s="96"/>
      <c r="C402" s="86" t="s">
        <v>3595</v>
      </c>
      <c r="D402" s="200" t="s">
        <v>3436</v>
      </c>
      <c r="E402" s="160" t="s">
        <v>3596</v>
      </c>
    </row>
    <row r="403">
      <c r="A403" s="84" t="s">
        <v>3236</v>
      </c>
      <c r="B403" s="96" t="s">
        <v>4607</v>
      </c>
      <c r="C403" s="86" t="s">
        <v>3627</v>
      </c>
      <c r="D403" s="199" t="s">
        <v>3769</v>
      </c>
      <c r="E403" s="100" t="s">
        <v>4608</v>
      </c>
    </row>
    <row r="404">
      <c r="A404" s="206" t="s">
        <v>4609</v>
      </c>
      <c r="B404" s="96" t="s">
        <v>4610</v>
      </c>
      <c r="C404" s="86"/>
      <c r="D404" s="200" t="s">
        <v>3603</v>
      </c>
      <c r="E404" s="88" t="s">
        <v>4611</v>
      </c>
    </row>
    <row r="405" hidden="1">
      <c r="A405" s="84"/>
      <c r="B405" s="96"/>
      <c r="C405" s="86"/>
      <c r="D405" s="209"/>
      <c r="E405" s="210"/>
    </row>
    <row r="406" hidden="1">
      <c r="A406" s="84"/>
      <c r="B406" s="96"/>
      <c r="C406" s="86"/>
      <c r="D406" s="211"/>
      <c r="E406" s="212"/>
    </row>
    <row r="407" hidden="1">
      <c r="A407" s="84"/>
      <c r="B407" s="96"/>
      <c r="C407" s="86"/>
      <c r="D407" s="209"/>
      <c r="E407" s="213" t="s">
        <v>4612</v>
      </c>
    </row>
    <row r="408" hidden="1">
      <c r="A408" s="84"/>
      <c r="B408" s="96"/>
      <c r="C408" s="86"/>
      <c r="D408" s="211"/>
    </row>
    <row r="409" hidden="1">
      <c r="A409" s="84"/>
      <c r="B409" s="96"/>
      <c r="C409" s="86"/>
      <c r="D409" s="209"/>
      <c r="E409" s="213" t="s">
        <v>4613</v>
      </c>
    </row>
    <row r="410" hidden="1">
      <c r="A410" s="84"/>
      <c r="B410" s="96"/>
      <c r="C410" s="86"/>
      <c r="D410" s="211"/>
    </row>
    <row r="411" hidden="1">
      <c r="A411" s="84"/>
      <c r="B411" s="96"/>
      <c r="C411" s="86"/>
      <c r="D411" s="209"/>
    </row>
    <row r="412" hidden="1">
      <c r="A412" s="84"/>
      <c r="B412" s="96"/>
      <c r="C412" s="86"/>
      <c r="D412" s="211"/>
    </row>
    <row r="413" hidden="1">
      <c r="A413" s="84"/>
      <c r="B413" s="96"/>
      <c r="C413" s="86"/>
      <c r="D413" s="209"/>
    </row>
    <row r="414" hidden="1">
      <c r="A414" s="84"/>
      <c r="B414" s="96"/>
      <c r="C414" s="86"/>
      <c r="D414" s="211"/>
      <c r="E414" s="214"/>
    </row>
    <row r="415" hidden="1">
      <c r="A415" s="84"/>
      <c r="B415" s="96"/>
      <c r="C415" s="86"/>
      <c r="D415" s="209"/>
      <c r="E415" s="215"/>
    </row>
    <row r="416" hidden="1">
      <c r="A416" s="84"/>
      <c r="B416" s="96"/>
      <c r="C416" s="86"/>
      <c r="D416" s="211"/>
      <c r="E416" s="171"/>
    </row>
    <row r="417" hidden="1">
      <c r="A417" s="84"/>
      <c r="B417" s="96"/>
      <c r="C417" s="86"/>
      <c r="D417" s="209"/>
      <c r="E417" s="215"/>
    </row>
    <row r="418" hidden="1">
      <c r="A418" s="84"/>
      <c r="B418" s="96"/>
      <c r="C418" s="86"/>
      <c r="D418" s="211"/>
      <c r="E418" s="171"/>
    </row>
    <row r="419" hidden="1">
      <c r="A419" s="84"/>
      <c r="B419" s="96"/>
      <c r="C419" s="86"/>
      <c r="D419" s="209"/>
      <c r="E419" s="215"/>
    </row>
    <row r="420" hidden="1">
      <c r="A420" s="84"/>
      <c r="B420" s="96"/>
      <c r="C420" s="86"/>
      <c r="D420" s="211"/>
      <c r="E420" s="171"/>
    </row>
    <row r="421" hidden="1">
      <c r="A421" s="84"/>
      <c r="B421" s="96"/>
      <c r="C421" s="86"/>
      <c r="D421" s="209"/>
      <c r="E421" s="215"/>
    </row>
    <row r="422" hidden="1">
      <c r="A422" s="84"/>
      <c r="B422" s="96"/>
      <c r="C422" s="86"/>
      <c r="D422" s="211"/>
      <c r="E422" s="171"/>
    </row>
    <row r="423" hidden="1">
      <c r="A423" s="84"/>
      <c r="B423" s="96"/>
      <c r="C423" s="86"/>
      <c r="D423" s="209"/>
      <c r="E423" s="215"/>
    </row>
    <row r="424" hidden="1">
      <c r="A424" s="84"/>
      <c r="B424" s="96"/>
      <c r="C424" s="86"/>
      <c r="D424" s="211"/>
      <c r="E424" s="171"/>
    </row>
    <row r="425" hidden="1">
      <c r="A425" s="84"/>
      <c r="B425" s="96"/>
      <c r="C425" s="86"/>
      <c r="D425" s="209"/>
      <c r="E425" s="215"/>
    </row>
    <row r="426" hidden="1">
      <c r="A426" s="84"/>
      <c r="B426" s="96"/>
      <c r="C426" s="86"/>
      <c r="D426" s="211"/>
      <c r="E426" s="171"/>
    </row>
    <row r="427" hidden="1">
      <c r="A427" s="84"/>
      <c r="B427" s="96"/>
      <c r="C427" s="86"/>
      <c r="D427" s="209"/>
      <c r="E427" s="215"/>
    </row>
    <row r="428" hidden="1">
      <c r="A428" s="84"/>
      <c r="B428" s="96"/>
      <c r="C428" s="86"/>
      <c r="D428" s="211"/>
      <c r="E428" s="171"/>
    </row>
    <row r="429" hidden="1">
      <c r="A429" s="84"/>
      <c r="B429" s="96"/>
      <c r="C429" s="86"/>
      <c r="D429" s="209"/>
      <c r="E429" s="215"/>
    </row>
    <row r="430" hidden="1">
      <c r="A430" s="84"/>
      <c r="B430" s="96"/>
      <c r="C430" s="86"/>
      <c r="D430" s="211"/>
      <c r="E430" s="171"/>
    </row>
    <row r="431" hidden="1">
      <c r="A431" s="84"/>
      <c r="B431" s="96"/>
      <c r="C431" s="86"/>
      <c r="D431" s="209"/>
      <c r="E431" s="215"/>
    </row>
    <row r="432" hidden="1">
      <c r="A432" s="84"/>
      <c r="B432" s="96"/>
      <c r="C432" s="86"/>
      <c r="D432" s="211"/>
      <c r="E432" s="171"/>
    </row>
    <row r="433" hidden="1">
      <c r="A433" s="84"/>
      <c r="B433" s="96"/>
      <c r="C433" s="86"/>
      <c r="D433" s="209"/>
      <c r="E433" s="215"/>
    </row>
    <row r="434" hidden="1">
      <c r="A434" s="84"/>
      <c r="B434" s="96"/>
      <c r="C434" s="86"/>
      <c r="D434" s="211"/>
      <c r="E434" s="171"/>
    </row>
    <row r="435" hidden="1">
      <c r="A435" s="84"/>
      <c r="B435" s="96"/>
      <c r="C435" s="86"/>
      <c r="D435" s="209"/>
      <c r="E435" s="215"/>
    </row>
    <row r="436" hidden="1">
      <c r="A436" s="84"/>
      <c r="B436" s="96"/>
      <c r="C436" s="86"/>
      <c r="D436" s="211"/>
      <c r="E436" s="171"/>
    </row>
    <row r="437" hidden="1">
      <c r="A437" s="84"/>
      <c r="B437" s="96"/>
      <c r="C437" s="86"/>
      <c r="D437" s="209"/>
      <c r="E437" s="215"/>
    </row>
    <row r="438" hidden="1">
      <c r="A438" s="84"/>
      <c r="B438" s="96"/>
      <c r="C438" s="86"/>
      <c r="D438" s="211"/>
      <c r="E438" s="171"/>
    </row>
    <row r="439" hidden="1">
      <c r="A439" s="84"/>
      <c r="B439" s="96"/>
      <c r="C439" s="86"/>
      <c r="D439" s="209"/>
      <c r="E439" s="215"/>
    </row>
    <row r="440" hidden="1">
      <c r="A440" s="84"/>
      <c r="B440" s="96"/>
      <c r="C440" s="86"/>
      <c r="D440" s="211"/>
      <c r="E440" s="171"/>
    </row>
    <row r="441" hidden="1">
      <c r="A441" s="84"/>
      <c r="B441" s="96"/>
      <c r="C441" s="86"/>
      <c r="D441" s="209"/>
      <c r="E441" s="215"/>
    </row>
    <row r="442" hidden="1">
      <c r="A442" s="84"/>
      <c r="B442" s="96"/>
      <c r="C442" s="86"/>
      <c r="D442" s="211"/>
      <c r="E442" s="171"/>
    </row>
    <row r="443" hidden="1">
      <c r="A443" s="84"/>
      <c r="B443" s="96"/>
      <c r="C443" s="86"/>
      <c r="D443" s="209"/>
      <c r="E443" s="215"/>
    </row>
    <row r="444" hidden="1">
      <c r="A444" s="84"/>
      <c r="B444" s="96"/>
      <c r="C444" s="86"/>
      <c r="D444" s="211"/>
      <c r="E444" s="171"/>
    </row>
    <row r="445" hidden="1">
      <c r="A445" s="84"/>
      <c r="B445" s="96"/>
      <c r="C445" s="86"/>
      <c r="D445" s="209"/>
      <c r="E445" s="215"/>
    </row>
    <row r="446" hidden="1">
      <c r="A446" s="84"/>
      <c r="B446" s="96"/>
      <c r="C446" s="86"/>
      <c r="D446" s="211"/>
      <c r="E446" s="171"/>
    </row>
    <row r="447" hidden="1">
      <c r="A447" s="84"/>
      <c r="B447" s="96"/>
      <c r="C447" s="86"/>
      <c r="D447" s="209"/>
      <c r="E447" s="215"/>
    </row>
    <row r="448" hidden="1">
      <c r="A448" s="84"/>
      <c r="B448" s="96"/>
      <c r="C448" s="86"/>
      <c r="D448" s="211"/>
      <c r="E448" s="171"/>
    </row>
    <row r="449" hidden="1">
      <c r="A449" s="84"/>
      <c r="B449" s="96"/>
      <c r="C449" s="86"/>
      <c r="D449" s="209"/>
      <c r="E449" s="215"/>
    </row>
    <row r="450" hidden="1">
      <c r="A450" s="84"/>
      <c r="B450" s="96"/>
      <c r="C450" s="86"/>
      <c r="D450" s="211"/>
      <c r="E450" s="171"/>
    </row>
    <row r="451" hidden="1">
      <c r="A451" s="84"/>
      <c r="B451" s="96"/>
      <c r="C451" s="86"/>
      <c r="D451" s="209"/>
      <c r="E451" s="215"/>
    </row>
    <row r="452" hidden="1">
      <c r="A452" s="84"/>
      <c r="B452" s="96"/>
      <c r="C452" s="86"/>
      <c r="D452" s="211"/>
      <c r="E452" s="171"/>
    </row>
    <row r="453" hidden="1">
      <c r="A453" s="84"/>
      <c r="B453" s="96"/>
      <c r="C453" s="86"/>
      <c r="D453" s="209"/>
      <c r="E453" s="215"/>
    </row>
    <row r="454" hidden="1">
      <c r="A454" s="84"/>
      <c r="B454" s="96"/>
      <c r="C454" s="86"/>
      <c r="D454" s="211"/>
      <c r="E454" s="171"/>
    </row>
    <row r="455" hidden="1">
      <c r="A455" s="84"/>
      <c r="B455" s="96"/>
      <c r="C455" s="86"/>
      <c r="D455" s="209"/>
      <c r="E455" s="215"/>
    </row>
    <row r="456" hidden="1">
      <c r="A456" s="84"/>
      <c r="B456" s="96"/>
      <c r="C456" s="86"/>
      <c r="D456" s="211"/>
      <c r="E456" s="171"/>
    </row>
    <row r="457" hidden="1">
      <c r="A457" s="84"/>
      <c r="B457" s="96"/>
      <c r="C457" s="86"/>
      <c r="D457" s="209"/>
      <c r="E457" s="215"/>
    </row>
    <row r="458" hidden="1">
      <c r="A458" s="84"/>
      <c r="B458" s="96"/>
      <c r="C458" s="86"/>
      <c r="D458" s="211"/>
      <c r="E458" s="171"/>
    </row>
    <row r="459" hidden="1">
      <c r="A459" s="84"/>
      <c r="B459" s="96"/>
      <c r="C459" s="86"/>
      <c r="D459" s="209"/>
      <c r="E459" s="215"/>
    </row>
    <row r="460" hidden="1">
      <c r="A460" s="136"/>
      <c r="B460" s="96"/>
      <c r="C460" s="86"/>
      <c r="D460" s="211"/>
      <c r="E460" s="171"/>
    </row>
    <row r="461" hidden="1">
      <c r="A461" s="136"/>
      <c r="B461" s="96"/>
      <c r="C461" s="86"/>
      <c r="D461" s="209"/>
      <c r="E461" s="215"/>
    </row>
    <row r="462" hidden="1">
      <c r="A462" s="136"/>
      <c r="B462" s="96"/>
      <c r="C462" s="86"/>
      <c r="D462" s="211"/>
      <c r="E462" s="171"/>
    </row>
    <row r="463" hidden="1">
      <c r="A463" s="136"/>
      <c r="B463" s="96"/>
      <c r="C463" s="86"/>
      <c r="D463" s="209"/>
      <c r="E463" s="215"/>
    </row>
    <row r="464" hidden="1">
      <c r="A464" s="136"/>
      <c r="B464" s="96"/>
      <c r="C464" s="86"/>
      <c r="D464" s="211"/>
      <c r="E464" s="171"/>
    </row>
    <row r="465" hidden="1">
      <c r="A465" s="136"/>
      <c r="B465" s="96"/>
      <c r="C465" s="86"/>
      <c r="D465" s="209"/>
      <c r="E465" s="215"/>
    </row>
    <row r="466" hidden="1">
      <c r="A466" s="136"/>
      <c r="B466" s="96"/>
      <c r="C466" s="86"/>
      <c r="D466" s="211"/>
      <c r="E466" s="171"/>
    </row>
    <row r="467" hidden="1">
      <c r="A467" s="136"/>
      <c r="B467" s="96"/>
      <c r="C467" s="86"/>
      <c r="D467" s="209"/>
      <c r="E467" s="215"/>
    </row>
    <row r="468" hidden="1">
      <c r="A468" s="136"/>
      <c r="B468" s="96"/>
      <c r="C468" s="86"/>
      <c r="D468" s="211"/>
      <c r="E468" s="171"/>
    </row>
    <row r="469" hidden="1">
      <c r="A469" s="136"/>
      <c r="B469" s="96"/>
      <c r="C469" s="86"/>
      <c r="D469" s="209"/>
      <c r="E469" s="215"/>
    </row>
    <row r="470" hidden="1">
      <c r="A470" s="136"/>
      <c r="B470" s="96"/>
      <c r="C470" s="86"/>
      <c r="D470" s="211"/>
      <c r="E470" s="171"/>
    </row>
    <row r="471" hidden="1">
      <c r="A471" s="136"/>
      <c r="B471" s="96"/>
      <c r="C471" s="86"/>
      <c r="D471" s="209"/>
      <c r="E471" s="215"/>
    </row>
    <row r="472" hidden="1">
      <c r="A472" s="136"/>
      <c r="B472" s="96"/>
      <c r="C472" s="86"/>
      <c r="D472" s="211"/>
      <c r="E472" s="171"/>
    </row>
    <row r="473" hidden="1">
      <c r="A473" s="136"/>
      <c r="B473" s="96"/>
      <c r="C473" s="86"/>
      <c r="D473" s="209"/>
      <c r="E473" s="215"/>
    </row>
    <row r="474" hidden="1">
      <c r="A474" s="136"/>
      <c r="B474" s="96"/>
      <c r="C474" s="86"/>
      <c r="D474" s="211"/>
      <c r="E474" s="171"/>
    </row>
    <row r="475" hidden="1">
      <c r="A475" s="136"/>
      <c r="B475" s="96"/>
      <c r="C475" s="86"/>
      <c r="D475" s="209"/>
      <c r="E475" s="215"/>
    </row>
    <row r="476" hidden="1">
      <c r="A476" s="136"/>
      <c r="B476" s="96"/>
      <c r="C476" s="86"/>
      <c r="D476" s="211"/>
      <c r="E476" s="171"/>
    </row>
    <row r="477" hidden="1">
      <c r="A477" s="136"/>
      <c r="B477" s="96"/>
      <c r="C477" s="86"/>
      <c r="D477" s="209"/>
      <c r="E477" s="215"/>
    </row>
    <row r="478" hidden="1">
      <c r="A478" s="136"/>
      <c r="B478" s="96"/>
      <c r="C478" s="86"/>
      <c r="D478" s="211"/>
      <c r="E478" s="171"/>
    </row>
    <row r="479" hidden="1">
      <c r="A479" s="136"/>
      <c r="B479" s="96"/>
      <c r="C479" s="86"/>
      <c r="D479" s="209"/>
      <c r="E479" s="215"/>
    </row>
    <row r="480" hidden="1">
      <c r="A480" s="136"/>
      <c r="B480" s="96"/>
      <c r="C480" s="86"/>
      <c r="D480" s="211"/>
      <c r="E480" s="171"/>
    </row>
    <row r="481" hidden="1">
      <c r="A481" s="136"/>
      <c r="B481" s="96"/>
      <c r="C481" s="86"/>
      <c r="D481" s="209"/>
      <c r="E481" s="215"/>
    </row>
    <row r="482" hidden="1">
      <c r="A482" s="136"/>
      <c r="B482" s="96"/>
      <c r="C482" s="86"/>
      <c r="D482" s="211"/>
      <c r="E482" s="171"/>
    </row>
    <row r="483" hidden="1">
      <c r="A483" s="136"/>
      <c r="B483" s="96"/>
      <c r="C483" s="86"/>
      <c r="D483" s="209"/>
      <c r="E483" s="215"/>
    </row>
    <row r="484" hidden="1">
      <c r="A484" s="136"/>
      <c r="B484" s="96"/>
      <c r="C484" s="86"/>
      <c r="D484" s="211"/>
      <c r="E484" s="171"/>
    </row>
    <row r="485" hidden="1">
      <c r="A485" s="136"/>
      <c r="B485" s="96"/>
      <c r="C485" s="86"/>
      <c r="D485" s="209"/>
      <c r="E485" s="215"/>
    </row>
    <row r="486" hidden="1">
      <c r="A486" s="136"/>
      <c r="B486" s="96"/>
      <c r="C486" s="86"/>
      <c r="D486" s="211"/>
      <c r="E486" s="171"/>
    </row>
    <row r="487" hidden="1">
      <c r="A487" s="136"/>
      <c r="B487" s="96"/>
      <c r="C487" s="86"/>
      <c r="D487" s="209"/>
      <c r="E487" s="215"/>
    </row>
    <row r="488" hidden="1">
      <c r="A488" s="136"/>
      <c r="B488" s="96"/>
      <c r="C488" s="86"/>
      <c r="D488" s="211"/>
      <c r="E488" s="171"/>
    </row>
    <row r="489" hidden="1">
      <c r="A489" s="136"/>
      <c r="B489" s="96"/>
      <c r="C489" s="86"/>
      <c r="D489" s="209"/>
      <c r="E489" s="215"/>
    </row>
    <row r="490" hidden="1">
      <c r="A490" s="136"/>
      <c r="B490" s="96"/>
      <c r="C490" s="86"/>
      <c r="D490" s="211"/>
      <c r="E490" s="171"/>
    </row>
    <row r="491" hidden="1">
      <c r="A491" s="136"/>
      <c r="B491" s="96"/>
      <c r="C491" s="86"/>
      <c r="D491" s="209"/>
      <c r="E491" s="215"/>
    </row>
    <row r="492" hidden="1">
      <c r="A492" s="136"/>
      <c r="B492" s="96"/>
      <c r="C492" s="86"/>
      <c r="D492" s="211"/>
      <c r="E492" s="171"/>
    </row>
    <row r="493" hidden="1">
      <c r="A493" s="136"/>
      <c r="B493" s="96"/>
      <c r="C493" s="86"/>
      <c r="D493" s="209"/>
      <c r="E493" s="215"/>
    </row>
    <row r="494" hidden="1">
      <c r="A494" s="136"/>
      <c r="B494" s="96"/>
      <c r="C494" s="86"/>
      <c r="D494" s="211"/>
      <c r="E494" s="171"/>
    </row>
    <row r="495" hidden="1">
      <c r="A495" s="136"/>
      <c r="B495" s="96"/>
      <c r="C495" s="86"/>
      <c r="D495" s="209"/>
      <c r="E495" s="215"/>
    </row>
    <row r="496" hidden="1">
      <c r="A496" s="136"/>
      <c r="B496" s="96"/>
      <c r="C496" s="86"/>
      <c r="D496" s="211"/>
      <c r="E496" s="171"/>
    </row>
    <row r="497" hidden="1">
      <c r="A497" s="136"/>
      <c r="B497" s="96"/>
      <c r="C497" s="86"/>
      <c r="D497" s="209"/>
      <c r="E497" s="215"/>
    </row>
    <row r="498" hidden="1">
      <c r="A498" s="136"/>
      <c r="B498" s="96"/>
      <c r="C498" s="86"/>
      <c r="D498" s="211"/>
      <c r="E498" s="171"/>
    </row>
    <row r="499" hidden="1">
      <c r="A499" s="136"/>
      <c r="B499" s="96"/>
      <c r="C499" s="86"/>
      <c r="D499" s="209"/>
      <c r="E499" s="215"/>
    </row>
    <row r="500" hidden="1">
      <c r="A500" s="136"/>
      <c r="B500" s="96"/>
      <c r="C500" s="86"/>
      <c r="D500" s="211"/>
      <c r="E500" s="171"/>
    </row>
    <row r="501" hidden="1">
      <c r="A501" s="136"/>
      <c r="B501" s="96"/>
      <c r="C501" s="86"/>
      <c r="D501" s="209"/>
      <c r="E501" s="215"/>
    </row>
    <row r="502" hidden="1">
      <c r="A502" s="136"/>
      <c r="B502" s="96"/>
      <c r="C502" s="86"/>
      <c r="D502" s="211"/>
      <c r="E502" s="171"/>
    </row>
    <row r="503" hidden="1">
      <c r="A503" s="136"/>
      <c r="B503" s="96"/>
      <c r="C503" s="86"/>
      <c r="D503" s="209"/>
      <c r="E503" s="215"/>
    </row>
    <row r="504" hidden="1">
      <c r="A504" s="136"/>
      <c r="B504" s="96"/>
      <c r="C504" s="86"/>
      <c r="D504" s="211"/>
      <c r="E504" s="171"/>
    </row>
    <row r="505" hidden="1">
      <c r="A505" s="136"/>
      <c r="B505" s="96"/>
      <c r="C505" s="86"/>
      <c r="D505" s="209"/>
      <c r="E505" s="215"/>
    </row>
    <row r="506" hidden="1">
      <c r="A506" s="136"/>
      <c r="B506" s="96"/>
      <c r="C506" s="86"/>
      <c r="D506" s="211"/>
      <c r="E506" s="171"/>
    </row>
    <row r="507" hidden="1">
      <c r="A507" s="136"/>
      <c r="B507" s="96"/>
      <c r="C507" s="86"/>
      <c r="D507" s="209"/>
      <c r="E507" s="215"/>
    </row>
    <row r="508" hidden="1">
      <c r="A508" s="136"/>
      <c r="B508" s="96"/>
      <c r="C508" s="86"/>
      <c r="D508" s="211"/>
      <c r="E508" s="171"/>
    </row>
    <row r="509" hidden="1">
      <c r="A509" s="136"/>
      <c r="B509" s="96"/>
      <c r="C509" s="86"/>
      <c r="D509" s="209"/>
      <c r="E509" s="215"/>
    </row>
    <row r="510" hidden="1">
      <c r="A510" s="136"/>
      <c r="B510" s="96"/>
      <c r="C510" s="86"/>
      <c r="D510" s="211"/>
      <c r="E510" s="171"/>
    </row>
    <row r="511" hidden="1">
      <c r="A511" s="136"/>
      <c r="B511" s="96"/>
      <c r="C511" s="86"/>
      <c r="D511" s="209"/>
      <c r="E511" s="215"/>
    </row>
    <row r="512" hidden="1">
      <c r="A512" s="136"/>
      <c r="B512" s="96"/>
      <c r="C512" s="86"/>
      <c r="D512" s="211"/>
      <c r="E512" s="171"/>
    </row>
    <row r="513" hidden="1">
      <c r="A513" s="136"/>
      <c r="B513" s="96"/>
      <c r="C513" s="86"/>
      <c r="D513" s="209"/>
      <c r="E513" s="215"/>
    </row>
    <row r="514" hidden="1">
      <c r="A514" s="136"/>
      <c r="B514" s="96"/>
      <c r="C514" s="86"/>
      <c r="D514" s="211"/>
      <c r="E514" s="171"/>
    </row>
    <row r="515" hidden="1">
      <c r="A515" s="136"/>
      <c r="B515" s="96"/>
      <c r="C515" s="86"/>
      <c r="D515" s="209"/>
      <c r="E515" s="215"/>
    </row>
    <row r="516" hidden="1">
      <c r="A516" s="136"/>
      <c r="B516" s="96"/>
      <c r="C516" s="86"/>
      <c r="D516" s="211"/>
      <c r="E516" s="171"/>
    </row>
    <row r="517" hidden="1">
      <c r="A517" s="136"/>
      <c r="B517" s="96"/>
      <c r="C517" s="86"/>
      <c r="D517" s="209"/>
      <c r="E517" s="215"/>
    </row>
    <row r="518" hidden="1">
      <c r="A518" s="136"/>
      <c r="B518" s="96"/>
      <c r="C518" s="86"/>
      <c r="D518" s="211"/>
      <c r="E518" s="171"/>
    </row>
    <row r="519" hidden="1">
      <c r="A519" s="136"/>
      <c r="B519" s="96"/>
      <c r="C519" s="86"/>
      <c r="D519" s="209"/>
      <c r="E519" s="215"/>
    </row>
    <row r="520" hidden="1">
      <c r="A520" s="136"/>
      <c r="B520" s="96"/>
      <c r="C520" s="86"/>
      <c r="D520" s="211"/>
      <c r="E520" s="171"/>
    </row>
    <row r="521" hidden="1">
      <c r="A521" s="136"/>
      <c r="B521" s="96"/>
      <c r="C521" s="86"/>
      <c r="D521" s="209"/>
      <c r="E521" s="215"/>
    </row>
    <row r="522" hidden="1">
      <c r="A522" s="136"/>
      <c r="B522" s="96"/>
      <c r="C522" s="86"/>
      <c r="D522" s="211"/>
      <c r="E522" s="171"/>
    </row>
    <row r="523" hidden="1">
      <c r="A523" s="136"/>
      <c r="B523" s="96"/>
      <c r="C523" s="86"/>
      <c r="D523" s="209"/>
      <c r="E523" s="215"/>
    </row>
    <row r="524" hidden="1">
      <c r="A524" s="136"/>
      <c r="B524" s="96"/>
      <c r="C524" s="86"/>
      <c r="D524" s="211"/>
      <c r="E524" s="171"/>
    </row>
    <row r="525" hidden="1">
      <c r="A525" s="136"/>
      <c r="B525" s="96"/>
      <c r="C525" s="86"/>
      <c r="D525" s="209"/>
      <c r="E525" s="215"/>
    </row>
    <row r="526" hidden="1">
      <c r="A526" s="136"/>
      <c r="B526" s="96"/>
      <c r="C526" s="86"/>
      <c r="D526" s="211"/>
      <c r="E526" s="171"/>
    </row>
    <row r="527" hidden="1">
      <c r="A527" s="136"/>
      <c r="B527" s="96"/>
      <c r="C527" s="86"/>
      <c r="D527" s="209"/>
      <c r="E527" s="215"/>
    </row>
    <row r="528" hidden="1">
      <c r="A528" s="136"/>
      <c r="B528" s="96"/>
      <c r="C528" s="86"/>
      <c r="D528" s="211"/>
      <c r="E528" s="171"/>
    </row>
    <row r="529" hidden="1">
      <c r="A529" s="136"/>
      <c r="B529" s="96"/>
      <c r="C529" s="86"/>
      <c r="D529" s="209"/>
      <c r="E529" s="215"/>
    </row>
    <row r="530" hidden="1">
      <c r="A530" s="136"/>
      <c r="B530" s="96"/>
      <c r="C530" s="86"/>
      <c r="D530" s="211"/>
      <c r="E530" s="171"/>
    </row>
    <row r="531" hidden="1">
      <c r="A531" s="136"/>
      <c r="B531" s="96"/>
      <c r="C531" s="86"/>
      <c r="D531" s="209"/>
      <c r="E531" s="215"/>
    </row>
    <row r="532" hidden="1">
      <c r="A532" s="136"/>
      <c r="B532" s="96"/>
      <c r="C532" s="86"/>
      <c r="D532" s="211"/>
      <c r="E532" s="171"/>
    </row>
    <row r="533" hidden="1">
      <c r="A533" s="136"/>
      <c r="B533" s="96"/>
      <c r="C533" s="86"/>
      <c r="D533" s="209"/>
      <c r="E533" s="215"/>
    </row>
    <row r="534" hidden="1">
      <c r="A534" s="136"/>
      <c r="B534" s="96"/>
      <c r="C534" s="86"/>
      <c r="D534" s="211"/>
      <c r="E534" s="171"/>
    </row>
    <row r="535" hidden="1">
      <c r="A535" s="136"/>
      <c r="B535" s="96"/>
      <c r="C535" s="86"/>
      <c r="D535" s="209"/>
      <c r="E535" s="215"/>
    </row>
    <row r="536" hidden="1">
      <c r="A536" s="136"/>
      <c r="B536" s="96"/>
      <c r="C536" s="86"/>
      <c r="D536" s="211"/>
      <c r="E536" s="171"/>
    </row>
    <row r="537" hidden="1">
      <c r="A537" s="136"/>
      <c r="B537" s="96"/>
      <c r="C537" s="86"/>
      <c r="D537" s="209"/>
      <c r="E537" s="215"/>
    </row>
    <row r="538" hidden="1">
      <c r="A538" s="136"/>
      <c r="B538" s="96"/>
      <c r="C538" s="86"/>
      <c r="D538" s="211"/>
      <c r="E538" s="171"/>
    </row>
    <row r="539" hidden="1">
      <c r="A539" s="136"/>
      <c r="B539" s="96"/>
      <c r="C539" s="86"/>
      <c r="D539" s="209"/>
      <c r="E539" s="215"/>
    </row>
    <row r="540" hidden="1">
      <c r="A540" s="136"/>
      <c r="B540" s="96"/>
      <c r="C540" s="86"/>
      <c r="D540" s="211"/>
      <c r="E540" s="171"/>
    </row>
    <row r="541" hidden="1">
      <c r="A541" s="136"/>
      <c r="B541" s="96"/>
      <c r="C541" s="86"/>
      <c r="D541" s="209"/>
      <c r="E541" s="215"/>
    </row>
    <row r="542" hidden="1">
      <c r="A542" s="136"/>
      <c r="B542" s="96"/>
      <c r="C542" s="86"/>
      <c r="D542" s="211"/>
      <c r="E542" s="171"/>
    </row>
    <row r="543" hidden="1">
      <c r="A543" s="136"/>
      <c r="B543" s="96"/>
      <c r="C543" s="86"/>
      <c r="D543" s="209"/>
      <c r="E543" s="215"/>
    </row>
    <row r="544" hidden="1">
      <c r="A544" s="136"/>
      <c r="B544" s="96"/>
      <c r="C544" s="86"/>
      <c r="D544" s="211"/>
      <c r="E544" s="171"/>
    </row>
    <row r="545" hidden="1">
      <c r="A545" s="136"/>
      <c r="B545" s="96"/>
      <c r="C545" s="86"/>
      <c r="D545" s="209"/>
      <c r="E545" s="215"/>
    </row>
    <row r="546" hidden="1">
      <c r="A546" s="136"/>
      <c r="B546" s="96"/>
      <c r="C546" s="86"/>
      <c r="D546" s="211"/>
      <c r="E546" s="171"/>
    </row>
    <row r="547" hidden="1">
      <c r="A547" s="136"/>
      <c r="B547" s="96"/>
      <c r="C547" s="86"/>
      <c r="D547" s="209"/>
      <c r="E547" s="215"/>
    </row>
    <row r="548" hidden="1">
      <c r="A548" s="136"/>
      <c r="B548" s="96"/>
      <c r="C548" s="86"/>
      <c r="D548" s="211"/>
      <c r="E548" s="171"/>
    </row>
    <row r="549" hidden="1">
      <c r="A549" s="136"/>
      <c r="B549" s="96"/>
      <c r="C549" s="86"/>
      <c r="D549" s="209"/>
      <c r="E549" s="215"/>
    </row>
    <row r="550" hidden="1">
      <c r="A550" s="136"/>
      <c r="B550" s="96"/>
      <c r="C550" s="86"/>
      <c r="D550" s="211"/>
      <c r="E550" s="171"/>
    </row>
    <row r="551" hidden="1">
      <c r="A551" s="136"/>
      <c r="B551" s="96"/>
      <c r="C551" s="86"/>
      <c r="D551" s="209"/>
      <c r="E551" s="215"/>
    </row>
    <row r="552" hidden="1">
      <c r="A552" s="136"/>
      <c r="B552" s="96"/>
      <c r="C552" s="86"/>
      <c r="D552" s="211"/>
      <c r="E552" s="171"/>
    </row>
    <row r="553" hidden="1">
      <c r="A553" s="136"/>
      <c r="B553" s="96"/>
      <c r="C553" s="86"/>
      <c r="D553" s="209"/>
      <c r="E553" s="215"/>
    </row>
    <row r="554" hidden="1">
      <c r="A554" s="136"/>
      <c r="B554" s="96"/>
      <c r="C554" s="86"/>
      <c r="D554" s="211"/>
      <c r="E554" s="171"/>
    </row>
    <row r="555" hidden="1">
      <c r="A555" s="136"/>
      <c r="B555" s="96"/>
      <c r="C555" s="86"/>
      <c r="D555" s="209"/>
      <c r="E555" s="215"/>
    </row>
    <row r="556" hidden="1">
      <c r="A556" s="136"/>
      <c r="B556" s="96"/>
      <c r="C556" s="86"/>
      <c r="D556" s="211"/>
      <c r="E556" s="171"/>
    </row>
    <row r="557" hidden="1">
      <c r="A557" s="136"/>
      <c r="B557" s="96"/>
      <c r="C557" s="86"/>
      <c r="D557" s="209"/>
      <c r="E557" s="215"/>
    </row>
    <row r="558" hidden="1">
      <c r="A558" s="136"/>
      <c r="B558" s="96"/>
      <c r="C558" s="86"/>
      <c r="D558" s="211"/>
      <c r="E558" s="171"/>
    </row>
    <row r="559" hidden="1">
      <c r="A559" s="136"/>
      <c r="B559" s="96"/>
      <c r="C559" s="86"/>
      <c r="D559" s="209"/>
      <c r="E559" s="215"/>
    </row>
    <row r="560" hidden="1">
      <c r="A560" s="136"/>
      <c r="B560" s="96"/>
      <c r="C560" s="86"/>
      <c r="D560" s="211"/>
      <c r="E560" s="171"/>
    </row>
    <row r="561" hidden="1">
      <c r="A561" s="136"/>
      <c r="B561" s="96"/>
      <c r="C561" s="86"/>
      <c r="D561" s="209"/>
      <c r="E561" s="215"/>
    </row>
    <row r="562" hidden="1">
      <c r="A562" s="136"/>
      <c r="B562" s="96"/>
      <c r="C562" s="86"/>
      <c r="D562" s="211"/>
      <c r="E562" s="171"/>
    </row>
    <row r="563" hidden="1">
      <c r="A563" s="136"/>
      <c r="B563" s="96"/>
      <c r="C563" s="86"/>
      <c r="D563" s="209"/>
      <c r="E563" s="215"/>
    </row>
    <row r="564" hidden="1">
      <c r="A564" s="136"/>
      <c r="B564" s="96"/>
      <c r="C564" s="86"/>
      <c r="D564" s="211"/>
      <c r="E564" s="171"/>
    </row>
    <row r="565" hidden="1">
      <c r="A565" s="136"/>
      <c r="B565" s="96"/>
      <c r="C565" s="86"/>
      <c r="D565" s="209"/>
      <c r="E565" s="215"/>
    </row>
    <row r="566" hidden="1">
      <c r="A566" s="136"/>
      <c r="B566" s="96"/>
      <c r="C566" s="86"/>
      <c r="D566" s="211"/>
      <c r="E566" s="171"/>
    </row>
    <row r="567" hidden="1">
      <c r="A567" s="136"/>
      <c r="B567" s="96"/>
      <c r="C567" s="86"/>
      <c r="D567" s="209"/>
      <c r="E567" s="215"/>
    </row>
    <row r="568" hidden="1">
      <c r="A568" s="136"/>
      <c r="B568" s="96"/>
      <c r="C568" s="86"/>
      <c r="D568" s="211"/>
      <c r="E568" s="171"/>
    </row>
    <row r="569" hidden="1">
      <c r="A569" s="136"/>
      <c r="B569" s="96"/>
      <c r="C569" s="86"/>
      <c r="D569" s="209"/>
      <c r="E569" s="215"/>
    </row>
    <row r="570" hidden="1">
      <c r="A570" s="136"/>
      <c r="B570" s="96"/>
      <c r="C570" s="86"/>
      <c r="D570" s="211"/>
      <c r="E570" s="171"/>
    </row>
    <row r="571" hidden="1">
      <c r="A571" s="136"/>
      <c r="B571" s="96"/>
      <c r="C571" s="86"/>
      <c r="D571" s="209"/>
      <c r="E571" s="215"/>
    </row>
    <row r="572" hidden="1">
      <c r="A572" s="136"/>
      <c r="B572" s="96"/>
      <c r="C572" s="86"/>
      <c r="D572" s="211"/>
      <c r="E572" s="171"/>
    </row>
    <row r="573" hidden="1">
      <c r="A573" s="136"/>
      <c r="B573" s="96"/>
      <c r="C573" s="86"/>
      <c r="D573" s="209"/>
      <c r="E573" s="215"/>
    </row>
    <row r="574" hidden="1">
      <c r="A574" s="136"/>
      <c r="B574" s="96"/>
      <c r="C574" s="86"/>
      <c r="D574" s="211"/>
      <c r="E574" s="171"/>
    </row>
    <row r="575" hidden="1">
      <c r="A575" s="136"/>
      <c r="B575" s="96"/>
      <c r="C575" s="86"/>
      <c r="D575" s="209"/>
      <c r="E575" s="215"/>
    </row>
    <row r="576" hidden="1">
      <c r="A576" s="136"/>
      <c r="B576" s="96"/>
      <c r="C576" s="86"/>
      <c r="D576" s="211"/>
      <c r="E576" s="171"/>
    </row>
    <row r="577" hidden="1">
      <c r="A577" s="136"/>
      <c r="B577" s="96"/>
      <c r="C577" s="86"/>
      <c r="D577" s="209"/>
      <c r="E577" s="215"/>
    </row>
    <row r="578" hidden="1">
      <c r="A578" s="136"/>
      <c r="B578" s="96"/>
      <c r="C578" s="86"/>
      <c r="D578" s="211"/>
      <c r="E578" s="171"/>
    </row>
    <row r="579" hidden="1">
      <c r="A579" s="136"/>
      <c r="B579" s="96"/>
      <c r="C579" s="86"/>
      <c r="D579" s="209"/>
      <c r="E579" s="215"/>
    </row>
    <row r="580" hidden="1">
      <c r="A580" s="136"/>
      <c r="B580" s="96"/>
      <c r="C580" s="86"/>
      <c r="D580" s="211"/>
      <c r="E580" s="171"/>
    </row>
    <row r="581" hidden="1">
      <c r="A581" s="136"/>
      <c r="B581" s="96"/>
      <c r="C581" s="86"/>
      <c r="D581" s="209"/>
      <c r="E581" s="215"/>
    </row>
    <row r="582" hidden="1">
      <c r="A582" s="136"/>
      <c r="B582" s="96"/>
      <c r="C582" s="86"/>
      <c r="D582" s="211"/>
      <c r="E582" s="171"/>
    </row>
    <row r="583" hidden="1">
      <c r="A583" s="136"/>
      <c r="B583" s="96"/>
      <c r="C583" s="86"/>
      <c r="D583" s="209"/>
      <c r="E583" s="215"/>
    </row>
    <row r="584" hidden="1">
      <c r="A584" s="136"/>
      <c r="B584" s="96"/>
      <c r="C584" s="86"/>
      <c r="D584" s="211"/>
      <c r="E584" s="171"/>
    </row>
    <row r="585" hidden="1">
      <c r="A585" s="136"/>
      <c r="B585" s="96"/>
      <c r="C585" s="86"/>
      <c r="D585" s="209"/>
      <c r="E585" s="215"/>
    </row>
    <row r="586" hidden="1">
      <c r="A586" s="136"/>
      <c r="B586" s="96"/>
      <c r="C586" s="86"/>
      <c r="D586" s="211"/>
      <c r="E586" s="171"/>
    </row>
    <row r="587" hidden="1">
      <c r="A587" s="136"/>
      <c r="B587" s="96"/>
      <c r="C587" s="86"/>
      <c r="D587" s="209"/>
      <c r="E587" s="215"/>
    </row>
    <row r="588" hidden="1">
      <c r="A588" s="136"/>
      <c r="B588" s="96"/>
      <c r="C588" s="86"/>
      <c r="D588" s="211"/>
      <c r="E588" s="171"/>
    </row>
    <row r="589" hidden="1">
      <c r="A589" s="136"/>
      <c r="B589" s="96"/>
      <c r="C589" s="86"/>
      <c r="D589" s="209"/>
      <c r="E589" s="215"/>
    </row>
    <row r="590" hidden="1">
      <c r="A590" s="136"/>
      <c r="B590" s="96"/>
      <c r="C590" s="86"/>
      <c r="D590" s="211"/>
      <c r="E590" s="171"/>
    </row>
    <row r="591" hidden="1">
      <c r="A591" s="136"/>
      <c r="B591" s="96"/>
      <c r="C591" s="86"/>
      <c r="D591" s="209"/>
      <c r="E591" s="215"/>
    </row>
    <row r="592" hidden="1">
      <c r="A592" s="136"/>
      <c r="B592" s="96"/>
      <c r="C592" s="86"/>
      <c r="D592" s="211"/>
      <c r="E592" s="171"/>
    </row>
    <row r="593" hidden="1">
      <c r="A593" s="136"/>
      <c r="B593" s="96"/>
      <c r="C593" s="86"/>
      <c r="D593" s="209"/>
      <c r="E593" s="215"/>
    </row>
    <row r="594" hidden="1">
      <c r="A594" s="136"/>
      <c r="B594" s="96"/>
      <c r="C594" s="86"/>
      <c r="D594" s="211"/>
      <c r="E594" s="171"/>
    </row>
    <row r="595" hidden="1">
      <c r="A595" s="136"/>
      <c r="B595" s="96"/>
      <c r="C595" s="86"/>
      <c r="D595" s="209"/>
      <c r="E595" s="215"/>
    </row>
    <row r="596" hidden="1">
      <c r="A596" s="136"/>
      <c r="B596" s="96"/>
      <c r="C596" s="86"/>
      <c r="D596" s="211"/>
      <c r="E596" s="171"/>
    </row>
    <row r="597" hidden="1">
      <c r="A597" s="136"/>
      <c r="B597" s="96"/>
      <c r="C597" s="86"/>
      <c r="D597" s="209"/>
      <c r="E597" s="215"/>
    </row>
    <row r="598" hidden="1">
      <c r="A598" s="136"/>
      <c r="B598" s="96"/>
      <c r="C598" s="86"/>
      <c r="D598" s="211"/>
      <c r="E598" s="171"/>
    </row>
    <row r="599" hidden="1">
      <c r="A599" s="136"/>
      <c r="B599" s="96"/>
      <c r="C599" s="86"/>
      <c r="D599" s="209"/>
      <c r="E599" s="215"/>
    </row>
    <row r="600" hidden="1">
      <c r="A600" s="136"/>
      <c r="B600" s="96"/>
      <c r="C600" s="86"/>
      <c r="D600" s="211"/>
      <c r="E600" s="171"/>
    </row>
    <row r="601" hidden="1">
      <c r="A601" s="136"/>
      <c r="B601" s="96"/>
      <c r="C601" s="86"/>
      <c r="D601" s="209"/>
      <c r="E601" s="215"/>
    </row>
    <row r="602" hidden="1">
      <c r="A602" s="136"/>
      <c r="B602" s="96"/>
      <c r="C602" s="86"/>
      <c r="D602" s="211"/>
      <c r="E602" s="171"/>
    </row>
    <row r="603" hidden="1">
      <c r="A603" s="136"/>
      <c r="B603" s="96"/>
      <c r="C603" s="86"/>
      <c r="D603" s="209"/>
      <c r="E603" s="215"/>
    </row>
    <row r="604" hidden="1">
      <c r="A604" s="136"/>
      <c r="B604" s="96"/>
      <c r="C604" s="86"/>
      <c r="D604" s="211"/>
      <c r="E604" s="171"/>
    </row>
    <row r="605" hidden="1">
      <c r="A605" s="136"/>
      <c r="B605" s="96"/>
      <c r="C605" s="86"/>
      <c r="D605" s="209"/>
      <c r="E605" s="215"/>
    </row>
    <row r="606" hidden="1">
      <c r="A606" s="136"/>
      <c r="B606" s="96"/>
      <c r="C606" s="86"/>
      <c r="D606" s="211"/>
      <c r="E606" s="171"/>
    </row>
    <row r="607" hidden="1">
      <c r="A607" s="136"/>
      <c r="B607" s="96"/>
      <c r="C607" s="86"/>
      <c r="D607" s="209"/>
      <c r="E607" s="215"/>
    </row>
    <row r="608" hidden="1">
      <c r="A608" s="136"/>
      <c r="B608" s="96"/>
      <c r="C608" s="86"/>
      <c r="D608" s="211"/>
      <c r="E608" s="171"/>
    </row>
    <row r="609" hidden="1">
      <c r="A609" s="136"/>
      <c r="B609" s="96"/>
      <c r="C609" s="86"/>
      <c r="D609" s="209"/>
      <c r="E609" s="215"/>
    </row>
    <row r="610" hidden="1">
      <c r="A610" s="136"/>
      <c r="B610" s="96"/>
      <c r="C610" s="86"/>
      <c r="D610" s="211"/>
      <c r="E610" s="171"/>
    </row>
    <row r="611" hidden="1">
      <c r="A611" s="136"/>
      <c r="B611" s="96"/>
      <c r="C611" s="86"/>
      <c r="D611" s="209"/>
      <c r="E611" s="215"/>
    </row>
    <row r="612" hidden="1">
      <c r="A612" s="136"/>
      <c r="B612" s="96"/>
      <c r="C612" s="86"/>
      <c r="D612" s="211"/>
      <c r="E612" s="171"/>
    </row>
    <row r="613" hidden="1">
      <c r="A613" s="136"/>
      <c r="B613" s="96"/>
      <c r="C613" s="86"/>
      <c r="D613" s="209"/>
      <c r="E613" s="215"/>
    </row>
    <row r="614" hidden="1">
      <c r="A614" s="136"/>
      <c r="B614" s="96"/>
      <c r="C614" s="86"/>
      <c r="D614" s="211"/>
      <c r="E614" s="171"/>
    </row>
    <row r="615" hidden="1">
      <c r="A615" s="136"/>
      <c r="B615" s="96"/>
      <c r="C615" s="86"/>
      <c r="D615" s="209"/>
      <c r="E615" s="215"/>
    </row>
    <row r="616" hidden="1">
      <c r="A616" s="136"/>
      <c r="B616" s="96"/>
      <c r="C616" s="86"/>
      <c r="D616" s="211"/>
      <c r="E616" s="171"/>
    </row>
    <row r="617" hidden="1">
      <c r="A617" s="136"/>
      <c r="B617" s="96"/>
      <c r="C617" s="86"/>
      <c r="D617" s="209"/>
      <c r="E617" s="215"/>
    </row>
    <row r="618" hidden="1">
      <c r="A618" s="136"/>
      <c r="B618" s="96"/>
      <c r="C618" s="86"/>
      <c r="D618" s="211"/>
      <c r="E618" s="171"/>
    </row>
    <row r="619" hidden="1">
      <c r="A619" s="136"/>
      <c r="B619" s="96"/>
      <c r="C619" s="86"/>
      <c r="D619" s="209"/>
      <c r="E619" s="215"/>
    </row>
    <row r="620" hidden="1">
      <c r="A620" s="136"/>
      <c r="B620" s="96"/>
      <c r="C620" s="86"/>
      <c r="D620" s="211"/>
      <c r="E620" s="171"/>
    </row>
    <row r="621" hidden="1">
      <c r="A621" s="136"/>
      <c r="B621" s="96"/>
      <c r="C621" s="86"/>
      <c r="D621" s="209"/>
      <c r="E621" s="215"/>
    </row>
    <row r="622" hidden="1">
      <c r="A622" s="136"/>
      <c r="B622" s="96"/>
      <c r="C622" s="86"/>
      <c r="D622" s="211"/>
      <c r="E622" s="171"/>
    </row>
    <row r="623" hidden="1">
      <c r="A623" s="136"/>
      <c r="B623" s="96"/>
      <c r="C623" s="86"/>
      <c r="D623" s="209"/>
      <c r="E623" s="215"/>
    </row>
    <row r="624" hidden="1">
      <c r="A624" s="136"/>
      <c r="B624" s="96"/>
      <c r="C624" s="86"/>
      <c r="D624" s="211"/>
      <c r="E624" s="171"/>
    </row>
    <row r="625" hidden="1">
      <c r="A625" s="136"/>
      <c r="B625" s="96"/>
      <c r="C625" s="86"/>
      <c r="D625" s="209"/>
      <c r="E625" s="215"/>
    </row>
    <row r="626" hidden="1">
      <c r="A626" s="136"/>
      <c r="B626" s="96"/>
      <c r="C626" s="86"/>
      <c r="D626" s="211"/>
      <c r="E626" s="171"/>
    </row>
    <row r="627" hidden="1">
      <c r="A627" s="136"/>
      <c r="B627" s="96"/>
      <c r="C627" s="86"/>
      <c r="D627" s="209"/>
      <c r="E627" s="215"/>
    </row>
    <row r="628" hidden="1">
      <c r="A628" s="136"/>
      <c r="B628" s="96"/>
      <c r="C628" s="86"/>
      <c r="D628" s="211"/>
      <c r="E628" s="171"/>
    </row>
    <row r="629" hidden="1">
      <c r="A629" s="136"/>
      <c r="B629" s="96"/>
      <c r="C629" s="86"/>
      <c r="D629" s="209"/>
      <c r="E629" s="215"/>
    </row>
    <row r="630" hidden="1">
      <c r="A630" s="136"/>
      <c r="B630" s="96"/>
      <c r="C630" s="86"/>
      <c r="D630" s="211"/>
      <c r="E630" s="171"/>
    </row>
    <row r="631" hidden="1">
      <c r="A631" s="136"/>
      <c r="B631" s="96"/>
      <c r="C631" s="86"/>
      <c r="D631" s="209"/>
      <c r="E631" s="215"/>
    </row>
    <row r="632" hidden="1">
      <c r="A632" s="136"/>
      <c r="B632" s="96"/>
      <c r="C632" s="86"/>
      <c r="D632" s="211"/>
      <c r="E632" s="171"/>
    </row>
    <row r="633" hidden="1">
      <c r="A633" s="136"/>
      <c r="B633" s="96"/>
      <c r="C633" s="86"/>
      <c r="D633" s="209"/>
      <c r="E633" s="215"/>
    </row>
    <row r="634" hidden="1">
      <c r="A634" s="136"/>
      <c r="B634" s="96"/>
      <c r="C634" s="86"/>
      <c r="D634" s="211"/>
      <c r="E634" s="171"/>
    </row>
    <row r="635" hidden="1">
      <c r="A635" s="136"/>
      <c r="B635" s="96"/>
      <c r="C635" s="86"/>
      <c r="D635" s="209"/>
      <c r="E635" s="215"/>
    </row>
    <row r="636" hidden="1">
      <c r="A636" s="136"/>
      <c r="B636" s="96"/>
      <c r="C636" s="86"/>
      <c r="D636" s="211"/>
      <c r="E636" s="171"/>
    </row>
    <row r="637" hidden="1">
      <c r="A637" s="136"/>
      <c r="B637" s="96"/>
      <c r="C637" s="86"/>
      <c r="D637" s="209"/>
      <c r="E637" s="215"/>
    </row>
    <row r="638" hidden="1">
      <c r="A638" s="136"/>
      <c r="B638" s="96"/>
      <c r="C638" s="86"/>
      <c r="D638" s="211"/>
      <c r="E638" s="171"/>
    </row>
    <row r="639" hidden="1">
      <c r="A639" s="136"/>
      <c r="B639" s="96"/>
      <c r="C639" s="86"/>
      <c r="D639" s="209"/>
      <c r="E639" s="215"/>
    </row>
    <row r="640" hidden="1">
      <c r="A640" s="136"/>
      <c r="B640" s="96"/>
      <c r="C640" s="86"/>
      <c r="D640" s="211"/>
      <c r="E640" s="171"/>
    </row>
    <row r="641" hidden="1">
      <c r="A641" s="136"/>
      <c r="B641" s="96"/>
      <c r="C641" s="86"/>
      <c r="D641" s="209"/>
      <c r="E641" s="215"/>
    </row>
    <row r="642" hidden="1">
      <c r="A642" s="136"/>
      <c r="B642" s="96"/>
      <c r="C642" s="86"/>
      <c r="D642" s="211"/>
      <c r="E642" s="171"/>
    </row>
    <row r="643" hidden="1">
      <c r="A643" s="136"/>
      <c r="B643" s="96"/>
      <c r="C643" s="86"/>
      <c r="D643" s="209"/>
      <c r="E643" s="215"/>
    </row>
    <row r="644" hidden="1">
      <c r="A644" s="136"/>
      <c r="B644" s="96"/>
      <c r="C644" s="86"/>
      <c r="D644" s="211"/>
      <c r="E644" s="171"/>
    </row>
    <row r="645" hidden="1">
      <c r="A645" s="136"/>
      <c r="B645" s="96"/>
      <c r="C645" s="86"/>
      <c r="D645" s="209"/>
      <c r="E645" s="215"/>
    </row>
    <row r="646" hidden="1">
      <c r="A646" s="136"/>
      <c r="B646" s="96"/>
      <c r="C646" s="86"/>
      <c r="D646" s="211"/>
      <c r="E646" s="171"/>
    </row>
    <row r="647" hidden="1">
      <c r="A647" s="136"/>
      <c r="B647" s="96"/>
      <c r="C647" s="86"/>
      <c r="D647" s="209"/>
      <c r="E647" s="215"/>
    </row>
    <row r="648" hidden="1">
      <c r="A648" s="136"/>
      <c r="B648" s="96"/>
      <c r="C648" s="86"/>
      <c r="D648" s="211"/>
      <c r="E648" s="171"/>
    </row>
    <row r="649" hidden="1">
      <c r="A649" s="136"/>
      <c r="B649" s="96"/>
      <c r="C649" s="86"/>
      <c r="D649" s="209"/>
      <c r="E649" s="215"/>
    </row>
    <row r="650" hidden="1">
      <c r="A650" s="136"/>
      <c r="B650" s="96"/>
      <c r="C650" s="86"/>
      <c r="D650" s="211"/>
      <c r="E650" s="171"/>
    </row>
    <row r="651" hidden="1">
      <c r="A651" s="136"/>
      <c r="B651" s="96"/>
      <c r="C651" s="86"/>
      <c r="D651" s="209"/>
      <c r="E651" s="215"/>
    </row>
    <row r="652" hidden="1">
      <c r="A652" s="136"/>
      <c r="B652" s="96"/>
      <c r="C652" s="86"/>
      <c r="D652" s="211"/>
      <c r="E652" s="171"/>
    </row>
    <row r="653" hidden="1">
      <c r="A653" s="136"/>
      <c r="B653" s="96"/>
      <c r="C653" s="86"/>
      <c r="D653" s="209"/>
      <c r="E653" s="215"/>
    </row>
    <row r="654" hidden="1">
      <c r="A654" s="136"/>
      <c r="B654" s="96"/>
      <c r="C654" s="86"/>
      <c r="D654" s="211"/>
      <c r="E654" s="171"/>
    </row>
    <row r="655" hidden="1">
      <c r="A655" s="136"/>
      <c r="B655" s="96"/>
      <c r="C655" s="86"/>
      <c r="D655" s="209"/>
      <c r="E655" s="215"/>
    </row>
    <row r="656" hidden="1">
      <c r="A656" s="136"/>
      <c r="B656" s="96"/>
      <c r="C656" s="86"/>
      <c r="D656" s="211"/>
      <c r="E656" s="171"/>
    </row>
    <row r="657" hidden="1">
      <c r="A657" s="136"/>
      <c r="B657" s="96"/>
      <c r="C657" s="86"/>
      <c r="D657" s="209"/>
      <c r="E657" s="215"/>
    </row>
    <row r="658" hidden="1">
      <c r="A658" s="136"/>
      <c r="B658" s="96"/>
      <c r="C658" s="86"/>
      <c r="D658" s="211"/>
      <c r="E658" s="171"/>
    </row>
    <row r="659" hidden="1">
      <c r="A659" s="136"/>
      <c r="B659" s="96"/>
      <c r="C659" s="86"/>
      <c r="D659" s="209"/>
      <c r="E659" s="215"/>
    </row>
    <row r="660" hidden="1">
      <c r="A660" s="136"/>
      <c r="B660" s="96"/>
      <c r="C660" s="86"/>
      <c r="D660" s="211"/>
      <c r="E660" s="171"/>
    </row>
    <row r="661" hidden="1">
      <c r="A661" s="136"/>
      <c r="B661" s="96"/>
      <c r="C661" s="86"/>
      <c r="D661" s="209"/>
      <c r="E661" s="215"/>
    </row>
    <row r="662" hidden="1">
      <c r="A662" s="136"/>
      <c r="B662" s="96"/>
      <c r="C662" s="86"/>
      <c r="D662" s="211"/>
      <c r="E662" s="171"/>
    </row>
    <row r="663" hidden="1">
      <c r="A663" s="136"/>
      <c r="B663" s="96"/>
      <c r="C663" s="86"/>
      <c r="D663" s="209"/>
      <c r="E663" s="215"/>
    </row>
    <row r="664" hidden="1">
      <c r="A664" s="136"/>
      <c r="B664" s="96"/>
      <c r="C664" s="86"/>
      <c r="D664" s="211"/>
      <c r="E664" s="171"/>
    </row>
    <row r="665" hidden="1">
      <c r="A665" s="136"/>
      <c r="B665" s="96"/>
      <c r="C665" s="86"/>
      <c r="D665" s="209"/>
      <c r="E665" s="215"/>
    </row>
    <row r="666" hidden="1">
      <c r="A666" s="136"/>
      <c r="B666" s="96"/>
      <c r="C666" s="86"/>
      <c r="D666" s="211"/>
      <c r="E666" s="171"/>
    </row>
    <row r="667" hidden="1">
      <c r="A667" s="136"/>
      <c r="B667" s="96"/>
      <c r="C667" s="86"/>
      <c r="D667" s="209"/>
      <c r="E667" s="215"/>
    </row>
    <row r="668" hidden="1">
      <c r="A668" s="136"/>
      <c r="B668" s="96"/>
      <c r="C668" s="86"/>
      <c r="D668" s="211"/>
      <c r="E668" s="171"/>
    </row>
    <row r="669" hidden="1">
      <c r="A669" s="136"/>
      <c r="B669" s="96"/>
      <c r="C669" s="86"/>
      <c r="D669" s="209"/>
      <c r="E669" s="215"/>
    </row>
    <row r="670" hidden="1">
      <c r="A670" s="136"/>
      <c r="B670" s="96"/>
      <c r="C670" s="86"/>
      <c r="D670" s="211"/>
      <c r="E670" s="171"/>
    </row>
    <row r="671" hidden="1">
      <c r="A671" s="136"/>
      <c r="B671" s="96"/>
      <c r="C671" s="86"/>
      <c r="D671" s="209"/>
      <c r="E671" s="215"/>
    </row>
    <row r="672" hidden="1">
      <c r="A672" s="136"/>
      <c r="B672" s="96"/>
      <c r="C672" s="86"/>
      <c r="D672" s="211"/>
      <c r="E672" s="171"/>
    </row>
    <row r="673" hidden="1">
      <c r="A673" s="136"/>
      <c r="B673" s="96"/>
      <c r="C673" s="86"/>
      <c r="D673" s="209"/>
      <c r="E673" s="215"/>
    </row>
    <row r="674" hidden="1">
      <c r="A674" s="136"/>
      <c r="B674" s="96"/>
      <c r="C674" s="86"/>
      <c r="D674" s="211"/>
      <c r="E674" s="171"/>
    </row>
    <row r="675" hidden="1">
      <c r="A675" s="136"/>
      <c r="B675" s="96"/>
      <c r="C675" s="86"/>
      <c r="D675" s="209"/>
      <c r="E675" s="215"/>
    </row>
    <row r="676" hidden="1">
      <c r="A676" s="136"/>
      <c r="B676" s="96"/>
      <c r="C676" s="86"/>
      <c r="D676" s="211"/>
      <c r="E676" s="171"/>
    </row>
    <row r="677" hidden="1">
      <c r="A677" s="136"/>
      <c r="B677" s="96"/>
      <c r="C677" s="86"/>
      <c r="D677" s="209"/>
      <c r="E677" s="215"/>
    </row>
    <row r="678" hidden="1">
      <c r="A678" s="136"/>
      <c r="B678" s="96"/>
      <c r="C678" s="86"/>
      <c r="D678" s="211"/>
      <c r="E678" s="171"/>
    </row>
    <row r="679" hidden="1">
      <c r="A679" s="136"/>
      <c r="B679" s="96"/>
      <c r="C679" s="86"/>
      <c r="D679" s="209"/>
      <c r="E679" s="215"/>
    </row>
    <row r="680" hidden="1">
      <c r="A680" s="136"/>
      <c r="B680" s="96"/>
      <c r="C680" s="86"/>
      <c r="D680" s="211"/>
      <c r="E680" s="171"/>
    </row>
    <row r="681" hidden="1">
      <c r="A681" s="136"/>
      <c r="B681" s="96"/>
      <c r="C681" s="86"/>
      <c r="D681" s="209"/>
      <c r="E681" s="215"/>
    </row>
    <row r="682" hidden="1">
      <c r="A682" s="136"/>
      <c r="B682" s="96"/>
      <c r="C682" s="86"/>
      <c r="D682" s="211"/>
      <c r="E682" s="171"/>
    </row>
    <row r="683" hidden="1">
      <c r="A683" s="136"/>
      <c r="B683" s="96"/>
      <c r="C683" s="86"/>
      <c r="D683" s="209"/>
      <c r="E683" s="215"/>
    </row>
    <row r="684" hidden="1">
      <c r="A684" s="136"/>
      <c r="B684" s="96"/>
      <c r="C684" s="86"/>
      <c r="D684" s="211"/>
      <c r="E684" s="171"/>
    </row>
    <row r="685" hidden="1">
      <c r="A685" s="136"/>
      <c r="B685" s="96"/>
      <c r="C685" s="86"/>
      <c r="D685" s="209"/>
      <c r="E685" s="215"/>
    </row>
    <row r="686" hidden="1">
      <c r="A686" s="136"/>
      <c r="B686" s="96"/>
      <c r="C686" s="86"/>
      <c r="D686" s="211"/>
      <c r="E686" s="171"/>
    </row>
    <row r="687" hidden="1">
      <c r="A687" s="136"/>
      <c r="B687" s="96"/>
      <c r="C687" s="86"/>
      <c r="D687" s="209"/>
      <c r="E687" s="215"/>
    </row>
    <row r="688" hidden="1">
      <c r="A688" s="136"/>
      <c r="B688" s="96"/>
      <c r="C688" s="86"/>
      <c r="D688" s="211"/>
      <c r="E688" s="171"/>
    </row>
    <row r="689" hidden="1">
      <c r="A689" s="136"/>
      <c r="B689" s="96"/>
      <c r="C689" s="86"/>
      <c r="D689" s="209"/>
      <c r="E689" s="215"/>
    </row>
    <row r="690" hidden="1">
      <c r="A690" s="136"/>
      <c r="B690" s="96"/>
      <c r="C690" s="86"/>
      <c r="D690" s="211"/>
      <c r="E690" s="171"/>
    </row>
    <row r="691" hidden="1">
      <c r="A691" s="136"/>
      <c r="B691" s="96"/>
      <c r="C691" s="86"/>
      <c r="D691" s="209"/>
      <c r="E691" s="215"/>
    </row>
    <row r="692" hidden="1">
      <c r="A692" s="136"/>
      <c r="B692" s="96"/>
      <c r="C692" s="86"/>
      <c r="D692" s="211"/>
      <c r="E692" s="171"/>
    </row>
    <row r="693" hidden="1">
      <c r="A693" s="136"/>
      <c r="B693" s="96"/>
      <c r="C693" s="86"/>
      <c r="D693" s="209"/>
      <c r="E693" s="215"/>
    </row>
    <row r="694" hidden="1">
      <c r="A694" s="136"/>
      <c r="B694" s="96"/>
      <c r="C694" s="86"/>
      <c r="D694" s="211"/>
      <c r="E694" s="171"/>
    </row>
    <row r="695" hidden="1">
      <c r="A695" s="136"/>
      <c r="B695" s="96"/>
      <c r="C695" s="86"/>
      <c r="D695" s="209"/>
      <c r="E695" s="215"/>
    </row>
    <row r="696" hidden="1">
      <c r="A696" s="136"/>
      <c r="B696" s="96"/>
      <c r="C696" s="86"/>
      <c r="D696" s="211"/>
      <c r="E696" s="171"/>
    </row>
    <row r="697" hidden="1">
      <c r="A697" s="136"/>
      <c r="B697" s="96"/>
      <c r="C697" s="86"/>
      <c r="D697" s="209"/>
      <c r="E697" s="215"/>
    </row>
    <row r="698" hidden="1">
      <c r="A698" s="136"/>
      <c r="B698" s="96"/>
      <c r="C698" s="86"/>
      <c r="D698" s="211"/>
      <c r="E698" s="171"/>
    </row>
    <row r="699" hidden="1">
      <c r="A699" s="136"/>
      <c r="B699" s="96"/>
      <c r="C699" s="86"/>
      <c r="D699" s="209"/>
      <c r="E699" s="215"/>
    </row>
    <row r="700" hidden="1">
      <c r="A700" s="136"/>
      <c r="B700" s="96"/>
      <c r="C700" s="86"/>
      <c r="D700" s="211"/>
      <c r="E700" s="171"/>
    </row>
    <row r="701" hidden="1">
      <c r="A701" s="136"/>
      <c r="B701" s="96"/>
      <c r="C701" s="86"/>
      <c r="D701" s="209"/>
      <c r="E701" s="215"/>
    </row>
    <row r="702" hidden="1">
      <c r="A702" s="136"/>
      <c r="B702" s="96"/>
      <c r="C702" s="86"/>
      <c r="D702" s="211"/>
      <c r="E702" s="171"/>
    </row>
    <row r="703" hidden="1">
      <c r="A703" s="136"/>
      <c r="B703" s="96"/>
      <c r="C703" s="86"/>
      <c r="D703" s="209"/>
      <c r="E703" s="215"/>
    </row>
    <row r="704" hidden="1">
      <c r="A704" s="136"/>
      <c r="B704" s="96"/>
      <c r="C704" s="86"/>
      <c r="D704" s="211"/>
      <c r="E704" s="171"/>
    </row>
    <row r="705" hidden="1">
      <c r="A705" s="136"/>
      <c r="B705" s="96"/>
      <c r="C705" s="86"/>
      <c r="D705" s="209"/>
      <c r="E705" s="215"/>
    </row>
    <row r="706" hidden="1">
      <c r="A706" s="136"/>
      <c r="B706" s="96"/>
      <c r="C706" s="86"/>
      <c r="D706" s="211"/>
      <c r="E706" s="171"/>
    </row>
    <row r="707" hidden="1">
      <c r="A707" s="136"/>
      <c r="B707" s="96"/>
      <c r="C707" s="86"/>
      <c r="D707" s="209"/>
      <c r="E707" s="215"/>
    </row>
    <row r="708" hidden="1">
      <c r="A708" s="136"/>
      <c r="B708" s="96"/>
      <c r="C708" s="86"/>
      <c r="D708" s="211"/>
      <c r="E708" s="171"/>
    </row>
    <row r="709" hidden="1">
      <c r="A709" s="136"/>
      <c r="B709" s="96"/>
      <c r="C709" s="86"/>
      <c r="D709" s="209"/>
      <c r="E709" s="215"/>
    </row>
    <row r="710" hidden="1">
      <c r="A710" s="136"/>
      <c r="B710" s="96"/>
      <c r="C710" s="86"/>
      <c r="D710" s="211"/>
      <c r="E710" s="171"/>
    </row>
    <row r="711" hidden="1">
      <c r="A711" s="136"/>
      <c r="B711" s="96"/>
      <c r="C711" s="86"/>
      <c r="D711" s="209"/>
      <c r="E711" s="215"/>
    </row>
    <row r="712" hidden="1">
      <c r="A712" s="136"/>
      <c r="B712" s="96"/>
      <c r="C712" s="86"/>
      <c r="D712" s="211"/>
      <c r="E712" s="171"/>
    </row>
    <row r="713" hidden="1">
      <c r="A713" s="136"/>
      <c r="B713" s="96"/>
      <c r="C713" s="86"/>
      <c r="D713" s="209"/>
      <c r="E713" s="215"/>
    </row>
    <row r="714" hidden="1">
      <c r="A714" s="136"/>
      <c r="B714" s="96"/>
      <c r="C714" s="86"/>
      <c r="D714" s="211"/>
      <c r="E714" s="171"/>
    </row>
    <row r="715" hidden="1">
      <c r="A715" s="136"/>
      <c r="B715" s="96"/>
      <c r="C715" s="86"/>
      <c r="D715" s="209"/>
      <c r="E715" s="215"/>
    </row>
    <row r="716" hidden="1">
      <c r="A716" s="136"/>
      <c r="B716" s="96"/>
      <c r="C716" s="86"/>
      <c r="D716" s="211"/>
      <c r="E716" s="171"/>
    </row>
    <row r="717" hidden="1">
      <c r="A717" s="136"/>
      <c r="B717" s="96"/>
      <c r="C717" s="86"/>
      <c r="D717" s="209"/>
      <c r="E717" s="215"/>
    </row>
    <row r="718" hidden="1">
      <c r="A718" s="136"/>
      <c r="B718" s="96"/>
      <c r="C718" s="86"/>
      <c r="D718" s="211"/>
      <c r="E718" s="171"/>
    </row>
    <row r="719" hidden="1">
      <c r="A719" s="136"/>
      <c r="B719" s="96"/>
      <c r="C719" s="86"/>
      <c r="D719" s="209"/>
      <c r="E719" s="215"/>
    </row>
    <row r="720" hidden="1">
      <c r="A720" s="136"/>
      <c r="B720" s="96"/>
      <c r="C720" s="86"/>
      <c r="D720" s="211"/>
      <c r="E720" s="171"/>
    </row>
    <row r="721" hidden="1">
      <c r="A721" s="136"/>
      <c r="B721" s="96"/>
      <c r="C721" s="86"/>
      <c r="D721" s="209"/>
      <c r="E721" s="215"/>
    </row>
    <row r="722" hidden="1">
      <c r="A722" s="136"/>
      <c r="B722" s="96"/>
      <c r="C722" s="86"/>
      <c r="D722" s="211"/>
      <c r="E722" s="171"/>
    </row>
    <row r="723" hidden="1">
      <c r="A723" s="136"/>
      <c r="B723" s="96"/>
      <c r="C723" s="86"/>
      <c r="D723" s="209"/>
      <c r="E723" s="215"/>
    </row>
    <row r="724" hidden="1">
      <c r="A724" s="136"/>
      <c r="B724" s="96"/>
      <c r="C724" s="86"/>
      <c r="D724" s="211"/>
      <c r="E724" s="171"/>
    </row>
    <row r="725" hidden="1">
      <c r="A725" s="136"/>
      <c r="B725" s="96"/>
      <c r="C725" s="86"/>
      <c r="D725" s="209"/>
      <c r="E725" s="215"/>
    </row>
    <row r="726" hidden="1">
      <c r="A726" s="136"/>
      <c r="B726" s="96"/>
      <c r="C726" s="86"/>
      <c r="D726" s="211"/>
      <c r="E726" s="171"/>
    </row>
    <row r="727" hidden="1">
      <c r="A727" s="136"/>
      <c r="B727" s="96"/>
      <c r="C727" s="86"/>
      <c r="D727" s="209"/>
      <c r="E727" s="215"/>
    </row>
    <row r="728" hidden="1">
      <c r="A728" s="136"/>
      <c r="B728" s="96"/>
      <c r="C728" s="86"/>
      <c r="D728" s="211"/>
      <c r="E728" s="171"/>
    </row>
    <row r="729" hidden="1">
      <c r="A729" s="136"/>
      <c r="B729" s="96"/>
      <c r="C729" s="86"/>
      <c r="D729" s="209"/>
      <c r="E729" s="215"/>
    </row>
    <row r="730" hidden="1">
      <c r="A730" s="136"/>
      <c r="B730" s="96"/>
      <c r="C730" s="86"/>
      <c r="D730" s="211"/>
      <c r="E730" s="171"/>
    </row>
    <row r="731" hidden="1">
      <c r="A731" s="136"/>
      <c r="B731" s="96"/>
      <c r="C731" s="86"/>
      <c r="D731" s="209"/>
      <c r="E731" s="215"/>
    </row>
    <row r="732" hidden="1">
      <c r="A732" s="136"/>
      <c r="B732" s="96"/>
      <c r="C732" s="86"/>
      <c r="D732" s="211"/>
      <c r="E732" s="171"/>
    </row>
    <row r="733" hidden="1">
      <c r="A733" s="136"/>
      <c r="B733" s="96"/>
      <c r="C733" s="86"/>
      <c r="D733" s="209"/>
      <c r="E733" s="215"/>
    </row>
    <row r="734" hidden="1">
      <c r="A734" s="136"/>
      <c r="B734" s="96"/>
      <c r="C734" s="86"/>
      <c r="D734" s="211"/>
      <c r="E734" s="171"/>
    </row>
    <row r="735" hidden="1">
      <c r="A735" s="136"/>
      <c r="B735" s="96"/>
      <c r="C735" s="86"/>
      <c r="D735" s="209"/>
      <c r="E735" s="215"/>
    </row>
    <row r="736" hidden="1">
      <c r="A736" s="136"/>
      <c r="B736" s="96"/>
      <c r="C736" s="86"/>
      <c r="D736" s="211"/>
      <c r="E736" s="171"/>
    </row>
    <row r="737" hidden="1">
      <c r="A737" s="136"/>
      <c r="B737" s="96"/>
      <c r="C737" s="86"/>
      <c r="D737" s="209"/>
      <c r="E737" s="215"/>
    </row>
    <row r="738" hidden="1">
      <c r="A738" s="136"/>
      <c r="B738" s="96"/>
      <c r="C738" s="86"/>
      <c r="D738" s="211"/>
      <c r="E738" s="171"/>
    </row>
    <row r="739" hidden="1">
      <c r="A739" s="136"/>
      <c r="B739" s="96"/>
      <c r="C739" s="86"/>
      <c r="D739" s="209"/>
      <c r="E739" s="215"/>
    </row>
    <row r="740" hidden="1">
      <c r="A740" s="136"/>
      <c r="B740" s="96"/>
      <c r="C740" s="86"/>
      <c r="D740" s="211"/>
      <c r="E740" s="171"/>
    </row>
    <row r="741" hidden="1">
      <c r="A741" s="136"/>
      <c r="B741" s="96"/>
      <c r="C741" s="86"/>
      <c r="D741" s="209"/>
      <c r="E741" s="215"/>
    </row>
    <row r="742" hidden="1">
      <c r="A742" s="136"/>
      <c r="B742" s="96"/>
      <c r="C742" s="86"/>
      <c r="D742" s="211"/>
      <c r="E742" s="171"/>
    </row>
    <row r="743" hidden="1">
      <c r="A743" s="136"/>
      <c r="B743" s="96"/>
      <c r="C743" s="86"/>
      <c r="D743" s="209"/>
      <c r="E743" s="215"/>
    </row>
    <row r="744" hidden="1">
      <c r="A744" s="136"/>
      <c r="B744" s="96"/>
      <c r="C744" s="86"/>
      <c r="D744" s="211"/>
      <c r="E744" s="171"/>
    </row>
    <row r="745" hidden="1">
      <c r="A745" s="136"/>
      <c r="B745" s="96"/>
      <c r="C745" s="86"/>
      <c r="D745" s="209"/>
      <c r="E745" s="215"/>
    </row>
    <row r="746" hidden="1">
      <c r="A746" s="136"/>
      <c r="B746" s="96"/>
      <c r="C746" s="86"/>
      <c r="D746" s="211"/>
      <c r="E746" s="171"/>
    </row>
    <row r="747" hidden="1">
      <c r="A747" s="136"/>
      <c r="B747" s="96"/>
      <c r="C747" s="86"/>
      <c r="D747" s="209"/>
      <c r="E747" s="215"/>
    </row>
    <row r="748" hidden="1">
      <c r="A748" s="136"/>
      <c r="B748" s="96"/>
      <c r="C748" s="86"/>
      <c r="D748" s="211"/>
      <c r="E748" s="171"/>
    </row>
    <row r="749" hidden="1">
      <c r="A749" s="136"/>
      <c r="B749" s="96"/>
      <c r="C749" s="86"/>
      <c r="D749" s="209"/>
      <c r="E749" s="215"/>
    </row>
    <row r="750" hidden="1">
      <c r="A750" s="136"/>
      <c r="B750" s="96"/>
      <c r="C750" s="86"/>
      <c r="D750" s="211"/>
      <c r="E750" s="171"/>
    </row>
    <row r="751" hidden="1">
      <c r="A751" s="136"/>
      <c r="B751" s="96"/>
      <c r="C751" s="86"/>
      <c r="D751" s="209"/>
      <c r="E751" s="215"/>
    </row>
    <row r="752" hidden="1">
      <c r="A752" s="136"/>
      <c r="B752" s="96"/>
      <c r="C752" s="86"/>
      <c r="D752" s="211"/>
      <c r="E752" s="171"/>
    </row>
    <row r="753" hidden="1">
      <c r="A753" s="136"/>
      <c r="B753" s="96"/>
      <c r="C753" s="86"/>
      <c r="D753" s="209"/>
      <c r="E753" s="215"/>
    </row>
    <row r="754" hidden="1">
      <c r="A754" s="136"/>
      <c r="B754" s="96"/>
      <c r="C754" s="86"/>
      <c r="D754" s="211"/>
      <c r="E754" s="171"/>
    </row>
    <row r="755" hidden="1">
      <c r="A755" s="136"/>
      <c r="B755" s="96"/>
      <c r="C755" s="86"/>
      <c r="D755" s="209"/>
      <c r="E755" s="215"/>
    </row>
    <row r="756" hidden="1">
      <c r="A756" s="136"/>
      <c r="B756" s="96"/>
      <c r="C756" s="86"/>
      <c r="D756" s="211"/>
      <c r="E756" s="171"/>
    </row>
    <row r="757" hidden="1">
      <c r="A757" s="136"/>
      <c r="B757" s="96"/>
      <c r="C757" s="86"/>
      <c r="D757" s="209"/>
      <c r="E757" s="215"/>
    </row>
    <row r="758" hidden="1">
      <c r="A758" s="136"/>
      <c r="B758" s="96"/>
      <c r="C758" s="86"/>
      <c r="D758" s="211"/>
      <c r="E758" s="171"/>
    </row>
    <row r="759" hidden="1">
      <c r="A759" s="136"/>
      <c r="B759" s="96"/>
      <c r="C759" s="86"/>
      <c r="D759" s="209"/>
      <c r="E759" s="215"/>
    </row>
    <row r="760" hidden="1">
      <c r="A760" s="136"/>
      <c r="B760" s="96"/>
      <c r="C760" s="86"/>
      <c r="D760" s="211"/>
      <c r="E760" s="171"/>
    </row>
    <row r="761" hidden="1">
      <c r="A761" s="136"/>
      <c r="B761" s="96"/>
      <c r="C761" s="86"/>
      <c r="D761" s="209"/>
      <c r="E761" s="215"/>
    </row>
    <row r="762" hidden="1">
      <c r="A762" s="136"/>
      <c r="B762" s="96"/>
      <c r="C762" s="86"/>
      <c r="D762" s="211"/>
      <c r="E762" s="171"/>
    </row>
    <row r="763" hidden="1">
      <c r="A763" s="136"/>
      <c r="B763" s="96"/>
      <c r="C763" s="86"/>
      <c r="D763" s="209"/>
      <c r="E763" s="215"/>
    </row>
    <row r="764" hidden="1">
      <c r="A764" s="136"/>
      <c r="B764" s="96"/>
      <c r="C764" s="86"/>
      <c r="D764" s="211"/>
      <c r="E764" s="171"/>
    </row>
    <row r="765" hidden="1">
      <c r="A765" s="136"/>
      <c r="B765" s="96"/>
      <c r="C765" s="86"/>
      <c r="D765" s="209"/>
      <c r="E765" s="215"/>
    </row>
    <row r="766" hidden="1">
      <c r="A766" s="136"/>
      <c r="B766" s="96"/>
      <c r="C766" s="86"/>
      <c r="D766" s="211"/>
      <c r="E766" s="171"/>
    </row>
    <row r="767" hidden="1">
      <c r="A767" s="136"/>
      <c r="B767" s="96"/>
      <c r="C767" s="86"/>
      <c r="D767" s="209"/>
      <c r="E767" s="215"/>
    </row>
    <row r="768" hidden="1">
      <c r="A768" s="136"/>
      <c r="B768" s="96"/>
      <c r="C768" s="86"/>
      <c r="D768" s="211"/>
      <c r="E768" s="171"/>
    </row>
    <row r="769" hidden="1">
      <c r="A769" s="136"/>
      <c r="B769" s="96"/>
      <c r="C769" s="86"/>
      <c r="D769" s="209"/>
      <c r="E769" s="215"/>
    </row>
    <row r="770" hidden="1">
      <c r="A770" s="136"/>
      <c r="B770" s="96"/>
      <c r="C770" s="86"/>
      <c r="D770" s="211"/>
      <c r="E770" s="171"/>
    </row>
    <row r="771" hidden="1">
      <c r="A771" s="136"/>
      <c r="B771" s="96"/>
      <c r="C771" s="86"/>
      <c r="D771" s="209"/>
      <c r="E771" s="215"/>
    </row>
    <row r="772" hidden="1">
      <c r="A772" s="136"/>
      <c r="B772" s="96"/>
      <c r="C772" s="86"/>
      <c r="D772" s="211"/>
      <c r="E772" s="171"/>
    </row>
    <row r="773" hidden="1">
      <c r="A773" s="136"/>
      <c r="B773" s="96"/>
      <c r="C773" s="86"/>
      <c r="D773" s="209"/>
      <c r="E773" s="215"/>
    </row>
    <row r="774" hidden="1">
      <c r="A774" s="136"/>
      <c r="B774" s="96"/>
      <c r="C774" s="86"/>
      <c r="D774" s="211"/>
      <c r="E774" s="171"/>
    </row>
    <row r="775" hidden="1">
      <c r="A775" s="136"/>
      <c r="B775" s="96"/>
      <c r="C775" s="86"/>
      <c r="D775" s="209"/>
      <c r="E775" s="215"/>
    </row>
    <row r="776" hidden="1">
      <c r="A776" s="136"/>
      <c r="B776" s="96"/>
      <c r="C776" s="86"/>
      <c r="D776" s="211"/>
      <c r="E776" s="171"/>
    </row>
    <row r="777" hidden="1">
      <c r="A777" s="136"/>
      <c r="B777" s="96"/>
      <c r="C777" s="86"/>
      <c r="D777" s="209"/>
      <c r="E777" s="215"/>
    </row>
    <row r="778" hidden="1">
      <c r="A778" s="136"/>
      <c r="B778" s="96"/>
      <c r="C778" s="86"/>
      <c r="D778" s="211"/>
      <c r="E778" s="171"/>
    </row>
    <row r="779" hidden="1">
      <c r="A779" s="136"/>
      <c r="B779" s="96"/>
      <c r="C779" s="86"/>
      <c r="D779" s="209"/>
      <c r="E779" s="215"/>
    </row>
    <row r="780" hidden="1">
      <c r="A780" s="136"/>
      <c r="B780" s="96"/>
      <c r="C780" s="86"/>
      <c r="D780" s="211"/>
      <c r="E780" s="171"/>
    </row>
    <row r="781" hidden="1">
      <c r="A781" s="136"/>
      <c r="B781" s="96"/>
      <c r="C781" s="86"/>
      <c r="D781" s="209"/>
      <c r="E781" s="215"/>
    </row>
    <row r="782" hidden="1">
      <c r="A782" s="136"/>
      <c r="B782" s="96"/>
      <c r="C782" s="86"/>
      <c r="D782" s="211"/>
      <c r="E782" s="171"/>
    </row>
    <row r="783" hidden="1">
      <c r="A783" s="136"/>
      <c r="B783" s="96"/>
      <c r="C783" s="86"/>
      <c r="D783" s="209"/>
      <c r="E783" s="215"/>
    </row>
    <row r="784" hidden="1">
      <c r="A784" s="136"/>
      <c r="B784" s="96"/>
      <c r="C784" s="86"/>
      <c r="D784" s="211"/>
      <c r="E784" s="171"/>
    </row>
    <row r="785" hidden="1">
      <c r="A785" s="136"/>
      <c r="B785" s="96"/>
      <c r="C785" s="86"/>
      <c r="D785" s="209"/>
      <c r="E785" s="215"/>
    </row>
    <row r="786" hidden="1">
      <c r="A786" s="136"/>
      <c r="B786" s="96"/>
      <c r="C786" s="86"/>
      <c r="D786" s="211"/>
      <c r="E786" s="171"/>
    </row>
    <row r="787" hidden="1">
      <c r="A787" s="136"/>
      <c r="B787" s="96"/>
      <c r="C787" s="86"/>
      <c r="D787" s="209"/>
      <c r="E787" s="215"/>
    </row>
    <row r="788" hidden="1">
      <c r="A788" s="136"/>
      <c r="B788" s="96"/>
      <c r="C788" s="86"/>
      <c r="D788" s="211"/>
      <c r="E788" s="171"/>
    </row>
    <row r="789" hidden="1">
      <c r="A789" s="136"/>
      <c r="B789" s="96"/>
      <c r="C789" s="86"/>
      <c r="D789" s="209"/>
      <c r="E789" s="215"/>
    </row>
    <row r="790" hidden="1">
      <c r="A790" s="136"/>
      <c r="B790" s="96"/>
      <c r="C790" s="86"/>
      <c r="D790" s="211"/>
      <c r="E790" s="171"/>
    </row>
    <row r="791" hidden="1">
      <c r="A791" s="136"/>
      <c r="B791" s="96"/>
      <c r="C791" s="86"/>
      <c r="D791" s="209"/>
      <c r="E791" s="215"/>
    </row>
    <row r="792" hidden="1">
      <c r="A792" s="136"/>
      <c r="B792" s="96"/>
      <c r="C792" s="86"/>
      <c r="D792" s="211"/>
      <c r="E792" s="171"/>
    </row>
    <row r="793" hidden="1">
      <c r="A793" s="136"/>
      <c r="B793" s="96"/>
      <c r="C793" s="86"/>
      <c r="D793" s="209"/>
      <c r="E793" s="215"/>
    </row>
    <row r="794" hidden="1">
      <c r="A794" s="136"/>
      <c r="B794" s="96"/>
      <c r="C794" s="86"/>
      <c r="D794" s="211"/>
      <c r="E794" s="171"/>
    </row>
    <row r="795" hidden="1">
      <c r="A795" s="136"/>
      <c r="B795" s="96"/>
      <c r="C795" s="86"/>
      <c r="D795" s="209"/>
      <c r="E795" s="215"/>
    </row>
    <row r="796" hidden="1">
      <c r="A796" s="136"/>
      <c r="B796" s="96"/>
      <c r="C796" s="86"/>
      <c r="D796" s="211"/>
      <c r="E796" s="171"/>
    </row>
    <row r="797" hidden="1">
      <c r="A797" s="136"/>
      <c r="B797" s="96"/>
      <c r="C797" s="86"/>
      <c r="D797" s="209"/>
      <c r="E797" s="215"/>
    </row>
    <row r="798" hidden="1">
      <c r="A798" s="136"/>
      <c r="B798" s="96"/>
      <c r="C798" s="86"/>
      <c r="D798" s="211"/>
      <c r="E798" s="171"/>
    </row>
    <row r="799" hidden="1">
      <c r="A799" s="136"/>
      <c r="B799" s="96"/>
      <c r="C799" s="86"/>
      <c r="D799" s="209"/>
      <c r="E799" s="215"/>
    </row>
    <row r="800" hidden="1">
      <c r="A800" s="136"/>
      <c r="B800" s="96"/>
      <c r="C800" s="86"/>
      <c r="D800" s="211"/>
      <c r="E800" s="171"/>
    </row>
    <row r="801" hidden="1">
      <c r="A801" s="136"/>
      <c r="B801" s="96"/>
      <c r="C801" s="86"/>
      <c r="D801" s="209"/>
      <c r="E801" s="215"/>
    </row>
    <row r="802" hidden="1">
      <c r="A802" s="136"/>
      <c r="B802" s="96"/>
      <c r="C802" s="86"/>
      <c r="D802" s="211"/>
      <c r="E802" s="171"/>
    </row>
    <row r="803" hidden="1">
      <c r="A803" s="136"/>
      <c r="B803" s="96"/>
      <c r="C803" s="86"/>
      <c r="D803" s="209"/>
      <c r="E803" s="215"/>
    </row>
    <row r="804" hidden="1">
      <c r="A804" s="136"/>
      <c r="B804" s="96"/>
      <c r="C804" s="86"/>
      <c r="D804" s="211"/>
      <c r="E804" s="171"/>
    </row>
    <row r="805" hidden="1">
      <c r="A805" s="136"/>
      <c r="B805" s="96"/>
      <c r="C805" s="86"/>
      <c r="D805" s="209"/>
      <c r="E805" s="215"/>
    </row>
    <row r="806" hidden="1">
      <c r="A806" s="136"/>
      <c r="B806" s="96"/>
      <c r="C806" s="86"/>
      <c r="D806" s="211"/>
      <c r="E806" s="171"/>
    </row>
    <row r="807" hidden="1">
      <c r="A807" s="136"/>
      <c r="B807" s="96"/>
      <c r="C807" s="86"/>
      <c r="D807" s="209"/>
      <c r="E807" s="215"/>
    </row>
    <row r="808" hidden="1">
      <c r="A808" s="136"/>
      <c r="B808" s="96"/>
      <c r="C808" s="86"/>
      <c r="D808" s="211"/>
      <c r="E808" s="171"/>
    </row>
    <row r="809" hidden="1">
      <c r="A809" s="136"/>
      <c r="B809" s="96"/>
      <c r="C809" s="86"/>
      <c r="D809" s="209"/>
      <c r="E809" s="215"/>
    </row>
    <row r="810" hidden="1">
      <c r="A810" s="136"/>
      <c r="B810" s="96"/>
      <c r="C810" s="86"/>
      <c r="D810" s="211"/>
      <c r="E810" s="171"/>
    </row>
    <row r="811" hidden="1">
      <c r="A811" s="136"/>
      <c r="B811" s="96"/>
      <c r="C811" s="86"/>
      <c r="D811" s="209"/>
      <c r="E811" s="215"/>
    </row>
    <row r="812" hidden="1">
      <c r="A812" s="136"/>
      <c r="B812" s="96"/>
      <c r="C812" s="86"/>
      <c r="D812" s="211"/>
      <c r="E812" s="171"/>
    </row>
    <row r="813" hidden="1">
      <c r="A813" s="136"/>
      <c r="B813" s="96"/>
      <c r="C813" s="86"/>
      <c r="D813" s="209"/>
      <c r="E813" s="215"/>
    </row>
    <row r="814" hidden="1">
      <c r="A814" s="136"/>
      <c r="B814" s="96"/>
      <c r="C814" s="86"/>
      <c r="D814" s="211"/>
      <c r="E814" s="171"/>
    </row>
    <row r="815" hidden="1">
      <c r="A815" s="136"/>
      <c r="B815" s="96"/>
      <c r="C815" s="86"/>
      <c r="D815" s="209"/>
      <c r="E815" s="215"/>
    </row>
    <row r="816" hidden="1">
      <c r="A816" s="136"/>
      <c r="B816" s="96"/>
      <c r="C816" s="86"/>
      <c r="D816" s="211"/>
      <c r="E816" s="171"/>
    </row>
    <row r="817" hidden="1">
      <c r="A817" s="136"/>
      <c r="B817" s="96"/>
      <c r="C817" s="86"/>
      <c r="D817" s="209"/>
      <c r="E817" s="215"/>
    </row>
    <row r="818" hidden="1">
      <c r="A818" s="136"/>
      <c r="B818" s="96"/>
      <c r="C818" s="86"/>
      <c r="D818" s="211"/>
      <c r="E818" s="171"/>
    </row>
    <row r="819" hidden="1">
      <c r="A819" s="136"/>
      <c r="B819" s="96"/>
      <c r="C819" s="86"/>
      <c r="D819" s="209"/>
      <c r="E819" s="215"/>
    </row>
    <row r="820" hidden="1">
      <c r="A820" s="136"/>
      <c r="B820" s="96"/>
      <c r="C820" s="86"/>
      <c r="D820" s="211"/>
      <c r="E820" s="171"/>
    </row>
    <row r="821" hidden="1">
      <c r="A821" s="136"/>
      <c r="B821" s="96"/>
      <c r="C821" s="86"/>
      <c r="D821" s="209"/>
      <c r="E821" s="215"/>
    </row>
    <row r="822" hidden="1">
      <c r="A822" s="136"/>
      <c r="B822" s="96"/>
      <c r="C822" s="86"/>
      <c r="D822" s="211"/>
      <c r="E822" s="171"/>
    </row>
    <row r="823" hidden="1">
      <c r="A823" s="136"/>
      <c r="B823" s="96"/>
      <c r="C823" s="86"/>
      <c r="D823" s="209"/>
      <c r="E823" s="215"/>
    </row>
    <row r="824" hidden="1">
      <c r="A824" s="136"/>
      <c r="B824" s="96"/>
      <c r="C824" s="86"/>
      <c r="D824" s="211"/>
      <c r="E824" s="171"/>
    </row>
    <row r="825" hidden="1">
      <c r="A825" s="136"/>
      <c r="B825" s="96"/>
      <c r="C825" s="86"/>
      <c r="D825" s="209"/>
      <c r="E825" s="215"/>
    </row>
    <row r="826" hidden="1">
      <c r="A826" s="136"/>
      <c r="B826" s="96"/>
      <c r="C826" s="86"/>
      <c r="D826" s="211"/>
      <c r="E826" s="171"/>
    </row>
    <row r="827" hidden="1">
      <c r="A827" s="136"/>
      <c r="B827" s="96"/>
      <c r="C827" s="86"/>
      <c r="D827" s="209"/>
      <c r="E827" s="215"/>
    </row>
    <row r="828" hidden="1">
      <c r="A828" s="136"/>
      <c r="B828" s="96"/>
      <c r="C828" s="86"/>
      <c r="D828" s="211"/>
      <c r="E828" s="171"/>
    </row>
    <row r="829" hidden="1">
      <c r="A829" s="136"/>
      <c r="B829" s="96"/>
      <c r="C829" s="86"/>
      <c r="D829" s="209"/>
      <c r="E829" s="215"/>
    </row>
    <row r="830" hidden="1">
      <c r="A830" s="136"/>
      <c r="B830" s="96"/>
      <c r="C830" s="86"/>
      <c r="D830" s="211"/>
      <c r="E830" s="171"/>
    </row>
    <row r="831" hidden="1">
      <c r="A831" s="136"/>
      <c r="B831" s="96"/>
      <c r="C831" s="86"/>
      <c r="D831" s="209"/>
      <c r="E831" s="215"/>
    </row>
    <row r="832" hidden="1">
      <c r="A832" s="136"/>
      <c r="B832" s="96"/>
      <c r="C832" s="86"/>
      <c r="D832" s="211"/>
      <c r="E832" s="171"/>
    </row>
    <row r="833" hidden="1">
      <c r="A833" s="136"/>
      <c r="B833" s="96"/>
      <c r="C833" s="86"/>
      <c r="D833" s="209"/>
      <c r="E833" s="215"/>
    </row>
    <row r="834" hidden="1">
      <c r="A834" s="136"/>
      <c r="B834" s="96"/>
      <c r="C834" s="86"/>
      <c r="D834" s="211"/>
      <c r="E834" s="171"/>
    </row>
    <row r="835" hidden="1">
      <c r="A835" s="136"/>
      <c r="B835" s="96"/>
      <c r="C835" s="86"/>
      <c r="D835" s="209"/>
      <c r="E835" s="215"/>
    </row>
    <row r="836" hidden="1">
      <c r="A836" s="136"/>
      <c r="B836" s="96"/>
      <c r="C836" s="86"/>
      <c r="D836" s="211"/>
      <c r="E836" s="171"/>
    </row>
    <row r="837" hidden="1">
      <c r="A837" s="136"/>
      <c r="B837" s="96"/>
      <c r="C837" s="86"/>
      <c r="D837" s="209"/>
      <c r="E837" s="215"/>
    </row>
    <row r="838" hidden="1">
      <c r="A838" s="136"/>
      <c r="B838" s="96"/>
      <c r="C838" s="86"/>
      <c r="D838" s="211"/>
      <c r="E838" s="171"/>
    </row>
    <row r="839" hidden="1">
      <c r="A839" s="136"/>
      <c r="B839" s="96"/>
      <c r="C839" s="86"/>
      <c r="D839" s="209"/>
      <c r="E839" s="215"/>
    </row>
    <row r="840" hidden="1">
      <c r="A840" s="136"/>
      <c r="B840" s="96"/>
      <c r="C840" s="86"/>
      <c r="D840" s="211"/>
      <c r="E840" s="171"/>
    </row>
    <row r="841" hidden="1">
      <c r="A841" s="136"/>
      <c r="B841" s="96"/>
      <c r="C841" s="86"/>
      <c r="D841" s="209"/>
      <c r="E841" s="215"/>
    </row>
    <row r="842" hidden="1">
      <c r="A842" s="136"/>
      <c r="B842" s="96"/>
      <c r="C842" s="86"/>
      <c r="D842" s="211"/>
      <c r="E842" s="171"/>
    </row>
    <row r="843" hidden="1">
      <c r="A843" s="136"/>
      <c r="B843" s="96"/>
      <c r="C843" s="86"/>
      <c r="D843" s="209"/>
      <c r="E843" s="215"/>
    </row>
    <row r="844" hidden="1">
      <c r="A844" s="136"/>
      <c r="B844" s="96"/>
      <c r="C844" s="86"/>
      <c r="D844" s="211"/>
      <c r="E844" s="171"/>
    </row>
    <row r="845" hidden="1">
      <c r="A845" s="136"/>
      <c r="B845" s="96"/>
      <c r="C845" s="86"/>
      <c r="D845" s="209"/>
      <c r="E845" s="215"/>
    </row>
    <row r="846" hidden="1">
      <c r="A846" s="136"/>
      <c r="B846" s="96"/>
      <c r="C846" s="86"/>
      <c r="D846" s="211"/>
      <c r="E846" s="171"/>
    </row>
    <row r="847" hidden="1">
      <c r="A847" s="136"/>
      <c r="B847" s="96"/>
      <c r="C847" s="86"/>
      <c r="D847" s="209"/>
      <c r="E847" s="215"/>
    </row>
    <row r="848" hidden="1">
      <c r="A848" s="136"/>
      <c r="B848" s="96"/>
      <c r="C848" s="86"/>
      <c r="D848" s="211"/>
      <c r="E848" s="171"/>
    </row>
    <row r="849" hidden="1">
      <c r="A849" s="136"/>
      <c r="B849" s="96"/>
      <c r="C849" s="86"/>
      <c r="D849" s="209"/>
      <c r="E849" s="215"/>
    </row>
    <row r="850" hidden="1">
      <c r="A850" s="136"/>
      <c r="B850" s="96"/>
      <c r="C850" s="86"/>
      <c r="D850" s="211"/>
      <c r="E850" s="171"/>
    </row>
    <row r="851" hidden="1">
      <c r="A851" s="136"/>
      <c r="B851" s="96"/>
      <c r="C851" s="86"/>
      <c r="D851" s="209"/>
      <c r="E851" s="215"/>
    </row>
    <row r="852" hidden="1">
      <c r="A852" s="136"/>
      <c r="B852" s="96"/>
      <c r="C852" s="86"/>
      <c r="D852" s="211"/>
      <c r="E852" s="171"/>
    </row>
    <row r="853" hidden="1">
      <c r="A853" s="136"/>
      <c r="B853" s="96"/>
      <c r="C853" s="86"/>
      <c r="D853" s="209"/>
      <c r="E853" s="215"/>
    </row>
    <row r="854" hidden="1">
      <c r="A854" s="136"/>
      <c r="B854" s="96"/>
      <c r="C854" s="86"/>
      <c r="D854" s="211"/>
      <c r="E854" s="171"/>
    </row>
    <row r="855" hidden="1">
      <c r="A855" s="136"/>
      <c r="B855" s="96"/>
      <c r="C855" s="86"/>
      <c r="D855" s="209"/>
      <c r="E855" s="215"/>
    </row>
    <row r="856" hidden="1">
      <c r="A856" s="136"/>
      <c r="B856" s="96"/>
      <c r="C856" s="86"/>
      <c r="D856" s="211"/>
      <c r="E856" s="171"/>
    </row>
    <row r="857" hidden="1">
      <c r="A857" s="136"/>
      <c r="B857" s="96"/>
      <c r="C857" s="86"/>
      <c r="D857" s="209"/>
      <c r="E857" s="215"/>
    </row>
    <row r="858" hidden="1">
      <c r="A858" s="136"/>
      <c r="B858" s="96"/>
      <c r="C858" s="86"/>
      <c r="D858" s="211"/>
      <c r="E858" s="171"/>
    </row>
    <row r="859" hidden="1">
      <c r="A859" s="136"/>
      <c r="B859" s="96"/>
      <c r="C859" s="86"/>
      <c r="D859" s="209"/>
      <c r="E859" s="215"/>
    </row>
    <row r="860" hidden="1">
      <c r="A860" s="136"/>
      <c r="B860" s="96"/>
      <c r="C860" s="86"/>
      <c r="D860" s="211"/>
      <c r="E860" s="171"/>
    </row>
    <row r="861" hidden="1">
      <c r="A861" s="136"/>
      <c r="B861" s="96"/>
      <c r="C861" s="86"/>
      <c r="D861" s="209"/>
      <c r="E861" s="215"/>
    </row>
    <row r="862" hidden="1">
      <c r="A862" s="136"/>
      <c r="B862" s="96"/>
      <c r="C862" s="86"/>
      <c r="D862" s="211"/>
      <c r="E862" s="171"/>
    </row>
    <row r="863" hidden="1">
      <c r="A863" s="136"/>
      <c r="B863" s="96"/>
      <c r="C863" s="86"/>
      <c r="D863" s="209"/>
      <c r="E863" s="215"/>
    </row>
    <row r="864" hidden="1">
      <c r="A864" s="136"/>
      <c r="B864" s="96"/>
      <c r="C864" s="86"/>
      <c r="D864" s="211"/>
      <c r="E864" s="171"/>
    </row>
    <row r="865" hidden="1">
      <c r="A865" s="136"/>
      <c r="B865" s="96"/>
      <c r="C865" s="86"/>
      <c r="D865" s="209"/>
      <c r="E865" s="215"/>
    </row>
    <row r="866" hidden="1">
      <c r="A866" s="136"/>
      <c r="B866" s="96"/>
      <c r="C866" s="86"/>
      <c r="D866" s="211"/>
      <c r="E866" s="171"/>
    </row>
    <row r="867" hidden="1">
      <c r="A867" s="136"/>
      <c r="B867" s="96"/>
      <c r="C867" s="86"/>
      <c r="D867" s="209"/>
      <c r="E867" s="215"/>
    </row>
    <row r="868" hidden="1">
      <c r="A868" s="136"/>
      <c r="B868" s="96"/>
      <c r="C868" s="86"/>
      <c r="D868" s="211"/>
      <c r="E868" s="171"/>
    </row>
    <row r="869" hidden="1">
      <c r="A869" s="136"/>
      <c r="B869" s="96"/>
      <c r="C869" s="86"/>
      <c r="D869" s="209"/>
      <c r="E869" s="215"/>
    </row>
    <row r="870" hidden="1">
      <c r="A870" s="136"/>
      <c r="B870" s="96"/>
      <c r="C870" s="86"/>
      <c r="D870" s="211"/>
      <c r="E870" s="171"/>
    </row>
    <row r="871" hidden="1">
      <c r="A871" s="136"/>
      <c r="B871" s="96"/>
      <c r="C871" s="86"/>
      <c r="D871" s="209"/>
      <c r="E871" s="215"/>
    </row>
    <row r="872" hidden="1">
      <c r="A872" s="136"/>
      <c r="B872" s="96"/>
      <c r="C872" s="86"/>
      <c r="D872" s="211"/>
      <c r="E872" s="171"/>
    </row>
    <row r="873" hidden="1">
      <c r="A873" s="136"/>
      <c r="B873" s="96"/>
      <c r="C873" s="86"/>
      <c r="D873" s="209"/>
      <c r="E873" s="215"/>
    </row>
    <row r="874" hidden="1">
      <c r="A874" s="136"/>
      <c r="B874" s="96"/>
      <c r="C874" s="86"/>
      <c r="D874" s="211"/>
      <c r="E874" s="171"/>
    </row>
    <row r="875" hidden="1">
      <c r="A875" s="136"/>
      <c r="B875" s="96"/>
      <c r="C875" s="86"/>
      <c r="D875" s="209"/>
      <c r="E875" s="215"/>
    </row>
    <row r="876" hidden="1">
      <c r="A876" s="136"/>
      <c r="B876" s="96"/>
      <c r="C876" s="86"/>
      <c r="D876" s="211"/>
      <c r="E876" s="171"/>
    </row>
    <row r="877" hidden="1">
      <c r="A877" s="136"/>
      <c r="B877" s="96"/>
      <c r="C877" s="86"/>
      <c r="D877" s="209"/>
      <c r="E877" s="215"/>
    </row>
    <row r="878" hidden="1">
      <c r="A878" s="136"/>
      <c r="B878" s="96"/>
      <c r="C878" s="86"/>
      <c r="D878" s="211"/>
      <c r="E878" s="171"/>
    </row>
    <row r="879" hidden="1">
      <c r="A879" s="136"/>
      <c r="B879" s="96"/>
      <c r="C879" s="86"/>
      <c r="D879" s="209"/>
      <c r="E879" s="215"/>
    </row>
    <row r="880" hidden="1">
      <c r="A880" s="136"/>
      <c r="B880" s="96"/>
      <c r="C880" s="86"/>
      <c r="D880" s="211"/>
      <c r="E880" s="171"/>
    </row>
    <row r="881" hidden="1">
      <c r="A881" s="136"/>
      <c r="B881" s="96"/>
      <c r="C881" s="86"/>
      <c r="D881" s="209"/>
      <c r="E881" s="215"/>
    </row>
    <row r="882" hidden="1">
      <c r="A882" s="136"/>
      <c r="B882" s="96"/>
      <c r="C882" s="86"/>
      <c r="D882" s="211"/>
      <c r="E882" s="171"/>
    </row>
    <row r="883" hidden="1">
      <c r="A883" s="136"/>
      <c r="B883" s="96"/>
      <c r="C883" s="86"/>
      <c r="D883" s="209"/>
      <c r="E883" s="215"/>
    </row>
    <row r="884" hidden="1">
      <c r="A884" s="136"/>
      <c r="B884" s="96"/>
      <c r="C884" s="86"/>
      <c r="D884" s="211"/>
      <c r="E884" s="171"/>
    </row>
    <row r="885" hidden="1">
      <c r="A885" s="136"/>
      <c r="B885" s="96"/>
      <c r="C885" s="86"/>
      <c r="D885" s="209"/>
      <c r="E885" s="215"/>
    </row>
    <row r="886" hidden="1">
      <c r="A886" s="136"/>
      <c r="B886" s="96"/>
      <c r="C886" s="86"/>
      <c r="D886" s="211"/>
      <c r="E886" s="171"/>
    </row>
    <row r="887" hidden="1">
      <c r="A887" s="136"/>
      <c r="B887" s="96"/>
      <c r="C887" s="86"/>
      <c r="D887" s="209"/>
      <c r="E887" s="215"/>
    </row>
    <row r="888" hidden="1">
      <c r="A888" s="136"/>
      <c r="B888" s="96"/>
      <c r="C888" s="86"/>
      <c r="D888" s="211"/>
      <c r="E888" s="171"/>
    </row>
    <row r="889" hidden="1">
      <c r="A889" s="136"/>
      <c r="B889" s="96"/>
      <c r="C889" s="86"/>
      <c r="D889" s="209"/>
      <c r="E889" s="215"/>
    </row>
    <row r="890" hidden="1">
      <c r="A890" s="136"/>
      <c r="B890" s="96"/>
      <c r="C890" s="86"/>
      <c r="D890" s="211"/>
      <c r="E890" s="171"/>
    </row>
    <row r="891" hidden="1">
      <c r="A891" s="136"/>
      <c r="B891" s="96"/>
      <c r="C891" s="86"/>
      <c r="D891" s="209"/>
      <c r="E891" s="215"/>
    </row>
    <row r="892" hidden="1">
      <c r="A892" s="136"/>
      <c r="B892" s="96"/>
      <c r="C892" s="86"/>
      <c r="D892" s="211"/>
      <c r="E892" s="171"/>
    </row>
    <row r="893" hidden="1">
      <c r="A893" s="136"/>
      <c r="B893" s="96"/>
      <c r="C893" s="86"/>
      <c r="D893" s="209"/>
      <c r="E893" s="215"/>
    </row>
    <row r="894" hidden="1">
      <c r="A894" s="136"/>
      <c r="B894" s="96"/>
      <c r="C894" s="86"/>
      <c r="D894" s="211"/>
      <c r="E894" s="171"/>
    </row>
    <row r="895" hidden="1">
      <c r="A895" s="136"/>
      <c r="B895" s="96"/>
      <c r="C895" s="86"/>
      <c r="D895" s="209"/>
      <c r="E895" s="215"/>
    </row>
    <row r="896" hidden="1">
      <c r="A896" s="136"/>
      <c r="B896" s="96"/>
      <c r="C896" s="86"/>
      <c r="D896" s="211"/>
      <c r="E896" s="171"/>
    </row>
    <row r="897" hidden="1">
      <c r="A897" s="136"/>
      <c r="B897" s="96"/>
      <c r="C897" s="86"/>
      <c r="D897" s="209"/>
      <c r="E897" s="215"/>
    </row>
    <row r="898" hidden="1">
      <c r="A898" s="136"/>
      <c r="B898" s="96"/>
      <c r="C898" s="86"/>
      <c r="D898" s="211"/>
      <c r="E898" s="171"/>
    </row>
    <row r="899" hidden="1">
      <c r="A899" s="136"/>
      <c r="B899" s="96"/>
      <c r="C899" s="86"/>
      <c r="D899" s="209"/>
      <c r="E899" s="215"/>
    </row>
    <row r="900" hidden="1">
      <c r="A900" s="136"/>
      <c r="B900" s="96"/>
      <c r="C900" s="86"/>
      <c r="D900" s="211"/>
      <c r="E900" s="171"/>
    </row>
    <row r="901" hidden="1">
      <c r="A901" s="136"/>
      <c r="B901" s="96"/>
      <c r="C901" s="86"/>
      <c r="D901" s="209"/>
      <c r="E901" s="215"/>
    </row>
    <row r="902" hidden="1">
      <c r="A902" s="136"/>
      <c r="B902" s="96"/>
      <c r="C902" s="86"/>
      <c r="D902" s="211"/>
      <c r="E902" s="171"/>
    </row>
    <row r="903" hidden="1">
      <c r="A903" s="136"/>
      <c r="B903" s="96"/>
      <c r="C903" s="86"/>
      <c r="D903" s="209"/>
      <c r="E903" s="215"/>
    </row>
    <row r="904" hidden="1">
      <c r="A904" s="136"/>
      <c r="B904" s="96"/>
      <c r="C904" s="86"/>
      <c r="D904" s="211"/>
      <c r="E904" s="171"/>
    </row>
    <row r="905" hidden="1">
      <c r="A905" s="136"/>
      <c r="B905" s="96"/>
      <c r="C905" s="86"/>
      <c r="D905" s="209"/>
      <c r="E905" s="215"/>
    </row>
    <row r="906" hidden="1">
      <c r="A906" s="136"/>
      <c r="B906" s="96"/>
      <c r="C906" s="86"/>
      <c r="D906" s="211"/>
      <c r="E906" s="171"/>
    </row>
    <row r="907" hidden="1">
      <c r="A907" s="136"/>
      <c r="B907" s="96"/>
      <c r="C907" s="86"/>
      <c r="D907" s="209"/>
      <c r="E907" s="215"/>
    </row>
    <row r="908" hidden="1">
      <c r="A908" s="136"/>
      <c r="B908" s="96"/>
      <c r="C908" s="86"/>
      <c r="D908" s="211"/>
      <c r="E908" s="171"/>
    </row>
    <row r="909" hidden="1">
      <c r="A909" s="136"/>
      <c r="B909" s="96"/>
      <c r="C909" s="86"/>
      <c r="D909" s="209"/>
      <c r="E909" s="215"/>
    </row>
    <row r="910" hidden="1">
      <c r="A910" s="136"/>
      <c r="B910" s="96"/>
      <c r="C910" s="86"/>
      <c r="D910" s="211"/>
      <c r="E910" s="171"/>
    </row>
    <row r="911" hidden="1">
      <c r="A911" s="136"/>
      <c r="B911" s="96"/>
      <c r="C911" s="86"/>
      <c r="D911" s="209"/>
      <c r="E911" s="215"/>
    </row>
    <row r="912" hidden="1">
      <c r="A912" s="136"/>
      <c r="B912" s="96"/>
      <c r="C912" s="86"/>
      <c r="D912" s="211"/>
      <c r="E912" s="171"/>
    </row>
    <row r="913" hidden="1">
      <c r="A913" s="136"/>
      <c r="B913" s="96"/>
      <c r="C913" s="86"/>
      <c r="D913" s="209"/>
      <c r="E913" s="215"/>
    </row>
    <row r="914" hidden="1">
      <c r="A914" s="136"/>
      <c r="B914" s="96"/>
      <c r="C914" s="86"/>
      <c r="D914" s="211"/>
      <c r="E914" s="171"/>
    </row>
    <row r="915" hidden="1">
      <c r="A915" s="136"/>
      <c r="B915" s="96"/>
      <c r="C915" s="86"/>
      <c r="D915" s="209"/>
      <c r="E915" s="215"/>
    </row>
    <row r="916" hidden="1">
      <c r="A916" s="136"/>
      <c r="B916" s="96"/>
      <c r="C916" s="86"/>
      <c r="D916" s="211"/>
      <c r="E916" s="171"/>
    </row>
    <row r="917" hidden="1">
      <c r="A917" s="136"/>
      <c r="B917" s="96"/>
      <c r="C917" s="86"/>
      <c r="D917" s="209"/>
      <c r="E917" s="215"/>
    </row>
    <row r="918" hidden="1">
      <c r="A918" s="136"/>
      <c r="B918" s="96"/>
      <c r="C918" s="86"/>
      <c r="D918" s="211"/>
      <c r="E918" s="171"/>
    </row>
    <row r="919" hidden="1">
      <c r="A919" s="136"/>
      <c r="B919" s="96"/>
      <c r="C919" s="86"/>
      <c r="D919" s="209"/>
      <c r="E919" s="215"/>
    </row>
    <row r="920" hidden="1">
      <c r="A920" s="136"/>
      <c r="B920" s="96"/>
      <c r="C920" s="86"/>
      <c r="D920" s="211"/>
      <c r="E920" s="171"/>
    </row>
    <row r="921" hidden="1">
      <c r="A921" s="136"/>
      <c r="B921" s="96"/>
      <c r="C921" s="86"/>
      <c r="D921" s="209"/>
      <c r="E921" s="215"/>
    </row>
    <row r="922" hidden="1">
      <c r="A922" s="136"/>
      <c r="B922" s="96"/>
      <c r="C922" s="86"/>
      <c r="D922" s="211"/>
      <c r="E922" s="171"/>
    </row>
    <row r="923" hidden="1">
      <c r="A923" s="136"/>
      <c r="B923" s="96"/>
      <c r="C923" s="86"/>
      <c r="D923" s="209"/>
      <c r="E923" s="215"/>
    </row>
    <row r="924" hidden="1">
      <c r="A924" s="136"/>
      <c r="B924" s="96"/>
      <c r="C924" s="86"/>
      <c r="D924" s="211"/>
      <c r="E924" s="171"/>
    </row>
    <row r="925" hidden="1">
      <c r="A925" s="136"/>
      <c r="B925" s="96"/>
      <c r="C925" s="86"/>
      <c r="D925" s="209"/>
      <c r="E925" s="215"/>
    </row>
    <row r="926" hidden="1">
      <c r="A926" s="136"/>
      <c r="B926" s="96"/>
      <c r="C926" s="86"/>
      <c r="D926" s="211"/>
      <c r="E926" s="171"/>
    </row>
    <row r="927" hidden="1">
      <c r="A927" s="136"/>
      <c r="B927" s="96"/>
      <c r="C927" s="86"/>
      <c r="D927" s="209"/>
      <c r="E927" s="215"/>
    </row>
    <row r="928" hidden="1">
      <c r="A928" s="136"/>
      <c r="B928" s="96"/>
      <c r="C928" s="86"/>
      <c r="D928" s="211"/>
      <c r="E928" s="171"/>
    </row>
    <row r="929" hidden="1">
      <c r="A929" s="136"/>
      <c r="B929" s="96"/>
      <c r="C929" s="86"/>
      <c r="D929" s="209"/>
      <c r="E929" s="215"/>
    </row>
    <row r="930" hidden="1">
      <c r="A930" s="136"/>
      <c r="B930" s="96"/>
      <c r="C930" s="86"/>
      <c r="D930" s="211"/>
      <c r="E930" s="171"/>
    </row>
    <row r="931" hidden="1">
      <c r="A931" s="136"/>
      <c r="B931" s="96"/>
      <c r="C931" s="86"/>
      <c r="D931" s="209"/>
      <c r="E931" s="215"/>
    </row>
    <row r="932" hidden="1">
      <c r="A932" s="136"/>
      <c r="B932" s="96"/>
      <c r="C932" s="86"/>
      <c r="D932" s="211"/>
      <c r="E932" s="171"/>
    </row>
    <row r="933" hidden="1">
      <c r="A933" s="136"/>
      <c r="B933" s="96"/>
      <c r="C933" s="86"/>
      <c r="D933" s="209"/>
      <c r="E933" s="215"/>
    </row>
    <row r="934" hidden="1">
      <c r="A934" s="136"/>
      <c r="B934" s="96"/>
      <c r="C934" s="86"/>
      <c r="D934" s="211"/>
      <c r="E934" s="171"/>
    </row>
    <row r="935" hidden="1">
      <c r="A935" s="136"/>
      <c r="B935" s="96"/>
      <c r="C935" s="86"/>
      <c r="D935" s="209"/>
      <c r="E935" s="215"/>
    </row>
    <row r="936" hidden="1">
      <c r="A936" s="136"/>
      <c r="B936" s="96"/>
      <c r="C936" s="86"/>
      <c r="D936" s="211"/>
      <c r="E936" s="171"/>
    </row>
    <row r="937" hidden="1">
      <c r="A937" s="136"/>
      <c r="B937" s="96"/>
      <c r="C937" s="86"/>
      <c r="D937" s="209"/>
      <c r="E937" s="215"/>
    </row>
    <row r="938" hidden="1">
      <c r="A938" s="136"/>
      <c r="B938" s="96"/>
      <c r="C938" s="86"/>
      <c r="D938" s="211"/>
      <c r="E938" s="171"/>
    </row>
    <row r="939" hidden="1">
      <c r="A939" s="136"/>
      <c r="B939" s="96"/>
      <c r="C939" s="86"/>
      <c r="D939" s="209"/>
      <c r="E939" s="215"/>
    </row>
    <row r="940" hidden="1">
      <c r="A940" s="136"/>
      <c r="B940" s="96"/>
      <c r="C940" s="86"/>
      <c r="D940" s="211"/>
      <c r="E940" s="171"/>
    </row>
    <row r="941" hidden="1">
      <c r="A941" s="136"/>
      <c r="B941" s="96"/>
      <c r="C941" s="86"/>
      <c r="D941" s="209"/>
      <c r="E941" s="215"/>
    </row>
    <row r="942" hidden="1">
      <c r="A942" s="136"/>
      <c r="B942" s="96"/>
      <c r="C942" s="86"/>
      <c r="D942" s="211"/>
      <c r="E942" s="171"/>
    </row>
    <row r="943" hidden="1">
      <c r="A943" s="136"/>
      <c r="B943" s="96"/>
      <c r="C943" s="86"/>
      <c r="D943" s="209"/>
      <c r="E943" s="215"/>
    </row>
    <row r="944" hidden="1">
      <c r="A944" s="136"/>
      <c r="B944" s="96"/>
      <c r="C944" s="86"/>
      <c r="D944" s="211"/>
      <c r="E944" s="171"/>
    </row>
    <row r="945" hidden="1">
      <c r="A945" s="136"/>
      <c r="B945" s="96"/>
      <c r="C945" s="86"/>
      <c r="D945" s="209"/>
      <c r="E945" s="215"/>
    </row>
    <row r="946" hidden="1">
      <c r="A946" s="136"/>
      <c r="B946" s="96"/>
      <c r="C946" s="86"/>
      <c r="D946" s="211"/>
      <c r="E946" s="171"/>
    </row>
    <row r="947" hidden="1">
      <c r="A947" s="136"/>
      <c r="B947" s="96"/>
      <c r="C947" s="86"/>
      <c r="D947" s="209"/>
      <c r="E947" s="215"/>
    </row>
    <row r="948" hidden="1">
      <c r="A948" s="136"/>
      <c r="B948" s="96"/>
      <c r="C948" s="86"/>
      <c r="D948" s="211"/>
      <c r="E948" s="171"/>
    </row>
    <row r="949" hidden="1">
      <c r="A949" s="136"/>
      <c r="B949" s="96"/>
      <c r="C949" s="86"/>
      <c r="D949" s="209"/>
      <c r="E949" s="215"/>
    </row>
    <row r="950" hidden="1">
      <c r="A950" s="136"/>
      <c r="B950" s="96"/>
      <c r="C950" s="86"/>
      <c r="D950" s="211"/>
      <c r="E950" s="171"/>
    </row>
    <row r="951" hidden="1">
      <c r="A951" s="136"/>
      <c r="B951" s="96"/>
      <c r="C951" s="86"/>
      <c r="D951" s="209"/>
      <c r="E951" s="215"/>
    </row>
    <row r="952" hidden="1">
      <c r="A952" s="136"/>
      <c r="B952" s="96"/>
      <c r="C952" s="86"/>
      <c r="D952" s="211"/>
      <c r="E952" s="171"/>
    </row>
    <row r="953" hidden="1">
      <c r="A953" s="136"/>
      <c r="B953" s="96"/>
      <c r="C953" s="86"/>
      <c r="D953" s="209"/>
      <c r="E953" s="215"/>
    </row>
    <row r="954" hidden="1">
      <c r="A954" s="136"/>
      <c r="B954" s="96"/>
      <c r="C954" s="86"/>
      <c r="D954" s="211"/>
      <c r="E954" s="171"/>
    </row>
    <row r="955" hidden="1">
      <c r="A955" s="136"/>
      <c r="B955" s="96"/>
      <c r="C955" s="86"/>
      <c r="D955" s="209"/>
      <c r="E955" s="215"/>
    </row>
    <row r="956" hidden="1">
      <c r="A956" s="136"/>
      <c r="B956" s="96"/>
      <c r="C956" s="86"/>
      <c r="D956" s="211"/>
      <c r="E956" s="171"/>
    </row>
    <row r="957" hidden="1">
      <c r="A957" s="136"/>
      <c r="B957" s="96"/>
      <c r="C957" s="86"/>
      <c r="D957" s="209"/>
      <c r="E957" s="215"/>
    </row>
    <row r="958" hidden="1">
      <c r="A958" s="136"/>
      <c r="B958" s="96"/>
      <c r="C958" s="86"/>
      <c r="D958" s="211"/>
      <c r="E958" s="171"/>
    </row>
    <row r="959" hidden="1">
      <c r="A959" s="136"/>
      <c r="B959" s="96"/>
      <c r="C959" s="86"/>
      <c r="D959" s="209"/>
      <c r="E959" s="215"/>
    </row>
    <row r="960" hidden="1">
      <c r="A960" s="136"/>
      <c r="B960" s="96"/>
      <c r="C960" s="86"/>
      <c r="D960" s="211"/>
      <c r="E960" s="171"/>
    </row>
    <row r="961" hidden="1">
      <c r="A961" s="136"/>
      <c r="B961" s="96"/>
      <c r="C961" s="86"/>
      <c r="D961" s="209"/>
      <c r="E961" s="215"/>
    </row>
    <row r="962" hidden="1">
      <c r="A962" s="136"/>
      <c r="B962" s="96"/>
      <c r="C962" s="86"/>
      <c r="D962" s="211"/>
      <c r="E962" s="171"/>
    </row>
    <row r="963" hidden="1">
      <c r="A963" s="136"/>
      <c r="B963" s="96"/>
      <c r="C963" s="86"/>
      <c r="D963" s="209"/>
      <c r="E963" s="215"/>
    </row>
    <row r="964" hidden="1">
      <c r="A964" s="136"/>
      <c r="B964" s="96"/>
      <c r="C964" s="86"/>
      <c r="D964" s="211"/>
      <c r="E964" s="171"/>
    </row>
    <row r="965" hidden="1">
      <c r="A965" s="136"/>
      <c r="B965" s="96"/>
      <c r="C965" s="86"/>
      <c r="D965" s="209"/>
      <c r="E965" s="215"/>
    </row>
    <row r="966" hidden="1">
      <c r="A966" s="136"/>
      <c r="B966" s="96"/>
      <c r="C966" s="86"/>
      <c r="D966" s="211"/>
      <c r="E966" s="171"/>
    </row>
    <row r="967" hidden="1">
      <c r="A967" s="136"/>
      <c r="B967" s="96"/>
      <c r="C967" s="86"/>
      <c r="D967" s="209"/>
      <c r="E967" s="215"/>
    </row>
    <row r="968" hidden="1">
      <c r="A968" s="136"/>
      <c r="B968" s="96"/>
      <c r="C968" s="86"/>
      <c r="D968" s="211"/>
      <c r="E968" s="171"/>
    </row>
    <row r="969" hidden="1">
      <c r="A969" s="136"/>
      <c r="B969" s="96"/>
      <c r="C969" s="86"/>
      <c r="D969" s="209"/>
      <c r="E969" s="215"/>
    </row>
    <row r="970" hidden="1">
      <c r="A970" s="136"/>
      <c r="B970" s="96"/>
      <c r="C970" s="86"/>
      <c r="D970" s="211"/>
      <c r="E970" s="171"/>
    </row>
    <row r="971" hidden="1">
      <c r="A971" s="136"/>
      <c r="B971" s="96"/>
      <c r="C971" s="86"/>
      <c r="D971" s="209"/>
      <c r="E971" s="215"/>
    </row>
    <row r="972" hidden="1">
      <c r="A972" s="136"/>
      <c r="B972" s="96"/>
      <c r="C972" s="86"/>
      <c r="D972" s="211"/>
      <c r="E972" s="171"/>
    </row>
    <row r="973" hidden="1">
      <c r="A973" s="136"/>
      <c r="B973" s="96"/>
      <c r="C973" s="86"/>
      <c r="D973" s="209"/>
      <c r="E973" s="215"/>
    </row>
    <row r="974" hidden="1">
      <c r="A974" s="136"/>
      <c r="B974" s="96"/>
      <c r="C974" s="86"/>
      <c r="D974" s="211"/>
      <c r="E974" s="171"/>
    </row>
    <row r="975" hidden="1">
      <c r="A975" s="136"/>
      <c r="B975" s="96"/>
      <c r="C975" s="86"/>
      <c r="D975" s="209"/>
      <c r="E975" s="215"/>
    </row>
    <row r="976" hidden="1">
      <c r="A976" s="136"/>
      <c r="B976" s="96"/>
      <c r="C976" s="86"/>
      <c r="D976" s="211"/>
      <c r="E976" s="171"/>
    </row>
    <row r="977" hidden="1">
      <c r="A977" s="136"/>
      <c r="B977" s="96"/>
      <c r="C977" s="86"/>
      <c r="D977" s="209"/>
      <c r="E977" s="215"/>
    </row>
    <row r="978" hidden="1">
      <c r="A978" s="136"/>
      <c r="B978" s="96"/>
      <c r="C978" s="86"/>
      <c r="D978" s="211"/>
      <c r="E978" s="171"/>
    </row>
    <row r="979" hidden="1">
      <c r="A979" s="136"/>
      <c r="B979" s="96"/>
      <c r="C979" s="86"/>
      <c r="D979" s="209"/>
      <c r="E979" s="215"/>
    </row>
    <row r="980" hidden="1">
      <c r="A980" s="136"/>
      <c r="B980" s="96"/>
      <c r="C980" s="86"/>
      <c r="D980" s="211"/>
      <c r="E980" s="171"/>
    </row>
    <row r="981" hidden="1">
      <c r="A981" s="136"/>
      <c r="B981" s="96"/>
      <c r="C981" s="86"/>
      <c r="D981" s="209"/>
      <c r="E981" s="215"/>
    </row>
    <row r="982" hidden="1">
      <c r="A982" s="136"/>
      <c r="B982" s="96"/>
      <c r="C982" s="86"/>
      <c r="D982" s="211"/>
      <c r="E982" s="171"/>
    </row>
    <row r="983" hidden="1">
      <c r="A983" s="136"/>
      <c r="B983" s="96"/>
      <c r="C983" s="86"/>
      <c r="D983" s="209"/>
      <c r="E983" s="215"/>
    </row>
    <row r="984" hidden="1">
      <c r="A984" s="136"/>
      <c r="B984" s="96"/>
      <c r="C984" s="86"/>
      <c r="D984" s="211"/>
      <c r="E984" s="171"/>
    </row>
    <row r="985" hidden="1">
      <c r="A985" s="136"/>
      <c r="B985" s="96"/>
      <c r="C985" s="86"/>
      <c r="D985" s="209"/>
      <c r="E985" s="215"/>
    </row>
    <row r="986" hidden="1">
      <c r="A986" s="136"/>
      <c r="B986" s="96"/>
      <c r="C986" s="86"/>
      <c r="D986" s="211"/>
      <c r="E986" s="171"/>
    </row>
    <row r="987" hidden="1">
      <c r="A987" s="136"/>
      <c r="B987" s="96"/>
      <c r="C987" s="86"/>
      <c r="D987" s="209"/>
      <c r="E987" s="215"/>
    </row>
    <row r="988" hidden="1">
      <c r="A988" s="136"/>
      <c r="B988" s="96"/>
      <c r="C988" s="86"/>
      <c r="D988" s="211"/>
      <c r="E988" s="171"/>
    </row>
    <row r="989" hidden="1">
      <c r="A989" s="136"/>
      <c r="B989" s="96"/>
      <c r="C989" s="86"/>
      <c r="D989" s="209"/>
      <c r="E989" s="215"/>
    </row>
    <row r="990" hidden="1">
      <c r="A990" s="136"/>
      <c r="B990" s="96"/>
      <c r="C990" s="86"/>
      <c r="D990" s="211"/>
      <c r="E990" s="171"/>
    </row>
    <row r="991" hidden="1">
      <c r="A991" s="136"/>
      <c r="B991" s="96"/>
      <c r="C991" s="86"/>
      <c r="D991" s="209"/>
      <c r="E991" s="215"/>
    </row>
    <row r="992" hidden="1">
      <c r="A992" s="136"/>
      <c r="B992" s="96"/>
      <c r="C992" s="86"/>
      <c r="D992" s="211"/>
      <c r="E992" s="171"/>
    </row>
    <row r="993" hidden="1">
      <c r="A993" s="136"/>
      <c r="B993" s="96"/>
      <c r="C993" s="86"/>
      <c r="D993" s="209"/>
      <c r="E993" s="215"/>
    </row>
    <row r="994" hidden="1">
      <c r="A994" s="136"/>
      <c r="B994" s="96"/>
      <c r="C994" s="86"/>
      <c r="D994" s="211"/>
      <c r="E994" s="171"/>
    </row>
    <row r="995" hidden="1">
      <c r="A995" s="136"/>
      <c r="B995" s="96"/>
      <c r="C995" s="86"/>
      <c r="D995" s="209"/>
      <c r="E995" s="215"/>
    </row>
    <row r="996" hidden="1">
      <c r="A996" s="136"/>
      <c r="B996" s="96"/>
      <c r="C996" s="86"/>
      <c r="D996" s="211"/>
      <c r="E996" s="171"/>
    </row>
    <row r="997" hidden="1">
      <c r="A997" s="136"/>
      <c r="B997" s="96"/>
      <c r="C997" s="86"/>
      <c r="D997" s="209"/>
      <c r="E997" s="215"/>
    </row>
    <row r="998" hidden="1">
      <c r="A998" s="136"/>
      <c r="B998" s="96"/>
      <c r="C998" s="86"/>
      <c r="D998" s="211"/>
      <c r="E998" s="171"/>
    </row>
    <row r="999" hidden="1">
      <c r="A999" s="136"/>
      <c r="B999" s="96"/>
      <c r="C999" s="86"/>
      <c r="D999" s="209"/>
      <c r="E999" s="215"/>
    </row>
    <row r="1000" hidden="1">
      <c r="A1000" s="136"/>
      <c r="B1000" s="96"/>
      <c r="C1000" s="86"/>
      <c r="D1000" s="211"/>
      <c r="E1000" s="171"/>
    </row>
    <row r="1001" hidden="1">
      <c r="A1001" s="136"/>
      <c r="B1001" s="96"/>
      <c r="C1001" s="86"/>
      <c r="D1001" s="209"/>
      <c r="E1001" s="215"/>
    </row>
    <row r="1002" hidden="1">
      <c r="A1002" s="136"/>
      <c r="B1002" s="96"/>
      <c r="C1002" s="86"/>
      <c r="D1002" s="211"/>
      <c r="E1002" s="171"/>
    </row>
    <row r="1003" hidden="1">
      <c r="A1003" s="136"/>
      <c r="B1003" s="96"/>
      <c r="C1003" s="86"/>
      <c r="D1003" s="209"/>
      <c r="E1003" s="215"/>
    </row>
    <row r="1004" hidden="1">
      <c r="A1004" s="136"/>
      <c r="B1004" s="96"/>
      <c r="C1004" s="86"/>
      <c r="D1004" s="211"/>
      <c r="E1004" s="171"/>
    </row>
    <row r="1005" hidden="1">
      <c r="A1005" s="136"/>
      <c r="B1005" s="96"/>
      <c r="C1005" s="86"/>
      <c r="D1005" s="209"/>
      <c r="E1005" s="215"/>
    </row>
    <row r="1006" hidden="1">
      <c r="A1006" s="136"/>
      <c r="B1006" s="96"/>
      <c r="C1006" s="86"/>
      <c r="D1006" s="211"/>
      <c r="E1006" s="171"/>
    </row>
    <row r="1007" hidden="1">
      <c r="A1007" s="136"/>
      <c r="B1007" s="96"/>
      <c r="C1007" s="86"/>
      <c r="D1007" s="209"/>
      <c r="E1007" s="215"/>
    </row>
    <row r="1008" hidden="1">
      <c r="A1008" s="136"/>
      <c r="B1008" s="96"/>
      <c r="C1008" s="86"/>
      <c r="D1008" s="211"/>
      <c r="E1008" s="171"/>
    </row>
    <row r="1009" hidden="1">
      <c r="A1009" s="136"/>
      <c r="B1009" s="96"/>
      <c r="C1009" s="86"/>
      <c r="D1009" s="209"/>
      <c r="E1009" s="215"/>
    </row>
    <row r="1010" hidden="1">
      <c r="A1010" s="136"/>
      <c r="B1010" s="96"/>
      <c r="C1010" s="86"/>
      <c r="D1010" s="211"/>
      <c r="E1010" s="171"/>
    </row>
    <row r="1011" hidden="1">
      <c r="A1011" s="136"/>
      <c r="B1011" s="96"/>
      <c r="C1011" s="86"/>
      <c r="D1011" s="209"/>
      <c r="E1011" s="215"/>
    </row>
    <row r="1012" hidden="1">
      <c r="A1012" s="136"/>
      <c r="B1012" s="96"/>
      <c r="C1012" s="86"/>
      <c r="D1012" s="211"/>
      <c r="E1012" s="171"/>
    </row>
    <row r="1013" hidden="1">
      <c r="A1013" s="136"/>
      <c r="B1013" s="96"/>
      <c r="C1013" s="86"/>
      <c r="D1013" s="209"/>
      <c r="E1013" s="215"/>
    </row>
    <row r="1014" hidden="1">
      <c r="A1014" s="136"/>
      <c r="B1014" s="96"/>
      <c r="C1014" s="86"/>
      <c r="D1014" s="211"/>
      <c r="E1014" s="171"/>
    </row>
    <row r="1015" hidden="1">
      <c r="A1015" s="136"/>
      <c r="B1015" s="96"/>
      <c r="C1015" s="86"/>
      <c r="D1015" s="209"/>
      <c r="E1015" s="215"/>
    </row>
    <row r="1016" hidden="1">
      <c r="A1016" s="136"/>
      <c r="B1016" s="96"/>
      <c r="C1016" s="86"/>
      <c r="D1016" s="211"/>
      <c r="E1016" s="171"/>
    </row>
    <row r="1017" hidden="1">
      <c r="A1017" s="136"/>
      <c r="B1017" s="96"/>
      <c r="C1017" s="86"/>
      <c r="D1017" s="209"/>
      <c r="E1017" s="215"/>
    </row>
    <row r="1018" hidden="1">
      <c r="A1018" s="136"/>
      <c r="B1018" s="96"/>
      <c r="C1018" s="86"/>
      <c r="D1018" s="211"/>
      <c r="E1018" s="171"/>
    </row>
    <row r="1019" hidden="1">
      <c r="A1019" s="136"/>
      <c r="B1019" s="96"/>
      <c r="C1019" s="86"/>
      <c r="D1019" s="209"/>
      <c r="E1019" s="215"/>
    </row>
    <row r="1020" hidden="1">
      <c r="A1020" s="136"/>
      <c r="B1020" s="96"/>
      <c r="C1020" s="86"/>
      <c r="D1020" s="211"/>
      <c r="E1020" s="171"/>
    </row>
    <row r="1021" hidden="1">
      <c r="A1021" s="136"/>
      <c r="B1021" s="96"/>
      <c r="C1021" s="86"/>
      <c r="D1021" s="209"/>
      <c r="E1021" s="215"/>
    </row>
    <row r="1022" hidden="1">
      <c r="A1022" s="136"/>
      <c r="B1022" s="96"/>
      <c r="C1022" s="86"/>
      <c r="D1022" s="211"/>
      <c r="E1022" s="171"/>
    </row>
    <row r="1023" hidden="1">
      <c r="A1023" s="136"/>
      <c r="B1023" s="96"/>
      <c r="C1023" s="86"/>
      <c r="D1023" s="209"/>
      <c r="E1023" s="215"/>
    </row>
    <row r="1024" hidden="1">
      <c r="A1024" s="136"/>
      <c r="B1024" s="96"/>
      <c r="C1024" s="86"/>
      <c r="D1024" s="211"/>
      <c r="E1024" s="171"/>
    </row>
    <row r="1025" hidden="1">
      <c r="A1025" s="136"/>
      <c r="B1025" s="96"/>
      <c r="C1025" s="86"/>
      <c r="D1025" s="209"/>
      <c r="E1025" s="215"/>
    </row>
    <row r="1026" hidden="1">
      <c r="A1026" s="136"/>
      <c r="B1026" s="96"/>
      <c r="C1026" s="86"/>
      <c r="D1026" s="211"/>
      <c r="E1026" s="171"/>
    </row>
    <row r="1027" hidden="1">
      <c r="A1027" s="136"/>
      <c r="B1027" s="96"/>
      <c r="C1027" s="86"/>
      <c r="D1027" s="209"/>
      <c r="E1027" s="215"/>
    </row>
    <row r="1028" hidden="1">
      <c r="A1028" s="136"/>
      <c r="B1028" s="96"/>
      <c r="C1028" s="86"/>
      <c r="D1028" s="211"/>
      <c r="E1028" s="171"/>
    </row>
    <row r="1029" hidden="1">
      <c r="A1029" s="136"/>
      <c r="B1029" s="96"/>
      <c r="C1029" s="86"/>
      <c r="D1029" s="209"/>
      <c r="E1029" s="215"/>
    </row>
    <row r="1030" hidden="1">
      <c r="A1030" s="136"/>
      <c r="B1030" s="96"/>
      <c r="C1030" s="86"/>
      <c r="D1030" s="211"/>
      <c r="E1030" s="171"/>
    </row>
    <row r="1031" hidden="1">
      <c r="A1031" s="136"/>
      <c r="B1031" s="96"/>
      <c r="C1031" s="86"/>
      <c r="D1031" s="209"/>
      <c r="E1031" s="215"/>
    </row>
    <row r="1032" hidden="1">
      <c r="A1032" s="136"/>
      <c r="B1032" s="96"/>
      <c r="C1032" s="86"/>
      <c r="D1032" s="211"/>
      <c r="E1032" s="171"/>
    </row>
    <row r="1033" hidden="1">
      <c r="A1033" s="136"/>
      <c r="B1033" s="96"/>
      <c r="C1033" s="86"/>
      <c r="D1033" s="209"/>
      <c r="E1033" s="215"/>
    </row>
    <row r="1034" hidden="1">
      <c r="A1034" s="136"/>
      <c r="B1034" s="96"/>
      <c r="C1034" s="86"/>
      <c r="D1034" s="211"/>
      <c r="E1034" s="171"/>
    </row>
    <row r="1035" hidden="1">
      <c r="A1035" s="136"/>
      <c r="B1035" s="96"/>
      <c r="C1035" s="86"/>
      <c r="D1035" s="209"/>
      <c r="E1035" s="215"/>
    </row>
    <row r="1036" hidden="1">
      <c r="A1036" s="136"/>
      <c r="B1036" s="96"/>
      <c r="C1036" s="86"/>
      <c r="D1036" s="211"/>
      <c r="E1036" s="171"/>
    </row>
    <row r="1037" hidden="1">
      <c r="A1037" s="136"/>
      <c r="B1037" s="96"/>
      <c r="C1037" s="86"/>
      <c r="D1037" s="209"/>
      <c r="E1037" s="215"/>
    </row>
    <row r="1038" hidden="1">
      <c r="A1038" s="136"/>
      <c r="B1038" s="96"/>
      <c r="C1038" s="86"/>
      <c r="D1038" s="211"/>
      <c r="E1038" s="171"/>
    </row>
    <row r="1039" hidden="1">
      <c r="A1039" s="136"/>
      <c r="B1039" s="96"/>
      <c r="C1039" s="86"/>
      <c r="D1039" s="209"/>
      <c r="E1039" s="215"/>
    </row>
    <row r="1040" hidden="1">
      <c r="A1040" s="136"/>
      <c r="B1040" s="96"/>
      <c r="C1040" s="86"/>
      <c r="D1040" s="211"/>
      <c r="E1040" s="171"/>
    </row>
    <row r="1041" hidden="1">
      <c r="A1041" s="136"/>
      <c r="B1041" s="96"/>
      <c r="C1041" s="86"/>
      <c r="D1041" s="209"/>
      <c r="E1041" s="215"/>
    </row>
    <row r="1042" hidden="1">
      <c r="A1042" s="136"/>
      <c r="B1042" s="96"/>
      <c r="C1042" s="86"/>
      <c r="D1042" s="211"/>
      <c r="E1042" s="171"/>
    </row>
    <row r="1043" hidden="1">
      <c r="A1043" s="136"/>
      <c r="B1043" s="96"/>
      <c r="C1043" s="86"/>
      <c r="D1043" s="209"/>
      <c r="E1043" s="215"/>
    </row>
    <row r="1044" hidden="1">
      <c r="A1044" s="136"/>
      <c r="B1044" s="96"/>
      <c r="C1044" s="86"/>
      <c r="D1044" s="211"/>
      <c r="E1044" s="171"/>
    </row>
    <row r="1045" hidden="1">
      <c r="A1045" s="136"/>
      <c r="B1045" s="96"/>
      <c r="C1045" s="86"/>
      <c r="D1045" s="209"/>
      <c r="E1045" s="215"/>
    </row>
    <row r="1046" hidden="1">
      <c r="A1046" s="136"/>
      <c r="B1046" s="96"/>
      <c r="C1046" s="86"/>
      <c r="D1046" s="211"/>
      <c r="E1046" s="171"/>
    </row>
    <row r="1047" hidden="1">
      <c r="A1047" s="136"/>
      <c r="B1047" s="96"/>
      <c r="C1047" s="86"/>
      <c r="D1047" s="209"/>
      <c r="E1047" s="215"/>
    </row>
    <row r="1048" hidden="1">
      <c r="A1048" s="136"/>
      <c r="B1048" s="96"/>
      <c r="C1048" s="86"/>
      <c r="D1048" s="211"/>
      <c r="E1048" s="171"/>
    </row>
    <row r="1049" hidden="1">
      <c r="A1049" s="136"/>
      <c r="B1049" s="96"/>
      <c r="C1049" s="86"/>
      <c r="D1049" s="209"/>
      <c r="E1049" s="215"/>
    </row>
    <row r="1050" hidden="1">
      <c r="A1050" s="136"/>
      <c r="B1050" s="96"/>
      <c r="C1050" s="86"/>
      <c r="D1050" s="211"/>
      <c r="E1050" s="171"/>
    </row>
    <row r="1051" hidden="1">
      <c r="A1051" s="136"/>
      <c r="B1051" s="96"/>
      <c r="C1051" s="86"/>
      <c r="D1051" s="209"/>
      <c r="E1051" s="215"/>
    </row>
    <row r="1052" hidden="1">
      <c r="A1052" s="136"/>
      <c r="B1052" s="96"/>
      <c r="C1052" s="86"/>
      <c r="D1052" s="211"/>
      <c r="E1052" s="171"/>
    </row>
    <row r="1053" hidden="1">
      <c r="A1053" s="136"/>
      <c r="B1053" s="96"/>
      <c r="C1053" s="86"/>
      <c r="D1053" s="209"/>
      <c r="E1053" s="215"/>
    </row>
    <row r="1054" hidden="1">
      <c r="A1054" s="136"/>
      <c r="B1054" s="96"/>
      <c r="C1054" s="86"/>
      <c r="D1054" s="211"/>
      <c r="E1054" s="171"/>
    </row>
    <row r="1055" hidden="1">
      <c r="A1055" s="136"/>
      <c r="B1055" s="96"/>
      <c r="C1055" s="86"/>
      <c r="D1055" s="209"/>
      <c r="E1055" s="215"/>
    </row>
    <row r="1056" hidden="1">
      <c r="A1056" s="136"/>
      <c r="B1056" s="96"/>
      <c r="C1056" s="86"/>
      <c r="D1056" s="211"/>
      <c r="E1056" s="171"/>
    </row>
    <row r="1057" hidden="1">
      <c r="A1057" s="136"/>
      <c r="B1057" s="96"/>
      <c r="C1057" s="86"/>
      <c r="D1057" s="209"/>
      <c r="E1057" s="215"/>
    </row>
    <row r="1058" hidden="1">
      <c r="A1058" s="136"/>
      <c r="B1058" s="96"/>
      <c r="C1058" s="86"/>
      <c r="D1058" s="211"/>
      <c r="E1058" s="171"/>
    </row>
    <row r="1059" hidden="1">
      <c r="A1059" s="136"/>
      <c r="B1059" s="96"/>
      <c r="C1059" s="86"/>
      <c r="D1059" s="209"/>
      <c r="E1059" s="215"/>
    </row>
    <row r="1060" hidden="1">
      <c r="A1060" s="136"/>
      <c r="B1060" s="96"/>
      <c r="C1060" s="86"/>
      <c r="D1060" s="211"/>
      <c r="E1060" s="171"/>
    </row>
    <row r="1061" hidden="1">
      <c r="A1061" s="136"/>
      <c r="B1061" s="96"/>
      <c r="C1061" s="86"/>
      <c r="D1061" s="209"/>
      <c r="E1061" s="215"/>
    </row>
    <row r="1062" hidden="1">
      <c r="A1062" s="136"/>
      <c r="B1062" s="96"/>
      <c r="C1062" s="86"/>
      <c r="D1062" s="211"/>
      <c r="E1062" s="171"/>
    </row>
    <row r="1063" hidden="1">
      <c r="A1063" s="136"/>
      <c r="B1063" s="96"/>
      <c r="C1063" s="86"/>
      <c r="D1063" s="209"/>
      <c r="E1063" s="215"/>
    </row>
    <row r="1064" hidden="1">
      <c r="A1064" s="136"/>
      <c r="B1064" s="96"/>
      <c r="C1064" s="86"/>
      <c r="D1064" s="211"/>
      <c r="E1064" s="171"/>
    </row>
    <row r="1065" hidden="1">
      <c r="A1065" s="136"/>
      <c r="B1065" s="96"/>
      <c r="C1065" s="86"/>
      <c r="D1065" s="209"/>
      <c r="E1065" s="215"/>
    </row>
    <row r="1066" hidden="1">
      <c r="A1066" s="136"/>
      <c r="B1066" s="96"/>
      <c r="C1066" s="86"/>
      <c r="D1066" s="211"/>
      <c r="E1066" s="171"/>
    </row>
    <row r="1067" hidden="1">
      <c r="A1067" s="136"/>
      <c r="B1067" s="96"/>
      <c r="C1067" s="86"/>
      <c r="D1067" s="209"/>
      <c r="E1067" s="215"/>
    </row>
    <row r="1068" hidden="1">
      <c r="A1068" s="136"/>
      <c r="B1068" s="96"/>
      <c r="C1068" s="86"/>
      <c r="D1068" s="211"/>
      <c r="E1068" s="171"/>
    </row>
    <row r="1069" hidden="1">
      <c r="A1069" s="136"/>
      <c r="B1069" s="96"/>
      <c r="C1069" s="86"/>
      <c r="D1069" s="209"/>
      <c r="E1069" s="215"/>
    </row>
    <row r="1070" hidden="1">
      <c r="A1070" s="136"/>
      <c r="B1070" s="96"/>
      <c r="C1070" s="86"/>
      <c r="D1070" s="211"/>
      <c r="E1070" s="171"/>
    </row>
    <row r="1071" hidden="1">
      <c r="A1071" s="136"/>
      <c r="B1071" s="96"/>
      <c r="C1071" s="86"/>
      <c r="D1071" s="209"/>
      <c r="E1071" s="215"/>
    </row>
    <row r="1072" hidden="1">
      <c r="A1072" s="136"/>
      <c r="B1072" s="96"/>
      <c r="C1072" s="86"/>
      <c r="D1072" s="211"/>
      <c r="E1072" s="171"/>
    </row>
    <row r="1073" hidden="1">
      <c r="A1073" s="136"/>
      <c r="B1073" s="96"/>
      <c r="C1073" s="86"/>
      <c r="D1073" s="209"/>
      <c r="E1073" s="215"/>
    </row>
    <row r="1074" hidden="1">
      <c r="A1074" s="136"/>
      <c r="B1074" s="96"/>
      <c r="C1074" s="86"/>
      <c r="D1074" s="211"/>
      <c r="E1074" s="171"/>
    </row>
    <row r="1075" hidden="1">
      <c r="A1075" s="136"/>
      <c r="B1075" s="96"/>
      <c r="C1075" s="86"/>
      <c r="D1075" s="209"/>
      <c r="E1075" s="215"/>
    </row>
    <row r="1076" hidden="1">
      <c r="A1076" s="136"/>
      <c r="B1076" s="96"/>
      <c r="C1076" s="86"/>
      <c r="D1076" s="211"/>
      <c r="E1076" s="171"/>
    </row>
    <row r="1077" hidden="1">
      <c r="A1077" s="136"/>
      <c r="B1077" s="96"/>
      <c r="C1077" s="86"/>
      <c r="D1077" s="209"/>
      <c r="E1077" s="215"/>
    </row>
    <row r="1078" hidden="1">
      <c r="A1078" s="136"/>
      <c r="B1078" s="96"/>
      <c r="C1078" s="86"/>
      <c r="D1078" s="211"/>
      <c r="E1078" s="171"/>
    </row>
    <row r="1079" hidden="1">
      <c r="A1079" s="136"/>
      <c r="B1079" s="96"/>
      <c r="C1079" s="86"/>
      <c r="D1079" s="209"/>
      <c r="E1079" s="215"/>
    </row>
    <row r="1080" hidden="1">
      <c r="A1080" s="136"/>
      <c r="B1080" s="96"/>
      <c r="C1080" s="86"/>
      <c r="D1080" s="211"/>
      <c r="E1080" s="171"/>
    </row>
    <row r="1081" hidden="1">
      <c r="A1081" s="136"/>
      <c r="B1081" s="96"/>
      <c r="C1081" s="86"/>
      <c r="D1081" s="209"/>
      <c r="E1081" s="215"/>
    </row>
    <row r="1082" hidden="1">
      <c r="A1082" s="136"/>
      <c r="B1082" s="96"/>
      <c r="C1082" s="86"/>
      <c r="D1082" s="211"/>
      <c r="E1082" s="171"/>
    </row>
    <row r="1083" hidden="1">
      <c r="A1083" s="136"/>
      <c r="B1083" s="96"/>
      <c r="C1083" s="86"/>
      <c r="D1083" s="209"/>
      <c r="E1083" s="215"/>
    </row>
    <row r="1084" hidden="1">
      <c r="A1084" s="136"/>
      <c r="B1084" s="96"/>
      <c r="C1084" s="86"/>
      <c r="D1084" s="211"/>
      <c r="E1084" s="171"/>
    </row>
    <row r="1085" hidden="1">
      <c r="A1085" s="136"/>
      <c r="B1085" s="96"/>
      <c r="C1085" s="86"/>
      <c r="D1085" s="209"/>
      <c r="E1085" s="215"/>
    </row>
    <row r="1086" hidden="1">
      <c r="A1086" s="136"/>
      <c r="B1086" s="96"/>
      <c r="C1086" s="86"/>
      <c r="D1086" s="211"/>
      <c r="E1086" s="171"/>
    </row>
    <row r="1087" hidden="1">
      <c r="A1087" s="136"/>
      <c r="B1087" s="96"/>
      <c r="C1087" s="86"/>
      <c r="D1087" s="209"/>
      <c r="E1087" s="215"/>
    </row>
    <row r="1088" hidden="1">
      <c r="A1088" s="136"/>
      <c r="B1088" s="96"/>
      <c r="C1088" s="86"/>
      <c r="D1088" s="211"/>
      <c r="E1088" s="171"/>
    </row>
    <row r="1089" hidden="1">
      <c r="A1089" s="136"/>
      <c r="B1089" s="96"/>
      <c r="C1089" s="86"/>
      <c r="D1089" s="209"/>
      <c r="E1089" s="215"/>
    </row>
    <row r="1090" hidden="1">
      <c r="A1090" s="136"/>
      <c r="B1090" s="96"/>
      <c r="C1090" s="86"/>
      <c r="D1090" s="211"/>
      <c r="E1090" s="171"/>
    </row>
    <row r="1091" hidden="1">
      <c r="A1091" s="136"/>
      <c r="B1091" s="96"/>
      <c r="C1091" s="86"/>
      <c r="D1091" s="209"/>
      <c r="E1091" s="215"/>
    </row>
    <row r="1092" hidden="1">
      <c r="A1092" s="136"/>
      <c r="B1092" s="96"/>
      <c r="C1092" s="86"/>
      <c r="D1092" s="211"/>
      <c r="E1092" s="171"/>
    </row>
    <row r="1093" hidden="1">
      <c r="A1093" s="136"/>
      <c r="B1093" s="96"/>
      <c r="C1093" s="86"/>
      <c r="D1093" s="209"/>
      <c r="E1093" s="215"/>
    </row>
    <row r="1094" hidden="1">
      <c r="A1094" s="136"/>
      <c r="B1094" s="96"/>
      <c r="C1094" s="86"/>
      <c r="D1094" s="211"/>
      <c r="E1094" s="171"/>
    </row>
    <row r="1095" hidden="1">
      <c r="A1095" s="136"/>
      <c r="B1095" s="96"/>
      <c r="C1095" s="86"/>
      <c r="D1095" s="209"/>
      <c r="E1095" s="215"/>
    </row>
    <row r="1096" hidden="1">
      <c r="A1096" s="136"/>
      <c r="B1096" s="96"/>
      <c r="C1096" s="86"/>
      <c r="D1096" s="211"/>
      <c r="E1096" s="171"/>
    </row>
    <row r="1097" hidden="1">
      <c r="A1097" s="136"/>
      <c r="B1097" s="96"/>
      <c r="C1097" s="86"/>
      <c r="D1097" s="209"/>
      <c r="E1097" s="215"/>
    </row>
    <row r="1098" hidden="1">
      <c r="A1098" s="136"/>
      <c r="B1098" s="96"/>
      <c r="C1098" s="86"/>
      <c r="D1098" s="211"/>
      <c r="E1098" s="171"/>
    </row>
    <row r="1099" hidden="1">
      <c r="A1099" s="136"/>
      <c r="B1099" s="96"/>
      <c r="C1099" s="86"/>
      <c r="D1099" s="209"/>
      <c r="E1099" s="215"/>
    </row>
    <row r="1100" hidden="1">
      <c r="A1100" s="136"/>
      <c r="B1100" s="96"/>
      <c r="C1100" s="86"/>
      <c r="D1100" s="211"/>
      <c r="E1100" s="171"/>
    </row>
    <row r="1101" hidden="1">
      <c r="A1101" s="136"/>
      <c r="B1101" s="96"/>
      <c r="C1101" s="86"/>
      <c r="D1101" s="209"/>
      <c r="E1101" s="215"/>
    </row>
    <row r="1102" hidden="1">
      <c r="A1102" s="136"/>
      <c r="B1102" s="96"/>
      <c r="C1102" s="86"/>
      <c r="D1102" s="211"/>
      <c r="E1102" s="171"/>
    </row>
    <row r="1103" hidden="1">
      <c r="A1103" s="136"/>
      <c r="B1103" s="96"/>
      <c r="C1103" s="86"/>
      <c r="D1103" s="209"/>
      <c r="E1103" s="215"/>
    </row>
    <row r="1104" hidden="1">
      <c r="A1104" s="136"/>
      <c r="B1104" s="96"/>
      <c r="C1104" s="86"/>
      <c r="D1104" s="211"/>
      <c r="E1104" s="171"/>
    </row>
    <row r="1105" hidden="1">
      <c r="A1105" s="136"/>
      <c r="B1105" s="96"/>
      <c r="C1105" s="86"/>
      <c r="D1105" s="209"/>
      <c r="E1105" s="215"/>
    </row>
    <row r="1106" hidden="1">
      <c r="A1106" s="136"/>
      <c r="B1106" s="96"/>
      <c r="C1106" s="86"/>
      <c r="D1106" s="211"/>
      <c r="E1106" s="171"/>
    </row>
    <row r="1107" hidden="1">
      <c r="A1107" s="136"/>
      <c r="B1107" s="96"/>
      <c r="C1107" s="86"/>
      <c r="D1107" s="209"/>
      <c r="E1107" s="215"/>
    </row>
    <row r="1108" hidden="1">
      <c r="A1108" s="136"/>
      <c r="B1108" s="96"/>
      <c r="C1108" s="86"/>
      <c r="D1108" s="211"/>
      <c r="E1108" s="171"/>
    </row>
    <row r="1109" hidden="1">
      <c r="A1109" s="136"/>
      <c r="B1109" s="96"/>
      <c r="C1109" s="86"/>
      <c r="D1109" s="209"/>
      <c r="E1109" s="215"/>
    </row>
    <row r="1110" hidden="1">
      <c r="A1110" s="136"/>
      <c r="B1110" s="96"/>
      <c r="C1110" s="86"/>
      <c r="D1110" s="211"/>
      <c r="E1110" s="171"/>
    </row>
    <row r="1111" hidden="1">
      <c r="A1111" s="136"/>
      <c r="B1111" s="96"/>
      <c r="C1111" s="86"/>
      <c r="D1111" s="209"/>
      <c r="E1111" s="215"/>
    </row>
    <row r="1112" hidden="1">
      <c r="A1112" s="136"/>
      <c r="B1112" s="96"/>
      <c r="C1112" s="86"/>
      <c r="D1112" s="211"/>
      <c r="E1112" s="171"/>
    </row>
    <row r="1113" hidden="1">
      <c r="A1113" s="136"/>
      <c r="B1113" s="96"/>
      <c r="C1113" s="86"/>
      <c r="D1113" s="209"/>
      <c r="E1113" s="215"/>
    </row>
    <row r="1114" hidden="1">
      <c r="A1114" s="136"/>
      <c r="B1114" s="96"/>
      <c r="C1114" s="86"/>
      <c r="D1114" s="211"/>
      <c r="E1114" s="171"/>
    </row>
    <row r="1115" hidden="1">
      <c r="A1115" s="136"/>
      <c r="B1115" s="96"/>
      <c r="C1115" s="86"/>
      <c r="D1115" s="209"/>
      <c r="E1115" s="215"/>
    </row>
    <row r="1116" hidden="1">
      <c r="A1116" s="136"/>
      <c r="B1116" s="96"/>
      <c r="C1116" s="86"/>
      <c r="D1116" s="211"/>
      <c r="E1116" s="171"/>
    </row>
    <row r="1117" hidden="1">
      <c r="A1117" s="136"/>
      <c r="B1117" s="96"/>
      <c r="C1117" s="86"/>
      <c r="D1117" s="209"/>
      <c r="E1117" s="215"/>
    </row>
    <row r="1118" hidden="1">
      <c r="A1118" s="136"/>
      <c r="B1118" s="96"/>
      <c r="C1118" s="86"/>
      <c r="D1118" s="211"/>
      <c r="E1118" s="171"/>
    </row>
    <row r="1119" hidden="1">
      <c r="A1119" s="136"/>
      <c r="B1119" s="96"/>
      <c r="C1119" s="86"/>
      <c r="D1119" s="209"/>
      <c r="E1119" s="215"/>
    </row>
    <row r="1120" hidden="1">
      <c r="A1120" s="136"/>
      <c r="B1120" s="96"/>
      <c r="C1120" s="86"/>
      <c r="D1120" s="211"/>
      <c r="E1120" s="171"/>
    </row>
    <row r="1121" hidden="1">
      <c r="A1121" s="136"/>
      <c r="B1121" s="96"/>
      <c r="C1121" s="86"/>
      <c r="D1121" s="209"/>
      <c r="E1121" s="215"/>
    </row>
    <row r="1122" hidden="1">
      <c r="A1122" s="136"/>
      <c r="B1122" s="96"/>
      <c r="C1122" s="86"/>
      <c r="D1122" s="211"/>
      <c r="E1122" s="171"/>
    </row>
    <row r="1123" hidden="1">
      <c r="A1123" s="136"/>
      <c r="B1123" s="96"/>
      <c r="C1123" s="86"/>
      <c r="D1123" s="209"/>
      <c r="E1123" s="215"/>
    </row>
    <row r="1124" hidden="1">
      <c r="A1124" s="136"/>
      <c r="B1124" s="96"/>
      <c r="C1124" s="86"/>
      <c r="D1124" s="211"/>
      <c r="E1124" s="171"/>
    </row>
    <row r="1125" hidden="1">
      <c r="A1125" s="136"/>
      <c r="B1125" s="96"/>
      <c r="C1125" s="86"/>
      <c r="D1125" s="209"/>
      <c r="E1125" s="215"/>
    </row>
    <row r="1126" hidden="1">
      <c r="A1126" s="136"/>
      <c r="B1126" s="96"/>
      <c r="C1126" s="86"/>
      <c r="D1126" s="211"/>
      <c r="E1126" s="171"/>
    </row>
    <row r="1127" hidden="1">
      <c r="A1127" s="136"/>
      <c r="B1127" s="96"/>
      <c r="C1127" s="86"/>
      <c r="D1127" s="209"/>
      <c r="E1127" s="215"/>
    </row>
    <row r="1128" hidden="1">
      <c r="A1128" s="136"/>
      <c r="B1128" s="96"/>
      <c r="C1128" s="86"/>
      <c r="D1128" s="211"/>
      <c r="E1128" s="171"/>
    </row>
    <row r="1129" hidden="1">
      <c r="A1129" s="136"/>
      <c r="B1129" s="96"/>
      <c r="C1129" s="86"/>
      <c r="D1129" s="209"/>
      <c r="E1129" s="215"/>
    </row>
    <row r="1130" hidden="1">
      <c r="A1130" s="136"/>
      <c r="B1130" s="96"/>
      <c r="C1130" s="86"/>
      <c r="D1130" s="211"/>
      <c r="E1130" s="171"/>
    </row>
    <row r="1131" hidden="1">
      <c r="A1131" s="136"/>
      <c r="B1131" s="96"/>
      <c r="C1131" s="86"/>
      <c r="D1131" s="209"/>
      <c r="E1131" s="215"/>
    </row>
    <row r="1132" hidden="1">
      <c r="A1132" s="136"/>
      <c r="B1132" s="96"/>
      <c r="C1132" s="86"/>
      <c r="D1132" s="211"/>
      <c r="E1132" s="171"/>
    </row>
    <row r="1133" hidden="1">
      <c r="A1133" s="136"/>
      <c r="B1133" s="96"/>
      <c r="C1133" s="86"/>
      <c r="D1133" s="209"/>
      <c r="E1133" s="215"/>
    </row>
    <row r="1134" hidden="1">
      <c r="A1134" s="136"/>
      <c r="B1134" s="96"/>
      <c r="C1134" s="86"/>
      <c r="D1134" s="211"/>
      <c r="E1134" s="171"/>
    </row>
    <row r="1135" hidden="1">
      <c r="A1135" s="136"/>
      <c r="B1135" s="96"/>
      <c r="C1135" s="86"/>
      <c r="D1135" s="209"/>
      <c r="E1135" s="215"/>
    </row>
    <row r="1136" hidden="1">
      <c r="A1136" s="136"/>
      <c r="B1136" s="96"/>
      <c r="C1136" s="86"/>
      <c r="D1136" s="211"/>
      <c r="E1136" s="171"/>
    </row>
    <row r="1137" hidden="1">
      <c r="A1137" s="136"/>
      <c r="B1137" s="96"/>
      <c r="C1137" s="86"/>
      <c r="D1137" s="209"/>
      <c r="E1137" s="215"/>
    </row>
    <row r="1138" hidden="1">
      <c r="A1138" s="136"/>
      <c r="B1138" s="96"/>
      <c r="C1138" s="86"/>
      <c r="D1138" s="211"/>
      <c r="E1138" s="171"/>
    </row>
    <row r="1139" hidden="1">
      <c r="A1139" s="136"/>
      <c r="B1139" s="96"/>
      <c r="C1139" s="86"/>
      <c r="D1139" s="209"/>
      <c r="E1139" s="215"/>
    </row>
    <row r="1140" hidden="1">
      <c r="A1140" s="136"/>
      <c r="B1140" s="96"/>
      <c r="C1140" s="86"/>
      <c r="D1140" s="211"/>
      <c r="E1140" s="171"/>
    </row>
    <row r="1141" hidden="1">
      <c r="A1141" s="136"/>
      <c r="B1141" s="96"/>
      <c r="C1141" s="86"/>
      <c r="D1141" s="209"/>
      <c r="E1141" s="215"/>
    </row>
    <row r="1142" hidden="1">
      <c r="A1142" s="136"/>
      <c r="B1142" s="96"/>
      <c r="C1142" s="86"/>
      <c r="D1142" s="211"/>
      <c r="E1142" s="171"/>
    </row>
    <row r="1143" hidden="1">
      <c r="A1143" s="136"/>
      <c r="B1143" s="96"/>
      <c r="C1143" s="86"/>
      <c r="D1143" s="209"/>
      <c r="E1143" s="215"/>
    </row>
    <row r="1144" hidden="1">
      <c r="A1144" s="136"/>
      <c r="B1144" s="96"/>
      <c r="C1144" s="86"/>
      <c r="D1144" s="211"/>
      <c r="E1144" s="171"/>
    </row>
    <row r="1145" hidden="1">
      <c r="A1145" s="136"/>
      <c r="B1145" s="96"/>
      <c r="C1145" s="86"/>
      <c r="D1145" s="209"/>
      <c r="E1145" s="215"/>
    </row>
    <row r="1146" hidden="1">
      <c r="A1146" s="136"/>
      <c r="B1146" s="96"/>
      <c r="C1146" s="86"/>
      <c r="D1146" s="211"/>
      <c r="E1146" s="171"/>
    </row>
    <row r="1147" hidden="1">
      <c r="A1147" s="136"/>
      <c r="B1147" s="96"/>
      <c r="C1147" s="86"/>
      <c r="D1147" s="209"/>
      <c r="E1147" s="215"/>
    </row>
    <row r="1148" hidden="1">
      <c r="A1148" s="136"/>
      <c r="B1148" s="96"/>
      <c r="C1148" s="86"/>
      <c r="D1148" s="211"/>
      <c r="E1148" s="171"/>
    </row>
    <row r="1149" hidden="1">
      <c r="A1149" s="136"/>
      <c r="B1149" s="96"/>
      <c r="C1149" s="86"/>
      <c r="D1149" s="209"/>
      <c r="E1149" s="215"/>
    </row>
    <row r="1150" hidden="1">
      <c r="A1150" s="136"/>
      <c r="B1150" s="96"/>
      <c r="C1150" s="86"/>
      <c r="D1150" s="211"/>
      <c r="E1150" s="171"/>
    </row>
    <row r="1151" hidden="1">
      <c r="A1151" s="136"/>
      <c r="B1151" s="96"/>
      <c r="C1151" s="86"/>
      <c r="D1151" s="209"/>
      <c r="E1151" s="215"/>
    </row>
    <row r="1152" hidden="1">
      <c r="A1152" s="136"/>
      <c r="B1152" s="96"/>
      <c r="C1152" s="86"/>
      <c r="D1152" s="211"/>
      <c r="E1152" s="171"/>
    </row>
    <row r="1153" hidden="1">
      <c r="A1153" s="136"/>
      <c r="B1153" s="96"/>
      <c r="C1153" s="86"/>
      <c r="D1153" s="209"/>
      <c r="E1153" s="215"/>
    </row>
    <row r="1154" hidden="1">
      <c r="A1154" s="136"/>
      <c r="B1154" s="96"/>
      <c r="C1154" s="86"/>
      <c r="D1154" s="211"/>
      <c r="E1154" s="171"/>
    </row>
    <row r="1155" hidden="1">
      <c r="A1155" s="136"/>
      <c r="B1155" s="96"/>
      <c r="C1155" s="86"/>
      <c r="D1155" s="209"/>
      <c r="E1155" s="215"/>
    </row>
    <row r="1156" hidden="1">
      <c r="A1156" s="136"/>
      <c r="B1156" s="96"/>
      <c r="C1156" s="86"/>
      <c r="D1156" s="211"/>
      <c r="E1156" s="171"/>
    </row>
    <row r="1157" hidden="1">
      <c r="A1157" s="136"/>
      <c r="B1157" s="96"/>
      <c r="C1157" s="86"/>
      <c r="D1157" s="209"/>
      <c r="E1157" s="215"/>
    </row>
    <row r="1158" hidden="1">
      <c r="A1158" s="136"/>
      <c r="B1158" s="96"/>
      <c r="C1158" s="86"/>
      <c r="D1158" s="211"/>
      <c r="E1158" s="171"/>
    </row>
    <row r="1159" hidden="1">
      <c r="A1159" s="136"/>
      <c r="B1159" s="96"/>
      <c r="C1159" s="86"/>
      <c r="D1159" s="209"/>
      <c r="E1159" s="215"/>
    </row>
    <row r="1160" hidden="1">
      <c r="A1160" s="136"/>
      <c r="B1160" s="96"/>
      <c r="C1160" s="86"/>
      <c r="D1160" s="211"/>
      <c r="E1160" s="171"/>
    </row>
    <row r="1161" hidden="1">
      <c r="A1161" s="136"/>
      <c r="B1161" s="96"/>
      <c r="C1161" s="86"/>
      <c r="D1161" s="209"/>
      <c r="E1161" s="215"/>
    </row>
    <row r="1162" hidden="1">
      <c r="A1162" s="136"/>
      <c r="B1162" s="96"/>
      <c r="C1162" s="86"/>
      <c r="D1162" s="211"/>
      <c r="E1162" s="171"/>
    </row>
    <row r="1163" hidden="1">
      <c r="A1163" s="136"/>
      <c r="B1163" s="96"/>
      <c r="C1163" s="86"/>
      <c r="D1163" s="209"/>
      <c r="E1163" s="215"/>
    </row>
    <row r="1164" hidden="1">
      <c r="A1164" s="136"/>
      <c r="B1164" s="96"/>
      <c r="C1164" s="86"/>
      <c r="D1164" s="211"/>
      <c r="E1164" s="171"/>
    </row>
    <row r="1165" hidden="1">
      <c r="A1165" s="136"/>
      <c r="B1165" s="96"/>
      <c r="C1165" s="86"/>
      <c r="D1165" s="209"/>
      <c r="E1165" s="215"/>
    </row>
    <row r="1166" hidden="1">
      <c r="A1166" s="136"/>
      <c r="B1166" s="96"/>
      <c r="C1166" s="86"/>
      <c r="D1166" s="211"/>
      <c r="E1166" s="171"/>
    </row>
    <row r="1167" hidden="1">
      <c r="A1167" s="136"/>
      <c r="B1167" s="96"/>
      <c r="C1167" s="86"/>
      <c r="D1167" s="209"/>
      <c r="E1167" s="215"/>
    </row>
    <row r="1168" hidden="1">
      <c r="A1168" s="136"/>
      <c r="B1168" s="96"/>
      <c r="C1168" s="86"/>
      <c r="D1168" s="211"/>
      <c r="E1168" s="171"/>
    </row>
    <row r="1169" hidden="1">
      <c r="A1169" s="136"/>
      <c r="B1169" s="96"/>
      <c r="C1169" s="86"/>
      <c r="D1169" s="209"/>
      <c r="E1169" s="215"/>
    </row>
    <row r="1170" hidden="1">
      <c r="A1170" s="136"/>
      <c r="B1170" s="96"/>
      <c r="C1170" s="86"/>
      <c r="D1170" s="211"/>
      <c r="E1170" s="171"/>
    </row>
    <row r="1171" hidden="1">
      <c r="A1171" s="136"/>
      <c r="B1171" s="96"/>
      <c r="C1171" s="86"/>
      <c r="D1171" s="209"/>
      <c r="E1171" s="215"/>
    </row>
    <row r="1172" hidden="1">
      <c r="A1172" s="136"/>
      <c r="B1172" s="96"/>
      <c r="C1172" s="86"/>
      <c r="D1172" s="211"/>
      <c r="E1172" s="171"/>
    </row>
    <row r="1173" hidden="1">
      <c r="A1173" s="136"/>
      <c r="B1173" s="96"/>
      <c r="C1173" s="86"/>
      <c r="D1173" s="209"/>
      <c r="E1173" s="215"/>
    </row>
    <row r="1174" hidden="1">
      <c r="A1174" s="136"/>
      <c r="B1174" s="96"/>
      <c r="C1174" s="86"/>
      <c r="D1174" s="211"/>
      <c r="E1174" s="171"/>
    </row>
    <row r="1175" hidden="1">
      <c r="A1175" s="136"/>
      <c r="B1175" s="96"/>
      <c r="C1175" s="86"/>
      <c r="D1175" s="209"/>
      <c r="E1175" s="215"/>
    </row>
    <row r="1176" hidden="1">
      <c r="A1176" s="136"/>
      <c r="B1176" s="96"/>
      <c r="C1176" s="86"/>
      <c r="D1176" s="211"/>
      <c r="E1176" s="171"/>
    </row>
    <row r="1177" hidden="1">
      <c r="A1177" s="136"/>
      <c r="B1177" s="96"/>
      <c r="C1177" s="86"/>
      <c r="D1177" s="209"/>
      <c r="E1177" s="215"/>
    </row>
    <row r="1178" hidden="1">
      <c r="A1178" s="136"/>
      <c r="B1178" s="96"/>
      <c r="C1178" s="86"/>
      <c r="D1178" s="211"/>
      <c r="E1178" s="171"/>
    </row>
    <row r="1179" hidden="1">
      <c r="A1179" s="136"/>
      <c r="B1179" s="96"/>
      <c r="C1179" s="86"/>
      <c r="D1179" s="209"/>
      <c r="E1179" s="215"/>
    </row>
    <row r="1180" hidden="1">
      <c r="A1180" s="136"/>
      <c r="B1180" s="96"/>
      <c r="C1180" s="86"/>
      <c r="D1180" s="211"/>
      <c r="E1180" s="171"/>
    </row>
    <row r="1181" hidden="1">
      <c r="A1181" s="136"/>
      <c r="B1181" s="96"/>
      <c r="C1181" s="86"/>
      <c r="D1181" s="209"/>
      <c r="E1181" s="215"/>
    </row>
    <row r="1182" hidden="1">
      <c r="A1182" s="136"/>
      <c r="B1182" s="96"/>
      <c r="C1182" s="86"/>
      <c r="D1182" s="211"/>
      <c r="E1182" s="171"/>
    </row>
    <row r="1183" hidden="1">
      <c r="A1183" s="136"/>
      <c r="B1183" s="96"/>
      <c r="C1183" s="86"/>
      <c r="D1183" s="209"/>
      <c r="E1183" s="215"/>
    </row>
    <row r="1184" hidden="1">
      <c r="A1184" s="136"/>
      <c r="B1184" s="96"/>
      <c r="C1184" s="86"/>
      <c r="D1184" s="211"/>
      <c r="E1184" s="171"/>
    </row>
    <row r="1185" hidden="1">
      <c r="A1185" s="136"/>
      <c r="B1185" s="96"/>
      <c r="C1185" s="86"/>
      <c r="D1185" s="209"/>
      <c r="E1185" s="215"/>
    </row>
    <row r="1186" hidden="1">
      <c r="A1186" s="136"/>
      <c r="B1186" s="96"/>
      <c r="C1186" s="86"/>
      <c r="D1186" s="211"/>
      <c r="E1186" s="171"/>
    </row>
    <row r="1187" hidden="1">
      <c r="A1187" s="136"/>
      <c r="B1187" s="96"/>
      <c r="C1187" s="86"/>
      <c r="D1187" s="209"/>
      <c r="E1187" s="215"/>
    </row>
    <row r="1188" hidden="1">
      <c r="A1188" s="136"/>
      <c r="B1188" s="96"/>
      <c r="C1188" s="86"/>
      <c r="D1188" s="211"/>
      <c r="E1188" s="171"/>
    </row>
    <row r="1189" hidden="1">
      <c r="A1189" s="136"/>
      <c r="B1189" s="96"/>
      <c r="C1189" s="86"/>
      <c r="D1189" s="209"/>
      <c r="E1189" s="215"/>
    </row>
    <row r="1190" hidden="1">
      <c r="A1190" s="136"/>
      <c r="B1190" s="96"/>
      <c r="C1190" s="86"/>
      <c r="D1190" s="211"/>
      <c r="E1190" s="171"/>
    </row>
    <row r="1191" hidden="1">
      <c r="A1191" s="136"/>
      <c r="B1191" s="96"/>
      <c r="C1191" s="86"/>
      <c r="D1191" s="209"/>
      <c r="E1191" s="215"/>
    </row>
    <row r="1192" hidden="1">
      <c r="A1192" s="136"/>
      <c r="B1192" s="96"/>
      <c r="C1192" s="86"/>
      <c r="D1192" s="211"/>
      <c r="E1192" s="171"/>
    </row>
    <row r="1193" hidden="1">
      <c r="A1193" s="136"/>
      <c r="B1193" s="96"/>
      <c r="C1193" s="86"/>
      <c r="D1193" s="209"/>
      <c r="E1193" s="215"/>
    </row>
    <row r="1194" hidden="1">
      <c r="A1194" s="136"/>
      <c r="B1194" s="96"/>
      <c r="C1194" s="86"/>
      <c r="D1194" s="211"/>
      <c r="E1194" s="171"/>
    </row>
    <row r="1195" hidden="1">
      <c r="A1195" s="136"/>
      <c r="B1195" s="96"/>
      <c r="C1195" s="86"/>
      <c r="D1195" s="209"/>
      <c r="E1195" s="215"/>
    </row>
    <row r="1196" hidden="1">
      <c r="A1196" s="136"/>
      <c r="B1196" s="96"/>
      <c r="C1196" s="86"/>
      <c r="D1196" s="211"/>
      <c r="E1196" s="171"/>
    </row>
    <row r="1197" hidden="1">
      <c r="A1197" s="136"/>
      <c r="B1197" s="96"/>
      <c r="C1197" s="86"/>
      <c r="D1197" s="209"/>
      <c r="E1197" s="215"/>
    </row>
    <row r="1198" hidden="1">
      <c r="A1198" s="136"/>
      <c r="B1198" s="96"/>
      <c r="C1198" s="86"/>
      <c r="D1198" s="211"/>
      <c r="E1198" s="171"/>
    </row>
    <row r="1199" hidden="1">
      <c r="A1199" s="136"/>
      <c r="B1199" s="96"/>
      <c r="C1199" s="86"/>
      <c r="D1199" s="209"/>
      <c r="E1199" s="215"/>
    </row>
    <row r="1200" hidden="1">
      <c r="A1200" s="136"/>
      <c r="B1200" s="96"/>
      <c r="C1200" s="86"/>
      <c r="D1200" s="211"/>
      <c r="E1200" s="171"/>
    </row>
    <row r="1201" hidden="1">
      <c r="A1201" s="136"/>
      <c r="B1201" s="96"/>
      <c r="C1201" s="86"/>
      <c r="D1201" s="209"/>
      <c r="E1201" s="215"/>
    </row>
    <row r="1202" hidden="1">
      <c r="A1202" s="136"/>
      <c r="B1202" s="96"/>
      <c r="C1202" s="86"/>
      <c r="D1202" s="211"/>
      <c r="E1202" s="171"/>
    </row>
    <row r="1203" hidden="1">
      <c r="A1203" s="136"/>
      <c r="B1203" s="96"/>
      <c r="C1203" s="86"/>
      <c r="D1203" s="209"/>
      <c r="E1203" s="215"/>
    </row>
    <row r="1204" hidden="1">
      <c r="A1204" s="136"/>
      <c r="B1204" s="96"/>
      <c r="C1204" s="86"/>
      <c r="D1204" s="211"/>
      <c r="E1204" s="171"/>
    </row>
    <row r="1205" hidden="1">
      <c r="A1205" s="136"/>
      <c r="B1205" s="96"/>
      <c r="C1205" s="86"/>
      <c r="D1205" s="209"/>
      <c r="E1205" s="215"/>
    </row>
    <row r="1206" hidden="1">
      <c r="A1206" s="136"/>
      <c r="B1206" s="96"/>
      <c r="C1206" s="86"/>
      <c r="D1206" s="211"/>
      <c r="E1206" s="171"/>
    </row>
    <row r="1207" hidden="1">
      <c r="A1207" s="136"/>
      <c r="B1207" s="96"/>
      <c r="C1207" s="86"/>
      <c r="D1207" s="209"/>
      <c r="E1207" s="215"/>
    </row>
    <row r="1208" hidden="1">
      <c r="A1208" s="136"/>
      <c r="B1208" s="96"/>
      <c r="C1208" s="86"/>
      <c r="D1208" s="211"/>
      <c r="E1208" s="171"/>
    </row>
    <row r="1209" hidden="1">
      <c r="A1209" s="136"/>
      <c r="B1209" s="96"/>
      <c r="C1209" s="86"/>
      <c r="D1209" s="209"/>
      <c r="E1209" s="215"/>
    </row>
    <row r="1210" hidden="1">
      <c r="A1210" s="136"/>
      <c r="B1210" s="96"/>
      <c r="C1210" s="86"/>
      <c r="D1210" s="211"/>
      <c r="E1210" s="171"/>
    </row>
    <row r="1211" hidden="1">
      <c r="A1211" s="136"/>
      <c r="B1211" s="96"/>
      <c r="C1211" s="86"/>
      <c r="D1211" s="209"/>
      <c r="E1211" s="215"/>
    </row>
    <row r="1212" hidden="1">
      <c r="A1212" s="136"/>
      <c r="B1212" s="96"/>
      <c r="C1212" s="86"/>
      <c r="D1212" s="211"/>
      <c r="E1212" s="171"/>
    </row>
    <row r="1213" hidden="1">
      <c r="A1213" s="136"/>
      <c r="B1213" s="96"/>
      <c r="C1213" s="86"/>
      <c r="D1213" s="209"/>
      <c r="E1213" s="215"/>
    </row>
    <row r="1214" hidden="1">
      <c r="A1214" s="136"/>
      <c r="B1214" s="96"/>
      <c r="C1214" s="86"/>
      <c r="D1214" s="211"/>
      <c r="E1214" s="171"/>
    </row>
    <row r="1215" hidden="1">
      <c r="A1215" s="136"/>
      <c r="B1215" s="96"/>
      <c r="C1215" s="86"/>
      <c r="D1215" s="209"/>
      <c r="E1215" s="215"/>
    </row>
    <row r="1216" hidden="1">
      <c r="A1216" s="136"/>
      <c r="B1216" s="96"/>
      <c r="C1216" s="86"/>
      <c r="D1216" s="211"/>
      <c r="E1216" s="171"/>
    </row>
    <row r="1217" hidden="1">
      <c r="A1217" s="136"/>
      <c r="B1217" s="96"/>
      <c r="C1217" s="86"/>
      <c r="D1217" s="209"/>
      <c r="E1217" s="215"/>
    </row>
    <row r="1218" hidden="1">
      <c r="A1218" s="136"/>
      <c r="B1218" s="96"/>
      <c r="C1218" s="86"/>
      <c r="D1218" s="211"/>
      <c r="E1218" s="171"/>
    </row>
    <row r="1219" hidden="1">
      <c r="A1219" s="136"/>
      <c r="B1219" s="96"/>
      <c r="C1219" s="86"/>
      <c r="D1219" s="209"/>
      <c r="E1219" s="215"/>
    </row>
    <row r="1220" hidden="1">
      <c r="A1220" s="136"/>
      <c r="B1220" s="96"/>
      <c r="C1220" s="86"/>
      <c r="D1220" s="211"/>
      <c r="E1220" s="171"/>
    </row>
    <row r="1221" hidden="1">
      <c r="A1221" s="136"/>
      <c r="B1221" s="96"/>
      <c r="C1221" s="86"/>
      <c r="D1221" s="209"/>
      <c r="E1221" s="215"/>
    </row>
    <row r="1222" hidden="1">
      <c r="A1222" s="136"/>
      <c r="B1222" s="96"/>
      <c r="C1222" s="86"/>
      <c r="D1222" s="211"/>
      <c r="E1222" s="171"/>
    </row>
    <row r="1223" hidden="1">
      <c r="A1223" s="136"/>
      <c r="B1223" s="96"/>
      <c r="C1223" s="86"/>
      <c r="D1223" s="209"/>
      <c r="E1223" s="215"/>
    </row>
    <row r="1224" hidden="1">
      <c r="A1224" s="136"/>
      <c r="B1224" s="96"/>
      <c r="C1224" s="86"/>
      <c r="D1224" s="211"/>
      <c r="E1224" s="171"/>
    </row>
    <row r="1225" hidden="1">
      <c r="A1225" s="136"/>
      <c r="B1225" s="96"/>
      <c r="C1225" s="86"/>
      <c r="D1225" s="209"/>
      <c r="E1225" s="215"/>
    </row>
    <row r="1226" hidden="1">
      <c r="A1226" s="136"/>
      <c r="B1226" s="96"/>
      <c r="C1226" s="86"/>
      <c r="D1226" s="211"/>
      <c r="E1226" s="171"/>
    </row>
    <row r="1227" hidden="1">
      <c r="A1227" s="136"/>
      <c r="B1227" s="96"/>
      <c r="C1227" s="86"/>
      <c r="D1227" s="209"/>
      <c r="E1227" s="215"/>
    </row>
    <row r="1228" hidden="1">
      <c r="A1228" s="136"/>
      <c r="B1228" s="96"/>
      <c r="C1228" s="86"/>
      <c r="D1228" s="211"/>
      <c r="E1228" s="171"/>
    </row>
    <row r="1229" hidden="1">
      <c r="A1229" s="136"/>
      <c r="B1229" s="96"/>
      <c r="C1229" s="86"/>
      <c r="D1229" s="209"/>
      <c r="E1229" s="215"/>
    </row>
    <row r="1230" hidden="1">
      <c r="A1230" s="136"/>
      <c r="B1230" s="96"/>
      <c r="C1230" s="86"/>
      <c r="D1230" s="211"/>
      <c r="E1230" s="171"/>
    </row>
    <row r="1231" hidden="1">
      <c r="A1231" s="136"/>
      <c r="B1231" s="96"/>
      <c r="C1231" s="86"/>
      <c r="D1231" s="209"/>
      <c r="E1231" s="215"/>
    </row>
    <row r="1232" hidden="1">
      <c r="A1232" s="136"/>
      <c r="B1232" s="96"/>
      <c r="C1232" s="86"/>
      <c r="D1232" s="211"/>
      <c r="E1232" s="171"/>
    </row>
    <row r="1233" hidden="1">
      <c r="A1233" s="136"/>
      <c r="B1233" s="96"/>
      <c r="C1233" s="86"/>
      <c r="D1233" s="209"/>
      <c r="E1233" s="215"/>
    </row>
    <row r="1234" hidden="1">
      <c r="A1234" s="136"/>
      <c r="B1234" s="96"/>
      <c r="C1234" s="86"/>
      <c r="D1234" s="211"/>
      <c r="E1234" s="171"/>
    </row>
    <row r="1235" hidden="1">
      <c r="A1235" s="136"/>
      <c r="B1235" s="96"/>
      <c r="C1235" s="86"/>
      <c r="D1235" s="209"/>
      <c r="E1235" s="215"/>
    </row>
    <row r="1236" hidden="1">
      <c r="A1236" s="136"/>
      <c r="B1236" s="96"/>
      <c r="C1236" s="86"/>
      <c r="D1236" s="211"/>
      <c r="E1236" s="171"/>
    </row>
    <row r="1237" hidden="1">
      <c r="A1237" s="136"/>
      <c r="B1237" s="96"/>
      <c r="C1237" s="86"/>
      <c r="D1237" s="209"/>
      <c r="E1237" s="215"/>
    </row>
    <row r="1238" hidden="1">
      <c r="A1238" s="136"/>
      <c r="B1238" s="96"/>
      <c r="C1238" s="86"/>
      <c r="D1238" s="211"/>
      <c r="E1238" s="171"/>
    </row>
    <row r="1239" hidden="1">
      <c r="A1239" s="136"/>
      <c r="B1239" s="96"/>
      <c r="C1239" s="86"/>
      <c r="D1239" s="209"/>
      <c r="E1239" s="215"/>
    </row>
    <row r="1240" hidden="1">
      <c r="A1240" s="136"/>
      <c r="B1240" s="96"/>
      <c r="C1240" s="86"/>
      <c r="D1240" s="211"/>
      <c r="E1240" s="171"/>
    </row>
    <row r="1241" hidden="1">
      <c r="A1241" s="136"/>
      <c r="B1241" s="96"/>
      <c r="C1241" s="86"/>
      <c r="D1241" s="209"/>
      <c r="E1241" s="215"/>
    </row>
    <row r="1242" hidden="1">
      <c r="A1242" s="136"/>
      <c r="B1242" s="96"/>
      <c r="C1242" s="86"/>
      <c r="D1242" s="211"/>
      <c r="E1242" s="171"/>
    </row>
    <row r="1243" hidden="1">
      <c r="A1243" s="136"/>
      <c r="B1243" s="96"/>
      <c r="C1243" s="86"/>
      <c r="D1243" s="209"/>
      <c r="E1243" s="215"/>
    </row>
    <row r="1244" hidden="1">
      <c r="A1244" s="136"/>
      <c r="B1244" s="96"/>
      <c r="C1244" s="86"/>
      <c r="D1244" s="211"/>
      <c r="E1244" s="171"/>
    </row>
    <row r="1245" hidden="1">
      <c r="A1245" s="136"/>
      <c r="B1245" s="96"/>
      <c r="C1245" s="86"/>
      <c r="D1245" s="209"/>
      <c r="E1245" s="215"/>
    </row>
    <row r="1246" hidden="1">
      <c r="A1246" s="136"/>
      <c r="B1246" s="96"/>
      <c r="C1246" s="86"/>
      <c r="D1246" s="211"/>
      <c r="E1246" s="171"/>
    </row>
    <row r="1247" hidden="1">
      <c r="A1247" s="136"/>
      <c r="B1247" s="96"/>
      <c r="C1247" s="86"/>
      <c r="D1247" s="209"/>
      <c r="E1247" s="215"/>
    </row>
    <row r="1248" hidden="1">
      <c r="A1248" s="136"/>
      <c r="B1248" s="96"/>
      <c r="C1248" s="86"/>
      <c r="D1248" s="211"/>
      <c r="E1248" s="171"/>
    </row>
    <row r="1249" hidden="1">
      <c r="A1249" s="136"/>
      <c r="B1249" s="96"/>
      <c r="C1249" s="86"/>
      <c r="D1249" s="209"/>
      <c r="E1249" s="215"/>
    </row>
    <row r="1250" hidden="1">
      <c r="A1250" s="136"/>
      <c r="B1250" s="96"/>
      <c r="C1250" s="86"/>
      <c r="D1250" s="211"/>
      <c r="E1250" s="171"/>
    </row>
    <row r="1251" hidden="1">
      <c r="A1251" s="136"/>
      <c r="B1251" s="96"/>
      <c r="C1251" s="86"/>
      <c r="D1251" s="209"/>
      <c r="E1251" s="215"/>
    </row>
    <row r="1252" hidden="1">
      <c r="A1252" s="136"/>
      <c r="B1252" s="96"/>
      <c r="C1252" s="86"/>
      <c r="D1252" s="211"/>
      <c r="E1252" s="171"/>
    </row>
    <row r="1253" hidden="1">
      <c r="A1253" s="136"/>
      <c r="B1253" s="96"/>
      <c r="C1253" s="86"/>
      <c r="D1253" s="209"/>
      <c r="E1253" s="215"/>
    </row>
    <row r="1254" hidden="1">
      <c r="A1254" s="136"/>
      <c r="B1254" s="96"/>
      <c r="C1254" s="86"/>
      <c r="D1254" s="211"/>
      <c r="E1254" s="171"/>
    </row>
    <row r="1255" hidden="1">
      <c r="A1255" s="136"/>
      <c r="B1255" s="96"/>
      <c r="C1255" s="86"/>
      <c r="D1255" s="209"/>
      <c r="E1255" s="215"/>
    </row>
    <row r="1256" hidden="1">
      <c r="A1256" s="136"/>
      <c r="B1256" s="96"/>
      <c r="C1256" s="86"/>
      <c r="D1256" s="211"/>
      <c r="E1256" s="171"/>
    </row>
    <row r="1257" hidden="1">
      <c r="A1257" s="136"/>
      <c r="B1257" s="96"/>
      <c r="C1257" s="86"/>
      <c r="D1257" s="209"/>
      <c r="E1257" s="215"/>
    </row>
    <row r="1258" hidden="1">
      <c r="A1258" s="136"/>
      <c r="B1258" s="96"/>
      <c r="C1258" s="86"/>
      <c r="D1258" s="211"/>
      <c r="E1258" s="171"/>
    </row>
    <row r="1259" hidden="1">
      <c r="A1259" s="136"/>
      <c r="B1259" s="96"/>
      <c r="C1259" s="86"/>
      <c r="D1259" s="209"/>
      <c r="E1259" s="215"/>
    </row>
    <row r="1260" hidden="1">
      <c r="A1260" s="136"/>
      <c r="B1260" s="96"/>
      <c r="C1260" s="86"/>
      <c r="D1260" s="211"/>
      <c r="E1260" s="171"/>
    </row>
    <row r="1261" hidden="1">
      <c r="A1261" s="136"/>
      <c r="B1261" s="96"/>
      <c r="C1261" s="86"/>
      <c r="D1261" s="209"/>
      <c r="E1261" s="215"/>
    </row>
    <row r="1262" hidden="1">
      <c r="A1262" s="136"/>
      <c r="B1262" s="96"/>
      <c r="C1262" s="86"/>
      <c r="D1262" s="211"/>
      <c r="E1262" s="171"/>
    </row>
    <row r="1263" hidden="1">
      <c r="A1263" s="136"/>
      <c r="B1263" s="96"/>
      <c r="C1263" s="86"/>
      <c r="D1263" s="209"/>
      <c r="E1263" s="215"/>
    </row>
    <row r="1264" hidden="1">
      <c r="A1264" s="136"/>
      <c r="B1264" s="96"/>
      <c r="C1264" s="86"/>
      <c r="D1264" s="211"/>
      <c r="E1264" s="171"/>
    </row>
    <row r="1265" hidden="1">
      <c r="A1265" s="136"/>
      <c r="B1265" s="96"/>
      <c r="C1265" s="86"/>
      <c r="D1265" s="209"/>
      <c r="E1265" s="215"/>
    </row>
    <row r="1266" hidden="1">
      <c r="A1266" s="136"/>
      <c r="B1266" s="96"/>
      <c r="C1266" s="86"/>
      <c r="D1266" s="211"/>
      <c r="E1266" s="171"/>
    </row>
    <row r="1267" hidden="1">
      <c r="A1267" s="136"/>
      <c r="B1267" s="96"/>
      <c r="C1267" s="86"/>
      <c r="D1267" s="209"/>
      <c r="E1267" s="215"/>
    </row>
    <row r="1268" hidden="1">
      <c r="A1268" s="136"/>
      <c r="B1268" s="96"/>
      <c r="C1268" s="86"/>
      <c r="D1268" s="211"/>
      <c r="E1268" s="171"/>
    </row>
    <row r="1269" hidden="1">
      <c r="A1269" s="136"/>
      <c r="B1269" s="96"/>
      <c r="C1269" s="86"/>
      <c r="D1269" s="209"/>
      <c r="E1269" s="215"/>
    </row>
    <row r="1270" hidden="1">
      <c r="A1270" s="136"/>
      <c r="B1270" s="96"/>
      <c r="C1270" s="86"/>
      <c r="D1270" s="211"/>
      <c r="E1270" s="171"/>
    </row>
    <row r="1271" hidden="1">
      <c r="A1271" s="136"/>
      <c r="B1271" s="96"/>
      <c r="C1271" s="86"/>
      <c r="D1271" s="209"/>
      <c r="E1271" s="215"/>
    </row>
    <row r="1272" hidden="1">
      <c r="A1272" s="136"/>
      <c r="B1272" s="96"/>
      <c r="C1272" s="86"/>
      <c r="D1272" s="211"/>
      <c r="E1272" s="171"/>
    </row>
    <row r="1273" hidden="1">
      <c r="A1273" s="136"/>
      <c r="B1273" s="96"/>
      <c r="C1273" s="86"/>
      <c r="D1273" s="209"/>
      <c r="E1273" s="215"/>
    </row>
    <row r="1274" hidden="1">
      <c r="A1274" s="136"/>
      <c r="B1274" s="96"/>
      <c r="C1274" s="86"/>
      <c r="D1274" s="211"/>
      <c r="E1274" s="171"/>
    </row>
    <row r="1275" hidden="1">
      <c r="A1275" s="136"/>
      <c r="B1275" s="96"/>
      <c r="C1275" s="86"/>
      <c r="D1275" s="209"/>
      <c r="E1275" s="215"/>
    </row>
    <row r="1276" hidden="1">
      <c r="A1276" s="136"/>
      <c r="B1276" s="96"/>
      <c r="C1276" s="86"/>
      <c r="D1276" s="211"/>
      <c r="E1276" s="171"/>
    </row>
    <row r="1277" hidden="1">
      <c r="A1277" s="136"/>
      <c r="B1277" s="96"/>
      <c r="C1277" s="86"/>
      <c r="D1277" s="209"/>
      <c r="E1277" s="215"/>
    </row>
    <row r="1278" hidden="1">
      <c r="A1278" s="136"/>
      <c r="B1278" s="96"/>
      <c r="C1278" s="86"/>
      <c r="D1278" s="211"/>
      <c r="E1278" s="171"/>
    </row>
    <row r="1279" hidden="1">
      <c r="A1279" s="136"/>
      <c r="B1279" s="96"/>
      <c r="C1279" s="86"/>
      <c r="D1279" s="209"/>
      <c r="E1279" s="215"/>
    </row>
    <row r="1280" hidden="1">
      <c r="A1280" s="136"/>
      <c r="B1280" s="96"/>
      <c r="C1280" s="86"/>
      <c r="D1280" s="211"/>
      <c r="E1280" s="171"/>
    </row>
    <row r="1281" hidden="1">
      <c r="A1281" s="136"/>
      <c r="B1281" s="96"/>
      <c r="C1281" s="86"/>
      <c r="D1281" s="209"/>
      <c r="E1281" s="215"/>
    </row>
    <row r="1282" hidden="1">
      <c r="A1282" s="136"/>
      <c r="B1282" s="96"/>
      <c r="C1282" s="86"/>
      <c r="D1282" s="211"/>
      <c r="E1282" s="171"/>
    </row>
    <row r="1283" hidden="1">
      <c r="A1283" s="136"/>
      <c r="B1283" s="96"/>
      <c r="C1283" s="86"/>
      <c r="D1283" s="209"/>
      <c r="E1283" s="215"/>
    </row>
    <row r="1284" hidden="1">
      <c r="A1284" s="136"/>
      <c r="B1284" s="96"/>
      <c r="C1284" s="86"/>
      <c r="D1284" s="211"/>
      <c r="E1284" s="171"/>
    </row>
    <row r="1285" hidden="1">
      <c r="A1285" s="136"/>
      <c r="B1285" s="96"/>
      <c r="C1285" s="86"/>
      <c r="D1285" s="209"/>
      <c r="E1285" s="215"/>
    </row>
    <row r="1286" hidden="1">
      <c r="A1286" s="136"/>
      <c r="B1286" s="96"/>
      <c r="C1286" s="86"/>
      <c r="D1286" s="211"/>
      <c r="E1286" s="171"/>
    </row>
    <row r="1287" hidden="1">
      <c r="A1287" s="136"/>
      <c r="B1287" s="96"/>
      <c r="C1287" s="86"/>
      <c r="D1287" s="209"/>
      <c r="E1287" s="215"/>
    </row>
    <row r="1288" hidden="1">
      <c r="A1288" s="136"/>
      <c r="B1288" s="96"/>
      <c r="C1288" s="86"/>
      <c r="D1288" s="211"/>
      <c r="E1288" s="171"/>
    </row>
    <row r="1289" hidden="1">
      <c r="A1289" s="136"/>
      <c r="B1289" s="96"/>
      <c r="C1289" s="86"/>
      <c r="D1289" s="209"/>
      <c r="E1289" s="215"/>
    </row>
    <row r="1290" hidden="1">
      <c r="A1290" s="136"/>
      <c r="B1290" s="96"/>
      <c r="C1290" s="86"/>
      <c r="D1290" s="211"/>
      <c r="E1290" s="171"/>
    </row>
    <row r="1291" hidden="1">
      <c r="A1291" s="136"/>
      <c r="B1291" s="96"/>
      <c r="C1291" s="86"/>
      <c r="D1291" s="209"/>
      <c r="E1291" s="215"/>
    </row>
    <row r="1292" hidden="1">
      <c r="A1292" s="136"/>
      <c r="B1292" s="96"/>
      <c r="C1292" s="86"/>
      <c r="D1292" s="211"/>
      <c r="E1292" s="171"/>
    </row>
    <row r="1293" hidden="1">
      <c r="A1293" s="136"/>
      <c r="B1293" s="96"/>
      <c r="C1293" s="86"/>
      <c r="D1293" s="209"/>
      <c r="E1293" s="215"/>
    </row>
    <row r="1294" hidden="1">
      <c r="A1294" s="136"/>
      <c r="B1294" s="96"/>
      <c r="C1294" s="86"/>
      <c r="D1294" s="211"/>
      <c r="E1294" s="171"/>
    </row>
    <row r="1295" hidden="1">
      <c r="A1295" s="136"/>
      <c r="B1295" s="96"/>
      <c r="C1295" s="86"/>
      <c r="D1295" s="209"/>
      <c r="E1295" s="215"/>
    </row>
    <row r="1296" hidden="1">
      <c r="A1296" s="136"/>
      <c r="B1296" s="96"/>
      <c r="C1296" s="86"/>
      <c r="D1296" s="211"/>
      <c r="E1296" s="171"/>
    </row>
    <row r="1297" hidden="1">
      <c r="A1297" s="136"/>
      <c r="B1297" s="96"/>
      <c r="C1297" s="86"/>
      <c r="D1297" s="209"/>
      <c r="E1297" s="215"/>
    </row>
    <row r="1298" hidden="1">
      <c r="A1298" s="136"/>
      <c r="B1298" s="96"/>
      <c r="C1298" s="86"/>
      <c r="D1298" s="211"/>
      <c r="E1298" s="171"/>
    </row>
    <row r="1299" hidden="1">
      <c r="A1299" s="136"/>
      <c r="B1299" s="96"/>
      <c r="C1299" s="86"/>
      <c r="D1299" s="209"/>
      <c r="E1299" s="215"/>
    </row>
    <row r="1300" hidden="1">
      <c r="A1300" s="136"/>
      <c r="B1300" s="96"/>
      <c r="C1300" s="86"/>
      <c r="D1300" s="211"/>
      <c r="E1300" s="171"/>
    </row>
    <row r="1301" hidden="1">
      <c r="A1301" s="136"/>
      <c r="B1301" s="96"/>
      <c r="C1301" s="86"/>
      <c r="D1301" s="209"/>
      <c r="E1301" s="215"/>
    </row>
    <row r="1302" hidden="1">
      <c r="A1302" s="136"/>
      <c r="B1302" s="96"/>
      <c r="C1302" s="86"/>
      <c r="D1302" s="211"/>
      <c r="E1302" s="171"/>
    </row>
    <row r="1303" hidden="1">
      <c r="A1303" s="136"/>
      <c r="B1303" s="96"/>
      <c r="C1303" s="86"/>
      <c r="D1303" s="209"/>
      <c r="E1303" s="215"/>
    </row>
    <row r="1304" hidden="1">
      <c r="A1304" s="136"/>
      <c r="B1304" s="96"/>
      <c r="C1304" s="86"/>
      <c r="D1304" s="211"/>
      <c r="E1304" s="171"/>
    </row>
    <row r="1305" hidden="1">
      <c r="A1305" s="136"/>
      <c r="B1305" s="96"/>
      <c r="C1305" s="86"/>
      <c r="D1305" s="209"/>
      <c r="E1305" s="215"/>
    </row>
    <row r="1306" hidden="1">
      <c r="A1306" s="136"/>
      <c r="B1306" s="96"/>
      <c r="C1306" s="86"/>
      <c r="D1306" s="211"/>
      <c r="E1306" s="171"/>
    </row>
    <row r="1307" hidden="1">
      <c r="A1307" s="136"/>
      <c r="B1307" s="96"/>
      <c r="C1307" s="86"/>
      <c r="D1307" s="209"/>
      <c r="E1307" s="215"/>
    </row>
    <row r="1308" hidden="1">
      <c r="A1308" s="136"/>
      <c r="B1308" s="96"/>
      <c r="C1308" s="86"/>
      <c r="D1308" s="211"/>
      <c r="E1308" s="171"/>
    </row>
    <row r="1309" hidden="1">
      <c r="A1309" s="136"/>
      <c r="B1309" s="96"/>
      <c r="C1309" s="86"/>
      <c r="D1309" s="209"/>
      <c r="E1309" s="215"/>
    </row>
    <row r="1310" hidden="1">
      <c r="A1310" s="136"/>
      <c r="B1310" s="96"/>
      <c r="C1310" s="86"/>
      <c r="D1310" s="211"/>
      <c r="E1310" s="171"/>
    </row>
    <row r="1311" hidden="1">
      <c r="A1311" s="136"/>
      <c r="B1311" s="96"/>
      <c r="C1311" s="86"/>
      <c r="D1311" s="209"/>
      <c r="E1311" s="215"/>
    </row>
    <row r="1312" hidden="1">
      <c r="A1312" s="136"/>
      <c r="B1312" s="96"/>
      <c r="C1312" s="86"/>
      <c r="D1312" s="211"/>
      <c r="E1312" s="171"/>
    </row>
    <row r="1313" hidden="1">
      <c r="A1313" s="136"/>
      <c r="B1313" s="96"/>
      <c r="C1313" s="86"/>
      <c r="D1313" s="209"/>
      <c r="E1313" s="215"/>
    </row>
    <row r="1314" hidden="1">
      <c r="A1314" s="136"/>
      <c r="B1314" s="96"/>
      <c r="C1314" s="86"/>
      <c r="D1314" s="211"/>
      <c r="E1314" s="171"/>
    </row>
    <row r="1315" hidden="1">
      <c r="A1315" s="136"/>
      <c r="B1315" s="96"/>
      <c r="C1315" s="86"/>
      <c r="D1315" s="209"/>
      <c r="E1315" s="215"/>
    </row>
    <row r="1316" hidden="1">
      <c r="A1316" s="136"/>
      <c r="B1316" s="96"/>
      <c r="C1316" s="86"/>
      <c r="D1316" s="211"/>
      <c r="E1316" s="171"/>
    </row>
    <row r="1317" hidden="1">
      <c r="A1317" s="136"/>
      <c r="B1317" s="96"/>
      <c r="C1317" s="86"/>
      <c r="D1317" s="209"/>
      <c r="E1317" s="215"/>
    </row>
    <row r="1318" hidden="1">
      <c r="A1318" s="136"/>
      <c r="B1318" s="96"/>
      <c r="C1318" s="86"/>
      <c r="D1318" s="211"/>
      <c r="E1318" s="171"/>
    </row>
    <row r="1319" hidden="1">
      <c r="A1319" s="136"/>
      <c r="B1319" s="96"/>
      <c r="C1319" s="86"/>
      <c r="D1319" s="209"/>
      <c r="E1319" s="215"/>
    </row>
    <row r="1320" hidden="1">
      <c r="A1320" s="136"/>
      <c r="B1320" s="96"/>
      <c r="C1320" s="86"/>
      <c r="D1320" s="211"/>
      <c r="E1320" s="171"/>
    </row>
    <row r="1321" hidden="1">
      <c r="A1321" s="136"/>
      <c r="B1321" s="96"/>
      <c r="C1321" s="86"/>
      <c r="D1321" s="209"/>
      <c r="E1321" s="215"/>
    </row>
    <row r="1322" hidden="1">
      <c r="A1322" s="136"/>
      <c r="B1322" s="96"/>
      <c r="C1322" s="86"/>
      <c r="D1322" s="211"/>
      <c r="E1322" s="171"/>
    </row>
    <row r="1323" hidden="1">
      <c r="A1323" s="136"/>
      <c r="B1323" s="96"/>
      <c r="C1323" s="86"/>
      <c r="D1323" s="209"/>
      <c r="E1323" s="215"/>
    </row>
    <row r="1324" hidden="1">
      <c r="A1324" s="136"/>
      <c r="B1324" s="96"/>
      <c r="C1324" s="86"/>
      <c r="D1324" s="211"/>
      <c r="E1324" s="171"/>
    </row>
    <row r="1325" hidden="1">
      <c r="A1325" s="136"/>
      <c r="B1325" s="96"/>
      <c r="C1325" s="86"/>
      <c r="D1325" s="209"/>
      <c r="E1325" s="215"/>
    </row>
    <row r="1326" hidden="1">
      <c r="A1326" s="136"/>
      <c r="B1326" s="96"/>
      <c r="C1326" s="86"/>
      <c r="D1326" s="211"/>
      <c r="E1326" s="171"/>
    </row>
    <row r="1327" hidden="1">
      <c r="A1327" s="136"/>
      <c r="B1327" s="96"/>
      <c r="C1327" s="86"/>
      <c r="D1327" s="209"/>
      <c r="E1327" s="215"/>
    </row>
    <row r="1328" hidden="1">
      <c r="A1328" s="136"/>
      <c r="B1328" s="96"/>
      <c r="C1328" s="86"/>
      <c r="D1328" s="211"/>
      <c r="E1328" s="171"/>
    </row>
    <row r="1329" hidden="1">
      <c r="A1329" s="136"/>
      <c r="B1329" s="96"/>
      <c r="C1329" s="86"/>
      <c r="D1329" s="209"/>
      <c r="E1329" s="215"/>
    </row>
    <row r="1330" hidden="1">
      <c r="A1330" s="136"/>
      <c r="B1330" s="96"/>
      <c r="C1330" s="86"/>
      <c r="D1330" s="211"/>
      <c r="E1330" s="171"/>
    </row>
    <row r="1331" hidden="1">
      <c r="A1331" s="136"/>
      <c r="B1331" s="96"/>
      <c r="C1331" s="86"/>
      <c r="D1331" s="209"/>
      <c r="E1331" s="215"/>
    </row>
    <row r="1332" hidden="1">
      <c r="A1332" s="136"/>
      <c r="B1332" s="96"/>
      <c r="C1332" s="86"/>
      <c r="D1332" s="211"/>
      <c r="E1332" s="171"/>
    </row>
    <row r="1333" hidden="1">
      <c r="A1333" s="136"/>
      <c r="B1333" s="96"/>
      <c r="C1333" s="86"/>
      <c r="D1333" s="209"/>
      <c r="E1333" s="215"/>
    </row>
    <row r="1334" hidden="1">
      <c r="A1334" s="136"/>
      <c r="B1334" s="96"/>
      <c r="C1334" s="86"/>
      <c r="D1334" s="211"/>
      <c r="E1334" s="171"/>
    </row>
    <row r="1335" hidden="1">
      <c r="A1335" s="136"/>
      <c r="B1335" s="96"/>
      <c r="C1335" s="86"/>
      <c r="D1335" s="209"/>
      <c r="E1335" s="215"/>
    </row>
    <row r="1336" hidden="1">
      <c r="A1336" s="136"/>
      <c r="B1336" s="96"/>
      <c r="C1336" s="86"/>
      <c r="D1336" s="211"/>
      <c r="E1336" s="171"/>
    </row>
    <row r="1337" hidden="1">
      <c r="A1337" s="136"/>
      <c r="B1337" s="96"/>
      <c r="C1337" s="86"/>
      <c r="D1337" s="209"/>
      <c r="E1337" s="215"/>
    </row>
    <row r="1338" hidden="1">
      <c r="A1338" s="136"/>
      <c r="B1338" s="96"/>
      <c r="C1338" s="86"/>
      <c r="D1338" s="211"/>
      <c r="E1338" s="171"/>
    </row>
    <row r="1339" hidden="1">
      <c r="A1339" s="136"/>
      <c r="B1339" s="96"/>
      <c r="C1339" s="86"/>
      <c r="D1339" s="209"/>
      <c r="E1339" s="215"/>
    </row>
    <row r="1340" hidden="1">
      <c r="A1340" s="136"/>
      <c r="B1340" s="96"/>
      <c r="C1340" s="86"/>
      <c r="D1340" s="211"/>
      <c r="E1340" s="171"/>
    </row>
    <row r="1341" hidden="1">
      <c r="A1341" s="136"/>
      <c r="B1341" s="96"/>
      <c r="C1341" s="86"/>
      <c r="D1341" s="209"/>
      <c r="E1341" s="215"/>
    </row>
    <row r="1342" hidden="1">
      <c r="A1342" s="136"/>
      <c r="B1342" s="96"/>
      <c r="C1342" s="86"/>
      <c r="D1342" s="211"/>
      <c r="E1342" s="171"/>
    </row>
    <row r="1343" hidden="1">
      <c r="A1343" s="136"/>
      <c r="B1343" s="96"/>
      <c r="C1343" s="86"/>
      <c r="D1343" s="209"/>
      <c r="E1343" s="215"/>
    </row>
    <row r="1344" hidden="1">
      <c r="A1344" s="136"/>
      <c r="B1344" s="96"/>
      <c r="C1344" s="86"/>
      <c r="D1344" s="211"/>
      <c r="E1344" s="171"/>
    </row>
    <row r="1345" hidden="1">
      <c r="A1345" s="136"/>
      <c r="B1345" s="96"/>
      <c r="C1345" s="86"/>
      <c r="D1345" s="209"/>
      <c r="E1345" s="215"/>
    </row>
    <row r="1346" hidden="1">
      <c r="A1346" s="136"/>
      <c r="B1346" s="96"/>
      <c r="C1346" s="86"/>
      <c r="D1346" s="211"/>
      <c r="E1346" s="171"/>
    </row>
    <row r="1347" hidden="1">
      <c r="A1347" s="136"/>
      <c r="B1347" s="96"/>
      <c r="C1347" s="86"/>
      <c r="D1347" s="209"/>
      <c r="E1347" s="215"/>
    </row>
    <row r="1348" hidden="1">
      <c r="A1348" s="136"/>
      <c r="B1348" s="96"/>
      <c r="C1348" s="86"/>
      <c r="D1348" s="211"/>
      <c r="E1348" s="171"/>
    </row>
    <row r="1349" hidden="1">
      <c r="A1349" s="136"/>
      <c r="B1349" s="96"/>
      <c r="C1349" s="86"/>
      <c r="D1349" s="209"/>
      <c r="E1349" s="215"/>
    </row>
    <row r="1350" hidden="1">
      <c r="A1350" s="136"/>
      <c r="B1350" s="96"/>
      <c r="C1350" s="86"/>
      <c r="D1350" s="211"/>
      <c r="E1350" s="171"/>
    </row>
    <row r="1351" hidden="1">
      <c r="A1351" s="136"/>
      <c r="B1351" s="96"/>
      <c r="C1351" s="86"/>
      <c r="D1351" s="209"/>
      <c r="E1351" s="215"/>
    </row>
    <row r="1352" hidden="1">
      <c r="A1352" s="136"/>
      <c r="B1352" s="96"/>
      <c r="C1352" s="86"/>
      <c r="D1352" s="211"/>
      <c r="E1352" s="171"/>
    </row>
    <row r="1353" hidden="1">
      <c r="A1353" s="136"/>
      <c r="B1353" s="96"/>
      <c r="C1353" s="86"/>
      <c r="D1353" s="209"/>
      <c r="E1353" s="215"/>
    </row>
    <row r="1354" hidden="1">
      <c r="A1354" s="136"/>
      <c r="B1354" s="96"/>
      <c r="C1354" s="86"/>
      <c r="D1354" s="211"/>
      <c r="E1354" s="171"/>
    </row>
    <row r="1355" hidden="1">
      <c r="A1355" s="136"/>
      <c r="B1355" s="96"/>
      <c r="C1355" s="86"/>
      <c r="D1355" s="209"/>
      <c r="E1355" s="215"/>
    </row>
    <row r="1356" hidden="1">
      <c r="A1356" s="136"/>
      <c r="B1356" s="96"/>
      <c r="C1356" s="86"/>
      <c r="D1356" s="211"/>
      <c r="E1356" s="171"/>
    </row>
    <row r="1357" hidden="1">
      <c r="A1357" s="136"/>
      <c r="B1357" s="96"/>
      <c r="C1357" s="86"/>
      <c r="D1357" s="209"/>
      <c r="E1357" s="215"/>
    </row>
    <row r="1358" hidden="1">
      <c r="A1358" s="136"/>
      <c r="B1358" s="96"/>
      <c r="C1358" s="86"/>
      <c r="D1358" s="211"/>
      <c r="E1358" s="171"/>
    </row>
    <row r="1359" hidden="1">
      <c r="A1359" s="136"/>
      <c r="B1359" s="96"/>
      <c r="C1359" s="86"/>
      <c r="D1359" s="209"/>
      <c r="E1359" s="215"/>
    </row>
    <row r="1360" hidden="1">
      <c r="A1360" s="136"/>
      <c r="B1360" s="96"/>
      <c r="C1360" s="86"/>
      <c r="D1360" s="211"/>
      <c r="E1360" s="171"/>
    </row>
    <row r="1361" hidden="1">
      <c r="A1361" s="136"/>
      <c r="B1361" s="96"/>
      <c r="C1361" s="86"/>
      <c r="D1361" s="209"/>
      <c r="E1361" s="215"/>
    </row>
    <row r="1362" hidden="1">
      <c r="A1362" s="136"/>
      <c r="B1362" s="96"/>
      <c r="C1362" s="86"/>
      <c r="D1362" s="211"/>
      <c r="E1362" s="171"/>
    </row>
    <row r="1363" hidden="1">
      <c r="A1363" s="136"/>
      <c r="B1363" s="96"/>
      <c r="C1363" s="86"/>
      <c r="D1363" s="209"/>
      <c r="E1363" s="215"/>
    </row>
    <row r="1364" hidden="1">
      <c r="A1364" s="136"/>
      <c r="B1364" s="96"/>
      <c r="C1364" s="86"/>
      <c r="D1364" s="211"/>
      <c r="E1364" s="171"/>
    </row>
    <row r="1365" hidden="1">
      <c r="A1365" s="136"/>
      <c r="B1365" s="96"/>
      <c r="C1365" s="86"/>
      <c r="D1365" s="209"/>
      <c r="E1365" s="215"/>
    </row>
    <row r="1366" hidden="1">
      <c r="A1366" s="136"/>
      <c r="B1366" s="96"/>
      <c r="C1366" s="86"/>
      <c r="D1366" s="211"/>
      <c r="E1366" s="171"/>
    </row>
    <row r="1367" hidden="1">
      <c r="A1367" s="136"/>
      <c r="B1367" s="96"/>
      <c r="C1367" s="86"/>
      <c r="D1367" s="209"/>
      <c r="E1367" s="215"/>
    </row>
    <row r="1368" hidden="1">
      <c r="A1368" s="136"/>
      <c r="B1368" s="96"/>
      <c r="C1368" s="86"/>
      <c r="D1368" s="211"/>
      <c r="E1368" s="171"/>
    </row>
    <row r="1369" hidden="1">
      <c r="A1369" s="136"/>
      <c r="B1369" s="96"/>
      <c r="C1369" s="86"/>
      <c r="D1369" s="209"/>
      <c r="E1369" s="215"/>
    </row>
    <row r="1370" hidden="1">
      <c r="A1370" s="136"/>
      <c r="B1370" s="96"/>
      <c r="C1370" s="86"/>
      <c r="D1370" s="211"/>
      <c r="E1370" s="171"/>
    </row>
    <row r="1371" hidden="1">
      <c r="A1371" s="136"/>
      <c r="B1371" s="96"/>
      <c r="C1371" s="86"/>
      <c r="D1371" s="209"/>
      <c r="E1371" s="215"/>
    </row>
    <row r="1372" hidden="1">
      <c r="A1372" s="136"/>
      <c r="B1372" s="96"/>
      <c r="C1372" s="86"/>
      <c r="D1372" s="211"/>
      <c r="E1372" s="171"/>
    </row>
    <row r="1373" hidden="1">
      <c r="A1373" s="136"/>
      <c r="B1373" s="96"/>
      <c r="C1373" s="86"/>
      <c r="D1373" s="209"/>
      <c r="E1373" s="215"/>
    </row>
    <row r="1374" hidden="1">
      <c r="A1374" s="136"/>
      <c r="B1374" s="96"/>
      <c r="C1374" s="86"/>
      <c r="D1374" s="211"/>
      <c r="E1374" s="171"/>
    </row>
    <row r="1375" hidden="1">
      <c r="A1375" s="136"/>
      <c r="B1375" s="96"/>
      <c r="C1375" s="86"/>
      <c r="D1375" s="209"/>
      <c r="E1375" s="215"/>
    </row>
    <row r="1376" hidden="1">
      <c r="A1376" s="136"/>
      <c r="B1376" s="96"/>
      <c r="C1376" s="86"/>
      <c r="D1376" s="211"/>
      <c r="E1376" s="171"/>
    </row>
    <row r="1377" hidden="1">
      <c r="A1377" s="136"/>
      <c r="B1377" s="96"/>
      <c r="C1377" s="86"/>
      <c r="D1377" s="209"/>
      <c r="E1377" s="215"/>
    </row>
    <row r="1378" hidden="1">
      <c r="A1378" s="136"/>
      <c r="B1378" s="96"/>
      <c r="C1378" s="86"/>
      <c r="D1378" s="211"/>
      <c r="E1378" s="171"/>
    </row>
    <row r="1379" hidden="1">
      <c r="A1379" s="136"/>
      <c r="B1379" s="96"/>
      <c r="C1379" s="86"/>
      <c r="D1379" s="209"/>
      <c r="E1379" s="215"/>
    </row>
    <row r="1380" hidden="1">
      <c r="A1380" s="136"/>
      <c r="B1380" s="96"/>
      <c r="C1380" s="86"/>
      <c r="D1380" s="211"/>
      <c r="E1380" s="171"/>
    </row>
    <row r="1381" hidden="1">
      <c r="A1381" s="136"/>
      <c r="B1381" s="96"/>
      <c r="C1381" s="86"/>
      <c r="D1381" s="209"/>
      <c r="E1381" s="215"/>
    </row>
    <row r="1382" hidden="1">
      <c r="A1382" s="136"/>
      <c r="B1382" s="96"/>
      <c r="C1382" s="86"/>
      <c r="D1382" s="211"/>
      <c r="E1382" s="171"/>
    </row>
    <row r="1383" hidden="1">
      <c r="A1383" s="136"/>
      <c r="B1383" s="96"/>
      <c r="C1383" s="86"/>
      <c r="D1383" s="209"/>
      <c r="E1383" s="215"/>
    </row>
    <row r="1384" hidden="1">
      <c r="A1384" s="136"/>
      <c r="B1384" s="96"/>
      <c r="C1384" s="86"/>
      <c r="D1384" s="211"/>
      <c r="E1384" s="171"/>
    </row>
    <row r="1385" hidden="1">
      <c r="A1385" s="136"/>
      <c r="B1385" s="96"/>
      <c r="C1385" s="86"/>
      <c r="D1385" s="209"/>
      <c r="E1385" s="215"/>
    </row>
    <row r="1386" hidden="1">
      <c r="A1386" s="136"/>
      <c r="B1386" s="96"/>
      <c r="C1386" s="86"/>
      <c r="D1386" s="211"/>
      <c r="E1386" s="171"/>
    </row>
    <row r="1387" hidden="1">
      <c r="A1387" s="136"/>
      <c r="B1387" s="96"/>
      <c r="C1387" s="86"/>
      <c r="D1387" s="209"/>
      <c r="E1387" s="215"/>
    </row>
    <row r="1388" hidden="1">
      <c r="A1388" s="136"/>
      <c r="B1388" s="96"/>
      <c r="C1388" s="86"/>
      <c r="D1388" s="211"/>
      <c r="E1388" s="171"/>
    </row>
    <row r="1389" hidden="1">
      <c r="A1389" s="136"/>
      <c r="B1389" s="96"/>
      <c r="C1389" s="86"/>
      <c r="D1389" s="209"/>
      <c r="E1389" s="215"/>
    </row>
    <row r="1390" hidden="1">
      <c r="A1390" s="136"/>
      <c r="B1390" s="96"/>
      <c r="C1390" s="86"/>
      <c r="D1390" s="211"/>
      <c r="E1390" s="171"/>
    </row>
    <row r="1391" hidden="1">
      <c r="A1391" s="136"/>
      <c r="B1391" s="96"/>
      <c r="C1391" s="86"/>
      <c r="D1391" s="209"/>
      <c r="E1391" s="215"/>
    </row>
    <row r="1392" hidden="1">
      <c r="A1392" s="136"/>
      <c r="B1392" s="96"/>
      <c r="C1392" s="86"/>
      <c r="D1392" s="211"/>
      <c r="E1392" s="171"/>
    </row>
    <row r="1393" hidden="1">
      <c r="A1393" s="136"/>
      <c r="B1393" s="96"/>
      <c r="C1393" s="86"/>
      <c r="D1393" s="209"/>
      <c r="E1393" s="215"/>
    </row>
    <row r="1394" hidden="1">
      <c r="A1394" s="136"/>
      <c r="B1394" s="96"/>
      <c r="C1394" s="86"/>
      <c r="D1394" s="211"/>
      <c r="E1394" s="171"/>
    </row>
    <row r="1395" hidden="1">
      <c r="A1395" s="136"/>
      <c r="B1395" s="96"/>
      <c r="C1395" s="86"/>
      <c r="D1395" s="209"/>
      <c r="E1395" s="215"/>
    </row>
    <row r="1396" hidden="1">
      <c r="A1396" s="136"/>
      <c r="B1396" s="96"/>
      <c r="C1396" s="86"/>
      <c r="D1396" s="211"/>
      <c r="E1396" s="171"/>
    </row>
    <row r="1397" hidden="1">
      <c r="A1397" s="136"/>
      <c r="B1397" s="96"/>
      <c r="C1397" s="86"/>
      <c r="D1397" s="209"/>
      <c r="E1397" s="215"/>
    </row>
    <row r="1398" hidden="1">
      <c r="A1398" s="136"/>
      <c r="B1398" s="96"/>
      <c r="C1398" s="86"/>
      <c r="D1398" s="211"/>
      <c r="E1398" s="171"/>
    </row>
    <row r="1399" hidden="1">
      <c r="A1399" s="136"/>
      <c r="B1399" s="96"/>
      <c r="C1399" s="86"/>
      <c r="D1399" s="209"/>
      <c r="E1399" s="215"/>
    </row>
    <row r="1400" hidden="1">
      <c r="A1400" s="136"/>
      <c r="B1400" s="96"/>
      <c r="C1400" s="86"/>
      <c r="D1400" s="211"/>
      <c r="E1400" s="171"/>
    </row>
    <row r="1401" hidden="1">
      <c r="A1401" s="136"/>
      <c r="B1401" s="96"/>
      <c r="C1401" s="86"/>
      <c r="D1401" s="209"/>
      <c r="E1401" s="215"/>
    </row>
    <row r="1402" hidden="1">
      <c r="A1402" s="136"/>
      <c r="B1402" s="96"/>
      <c r="C1402" s="86"/>
      <c r="D1402" s="211"/>
      <c r="E1402" s="171"/>
    </row>
    <row r="1403" hidden="1">
      <c r="A1403" s="136"/>
      <c r="B1403" s="96"/>
      <c r="C1403" s="86"/>
      <c r="D1403" s="209"/>
      <c r="E1403" s="215"/>
    </row>
    <row r="1404" hidden="1">
      <c r="A1404" s="136"/>
      <c r="B1404" s="96"/>
      <c r="C1404" s="86"/>
      <c r="D1404" s="211"/>
      <c r="E1404" s="171"/>
    </row>
    <row r="1405" hidden="1">
      <c r="A1405" s="136"/>
      <c r="B1405" s="96"/>
      <c r="C1405" s="86"/>
      <c r="D1405" s="209"/>
      <c r="E1405" s="215"/>
    </row>
    <row r="1406" hidden="1">
      <c r="A1406" s="136"/>
      <c r="B1406" s="96"/>
      <c r="C1406" s="86"/>
      <c r="D1406" s="211"/>
      <c r="E1406" s="171"/>
    </row>
    <row r="1407" hidden="1">
      <c r="A1407" s="136"/>
      <c r="B1407" s="96"/>
      <c r="C1407" s="86"/>
      <c r="D1407" s="209"/>
      <c r="E1407" s="215"/>
    </row>
    <row r="1408" hidden="1">
      <c r="A1408" s="136"/>
      <c r="B1408" s="96"/>
      <c r="C1408" s="86"/>
      <c r="D1408" s="211"/>
      <c r="E1408" s="171"/>
    </row>
    <row r="1409" hidden="1">
      <c r="A1409" s="136"/>
      <c r="B1409" s="96"/>
      <c r="C1409" s="86"/>
      <c r="D1409" s="209"/>
      <c r="E1409" s="215"/>
    </row>
    <row r="1410" hidden="1">
      <c r="A1410" s="136"/>
      <c r="B1410" s="96"/>
      <c r="C1410" s="86"/>
      <c r="D1410" s="211"/>
      <c r="E1410" s="171"/>
    </row>
    <row r="1411" hidden="1">
      <c r="A1411" s="136"/>
      <c r="B1411" s="96"/>
      <c r="C1411" s="86"/>
      <c r="D1411" s="209"/>
      <c r="E1411" s="215"/>
    </row>
    <row r="1412" hidden="1">
      <c r="A1412" s="136"/>
      <c r="B1412" s="96"/>
      <c r="C1412" s="86"/>
      <c r="D1412" s="211"/>
      <c r="E1412" s="171"/>
    </row>
    <row r="1413" hidden="1">
      <c r="A1413" s="136"/>
      <c r="B1413" s="96"/>
      <c r="C1413" s="86"/>
      <c r="D1413" s="209"/>
      <c r="E1413" s="215"/>
    </row>
    <row r="1414" hidden="1">
      <c r="A1414" s="136"/>
      <c r="B1414" s="96"/>
      <c r="C1414" s="86"/>
      <c r="D1414" s="211"/>
      <c r="E1414" s="171"/>
    </row>
    <row r="1415" hidden="1">
      <c r="A1415" s="136"/>
      <c r="B1415" s="96"/>
      <c r="C1415" s="86"/>
      <c r="D1415" s="209"/>
      <c r="E1415" s="215"/>
    </row>
    <row r="1416" hidden="1">
      <c r="A1416" s="136"/>
      <c r="B1416" s="96"/>
      <c r="C1416" s="86"/>
      <c r="D1416" s="211"/>
      <c r="E1416" s="171"/>
    </row>
    <row r="1417" hidden="1">
      <c r="A1417" s="136"/>
      <c r="B1417" s="96"/>
      <c r="C1417" s="86"/>
      <c r="D1417" s="209"/>
      <c r="E1417" s="215"/>
    </row>
    <row r="1418" hidden="1">
      <c r="A1418" s="136"/>
      <c r="B1418" s="96"/>
      <c r="C1418" s="86"/>
      <c r="D1418" s="211"/>
      <c r="E1418" s="171"/>
    </row>
    <row r="1419" hidden="1">
      <c r="A1419" s="136"/>
      <c r="B1419" s="96"/>
      <c r="C1419" s="86"/>
      <c r="D1419" s="209"/>
      <c r="E1419" s="215"/>
    </row>
    <row r="1420" hidden="1">
      <c r="A1420" s="136"/>
      <c r="B1420" s="96"/>
      <c r="C1420" s="86"/>
      <c r="D1420" s="211"/>
      <c r="E1420" s="171"/>
    </row>
    <row r="1421" hidden="1">
      <c r="A1421" s="136"/>
      <c r="B1421" s="96"/>
      <c r="C1421" s="86"/>
      <c r="D1421" s="209"/>
      <c r="E1421" s="215"/>
    </row>
    <row r="1422" hidden="1">
      <c r="A1422" s="136"/>
      <c r="B1422" s="96"/>
      <c r="C1422" s="86"/>
      <c r="D1422" s="211"/>
      <c r="E1422" s="171"/>
    </row>
    <row r="1423" hidden="1">
      <c r="A1423" s="136"/>
      <c r="B1423" s="96"/>
      <c r="C1423" s="86"/>
      <c r="D1423" s="209"/>
      <c r="E1423" s="215"/>
    </row>
    <row r="1424" hidden="1">
      <c r="A1424" s="136"/>
      <c r="B1424" s="96"/>
      <c r="C1424" s="86"/>
      <c r="D1424" s="211"/>
      <c r="E1424" s="171"/>
    </row>
    <row r="1425" hidden="1">
      <c r="A1425" s="136"/>
      <c r="B1425" s="96"/>
      <c r="C1425" s="86"/>
      <c r="D1425" s="209"/>
      <c r="E1425" s="215"/>
    </row>
    <row r="1426" hidden="1">
      <c r="A1426" s="136"/>
      <c r="B1426" s="96"/>
      <c r="C1426" s="86"/>
      <c r="D1426" s="211"/>
      <c r="E1426" s="171"/>
    </row>
    <row r="1427" hidden="1">
      <c r="A1427" s="136"/>
      <c r="B1427" s="96"/>
      <c r="C1427" s="86"/>
      <c r="D1427" s="209"/>
      <c r="E1427" s="215"/>
    </row>
    <row r="1428" hidden="1">
      <c r="A1428" s="136"/>
      <c r="B1428" s="96"/>
      <c r="C1428" s="86"/>
      <c r="D1428" s="211"/>
      <c r="E1428" s="171"/>
    </row>
    <row r="1429" hidden="1">
      <c r="A1429" s="136"/>
      <c r="B1429" s="96"/>
      <c r="C1429" s="86"/>
      <c r="D1429" s="209"/>
      <c r="E1429" s="215"/>
    </row>
    <row r="1430" hidden="1">
      <c r="A1430" s="136"/>
      <c r="B1430" s="96"/>
      <c r="C1430" s="86"/>
      <c r="D1430" s="211"/>
      <c r="E1430" s="171"/>
    </row>
    <row r="1431" hidden="1">
      <c r="A1431" s="136"/>
      <c r="B1431" s="96"/>
      <c r="C1431" s="86"/>
      <c r="D1431" s="209"/>
      <c r="E1431" s="215"/>
    </row>
    <row r="1432" hidden="1">
      <c r="A1432" s="136"/>
      <c r="B1432" s="96"/>
      <c r="C1432" s="86"/>
      <c r="D1432" s="211"/>
      <c r="E1432" s="171"/>
    </row>
    <row r="1433" hidden="1">
      <c r="A1433" s="136"/>
      <c r="B1433" s="96"/>
      <c r="C1433" s="86"/>
      <c r="D1433" s="209"/>
      <c r="E1433" s="215"/>
    </row>
    <row r="1434" hidden="1">
      <c r="A1434" s="136"/>
      <c r="B1434" s="96"/>
      <c r="C1434" s="86"/>
      <c r="D1434" s="211"/>
      <c r="E1434" s="171"/>
    </row>
    <row r="1435" hidden="1">
      <c r="A1435" s="136"/>
      <c r="B1435" s="96"/>
      <c r="C1435" s="86"/>
      <c r="D1435" s="209"/>
      <c r="E1435" s="215"/>
    </row>
    <row r="1436" hidden="1">
      <c r="A1436" s="136"/>
      <c r="B1436" s="96"/>
      <c r="C1436" s="86"/>
      <c r="D1436" s="211"/>
      <c r="E1436" s="171"/>
    </row>
    <row r="1437" hidden="1">
      <c r="A1437" s="136"/>
      <c r="B1437" s="96"/>
      <c r="C1437" s="86"/>
      <c r="D1437" s="209"/>
      <c r="E1437" s="215"/>
    </row>
    <row r="1438" hidden="1">
      <c r="A1438" s="136"/>
      <c r="B1438" s="96"/>
      <c r="C1438" s="86"/>
      <c r="D1438" s="211"/>
      <c r="E1438" s="171"/>
    </row>
    <row r="1439" hidden="1">
      <c r="A1439" s="136"/>
      <c r="B1439" s="96"/>
      <c r="C1439" s="86"/>
      <c r="D1439" s="209"/>
      <c r="E1439" s="215"/>
    </row>
    <row r="1440" hidden="1">
      <c r="A1440" s="136"/>
      <c r="B1440" s="96"/>
      <c r="C1440" s="86"/>
      <c r="D1440" s="211"/>
      <c r="E1440" s="171"/>
    </row>
    <row r="1441" hidden="1">
      <c r="A1441" s="136"/>
      <c r="B1441" s="96"/>
      <c r="C1441" s="86"/>
      <c r="D1441" s="209"/>
      <c r="E1441" s="215"/>
    </row>
    <row r="1442" hidden="1">
      <c r="A1442" s="136"/>
      <c r="B1442" s="96"/>
      <c r="C1442" s="86"/>
      <c r="D1442" s="211"/>
      <c r="E1442" s="171"/>
    </row>
    <row r="1443" hidden="1">
      <c r="A1443" s="136"/>
      <c r="B1443" s="96"/>
      <c r="C1443" s="86"/>
      <c r="D1443" s="209"/>
      <c r="E1443" s="215"/>
    </row>
    <row r="1444" hidden="1">
      <c r="A1444" s="136"/>
      <c r="B1444" s="96"/>
      <c r="C1444" s="86"/>
      <c r="D1444" s="211"/>
      <c r="E1444" s="171"/>
    </row>
    <row r="1445" hidden="1">
      <c r="A1445" s="136"/>
      <c r="B1445" s="96"/>
      <c r="C1445" s="86"/>
      <c r="D1445" s="209"/>
      <c r="E1445" s="215"/>
    </row>
    <row r="1446" hidden="1">
      <c r="A1446" s="136"/>
      <c r="B1446" s="96"/>
      <c r="C1446" s="86"/>
      <c r="D1446" s="211"/>
      <c r="E1446" s="171"/>
    </row>
    <row r="1447" hidden="1">
      <c r="A1447" s="136"/>
      <c r="B1447" s="96"/>
      <c r="C1447" s="86"/>
      <c r="D1447" s="209"/>
      <c r="E1447" s="215"/>
    </row>
    <row r="1448" hidden="1">
      <c r="A1448" s="136"/>
      <c r="B1448" s="96"/>
      <c r="C1448" s="86"/>
      <c r="D1448" s="211"/>
      <c r="E1448" s="171"/>
    </row>
    <row r="1449" hidden="1">
      <c r="A1449" s="136"/>
      <c r="B1449" s="96"/>
      <c r="C1449" s="86"/>
      <c r="D1449" s="209"/>
      <c r="E1449" s="215"/>
    </row>
    <row r="1450" hidden="1">
      <c r="A1450" s="136"/>
      <c r="B1450" s="96"/>
      <c r="C1450" s="86"/>
      <c r="D1450" s="211"/>
      <c r="E1450" s="171"/>
    </row>
    <row r="1451" hidden="1">
      <c r="A1451" s="136"/>
      <c r="B1451" s="96"/>
      <c r="C1451" s="86"/>
      <c r="D1451" s="209"/>
      <c r="E1451" s="215"/>
    </row>
    <row r="1452" hidden="1">
      <c r="A1452" s="136"/>
      <c r="B1452" s="96"/>
      <c r="C1452" s="86"/>
      <c r="D1452" s="211"/>
      <c r="E1452" s="171"/>
    </row>
    <row r="1453" hidden="1">
      <c r="A1453" s="136"/>
      <c r="B1453" s="96"/>
      <c r="C1453" s="86"/>
      <c r="D1453" s="209"/>
      <c r="E1453" s="215"/>
    </row>
    <row r="1454" hidden="1">
      <c r="A1454" s="136"/>
      <c r="B1454" s="96"/>
      <c r="C1454" s="86"/>
      <c r="D1454" s="211"/>
      <c r="E1454" s="171"/>
    </row>
    <row r="1455" hidden="1">
      <c r="A1455" s="136"/>
      <c r="B1455" s="96"/>
      <c r="C1455" s="86"/>
      <c r="D1455" s="209"/>
      <c r="E1455" s="215"/>
    </row>
    <row r="1456" hidden="1">
      <c r="A1456" s="136"/>
      <c r="B1456" s="96"/>
      <c r="C1456" s="86"/>
      <c r="D1456" s="211"/>
      <c r="E1456" s="171"/>
    </row>
    <row r="1457" hidden="1">
      <c r="A1457" s="136"/>
      <c r="B1457" s="96"/>
      <c r="C1457" s="86"/>
      <c r="D1457" s="209"/>
      <c r="E1457" s="215"/>
    </row>
    <row r="1458" hidden="1">
      <c r="A1458" s="136"/>
      <c r="B1458" s="96"/>
      <c r="C1458" s="86"/>
      <c r="D1458" s="211"/>
      <c r="E1458" s="171"/>
    </row>
    <row r="1459" hidden="1">
      <c r="A1459" s="136"/>
      <c r="B1459" s="96"/>
      <c r="C1459" s="86"/>
      <c r="D1459" s="209"/>
      <c r="E1459" s="215"/>
    </row>
    <row r="1460" hidden="1">
      <c r="A1460" s="136"/>
      <c r="B1460" s="96"/>
      <c r="C1460" s="86"/>
      <c r="D1460" s="211"/>
      <c r="E1460" s="171"/>
    </row>
    <row r="1461" hidden="1">
      <c r="A1461" s="136"/>
      <c r="B1461" s="96"/>
      <c r="C1461" s="86"/>
      <c r="D1461" s="209"/>
      <c r="E1461" s="215"/>
    </row>
    <row r="1462" hidden="1">
      <c r="A1462" s="136"/>
      <c r="B1462" s="96"/>
      <c r="C1462" s="86"/>
      <c r="D1462" s="211"/>
      <c r="E1462" s="171"/>
    </row>
    <row r="1463" hidden="1">
      <c r="A1463" s="136"/>
      <c r="B1463" s="96"/>
      <c r="C1463" s="86"/>
      <c r="D1463" s="209"/>
      <c r="E1463" s="215"/>
    </row>
    <row r="1464" hidden="1">
      <c r="A1464" s="136"/>
      <c r="B1464" s="96"/>
      <c r="C1464" s="86"/>
      <c r="D1464" s="211"/>
      <c r="E1464" s="171"/>
    </row>
    <row r="1465" hidden="1">
      <c r="A1465" s="136"/>
      <c r="B1465" s="96"/>
      <c r="C1465" s="86"/>
      <c r="D1465" s="209"/>
      <c r="E1465" s="215"/>
    </row>
    <row r="1466" hidden="1">
      <c r="A1466" s="136"/>
      <c r="B1466" s="96"/>
      <c r="C1466" s="86"/>
      <c r="D1466" s="211"/>
      <c r="E1466" s="171"/>
    </row>
    <row r="1467" hidden="1">
      <c r="A1467" s="136"/>
      <c r="B1467" s="96"/>
      <c r="C1467" s="86"/>
      <c r="D1467" s="209"/>
      <c r="E1467" s="215"/>
    </row>
    <row r="1468" hidden="1">
      <c r="A1468" s="136"/>
      <c r="B1468" s="96"/>
      <c r="C1468" s="86"/>
      <c r="D1468" s="211"/>
      <c r="E1468" s="171"/>
    </row>
    <row r="1469" hidden="1">
      <c r="A1469" s="136"/>
      <c r="B1469" s="96"/>
      <c r="C1469" s="86"/>
      <c r="D1469" s="209"/>
      <c r="E1469" s="215"/>
    </row>
    <row r="1470" hidden="1">
      <c r="A1470" s="136"/>
      <c r="B1470" s="96"/>
      <c r="C1470" s="86"/>
      <c r="D1470" s="211"/>
      <c r="E1470" s="171"/>
    </row>
    <row r="1471" hidden="1">
      <c r="A1471" s="136"/>
      <c r="B1471" s="96"/>
      <c r="C1471" s="86"/>
      <c r="D1471" s="209"/>
      <c r="E1471" s="215"/>
    </row>
    <row r="1472" hidden="1">
      <c r="A1472" s="136"/>
      <c r="B1472" s="96"/>
      <c r="C1472" s="86"/>
      <c r="D1472" s="211"/>
      <c r="E1472" s="171"/>
    </row>
    <row r="1473" hidden="1">
      <c r="A1473" s="136"/>
      <c r="B1473" s="96"/>
      <c r="C1473" s="86"/>
      <c r="D1473" s="209"/>
      <c r="E1473" s="215"/>
    </row>
    <row r="1474" hidden="1">
      <c r="A1474" s="136"/>
      <c r="B1474" s="96"/>
      <c r="C1474" s="86"/>
      <c r="D1474" s="211"/>
      <c r="E1474" s="171"/>
    </row>
    <row r="1475" hidden="1">
      <c r="A1475" s="136"/>
      <c r="B1475" s="96"/>
      <c r="C1475" s="86"/>
      <c r="D1475" s="209"/>
      <c r="E1475" s="215"/>
    </row>
    <row r="1476" hidden="1">
      <c r="A1476" s="136"/>
      <c r="B1476" s="96"/>
      <c r="C1476" s="86"/>
      <c r="D1476" s="211"/>
      <c r="E1476" s="171"/>
    </row>
    <row r="1477" hidden="1">
      <c r="A1477" s="136"/>
      <c r="B1477" s="96"/>
      <c r="C1477" s="86"/>
      <c r="D1477" s="209"/>
      <c r="E1477" s="215"/>
    </row>
    <row r="1478" hidden="1">
      <c r="A1478" s="136"/>
      <c r="B1478" s="96"/>
      <c r="C1478" s="86"/>
      <c r="D1478" s="211"/>
      <c r="E1478" s="171"/>
    </row>
    <row r="1479" hidden="1">
      <c r="A1479" s="136"/>
      <c r="B1479" s="96"/>
      <c r="C1479" s="86"/>
      <c r="D1479" s="209"/>
      <c r="E1479" s="215"/>
    </row>
    <row r="1480" hidden="1">
      <c r="A1480" s="136"/>
      <c r="B1480" s="96"/>
      <c r="C1480" s="86"/>
      <c r="D1480" s="211"/>
      <c r="E1480" s="171"/>
    </row>
    <row r="1481" hidden="1">
      <c r="A1481" s="136"/>
      <c r="B1481" s="96"/>
      <c r="C1481" s="86"/>
      <c r="D1481" s="209"/>
      <c r="E1481" s="215"/>
    </row>
    <row r="1482" hidden="1">
      <c r="A1482" s="136"/>
      <c r="B1482" s="96"/>
      <c r="C1482" s="86"/>
      <c r="D1482" s="211"/>
      <c r="E1482" s="171"/>
    </row>
    <row r="1483" hidden="1">
      <c r="A1483" s="136"/>
      <c r="B1483" s="96"/>
      <c r="C1483" s="86"/>
      <c r="D1483" s="209"/>
      <c r="E1483" s="215"/>
    </row>
    <row r="1484" hidden="1">
      <c r="A1484" s="136"/>
      <c r="B1484" s="96"/>
      <c r="C1484" s="86"/>
      <c r="D1484" s="211"/>
      <c r="E1484" s="171"/>
    </row>
    <row r="1485" hidden="1">
      <c r="A1485" s="136"/>
      <c r="B1485" s="96"/>
      <c r="C1485" s="86"/>
      <c r="D1485" s="209"/>
      <c r="E1485" s="215"/>
    </row>
    <row r="1486" hidden="1">
      <c r="A1486" s="136"/>
      <c r="B1486" s="96"/>
      <c r="C1486" s="86"/>
      <c r="D1486" s="211"/>
      <c r="E1486" s="171"/>
    </row>
    <row r="1487" hidden="1">
      <c r="A1487" s="136"/>
      <c r="B1487" s="96"/>
      <c r="C1487" s="86"/>
      <c r="D1487" s="209"/>
      <c r="E1487" s="215"/>
    </row>
    <row r="1488" hidden="1">
      <c r="A1488" s="136"/>
      <c r="B1488" s="96"/>
      <c r="C1488" s="86"/>
      <c r="D1488" s="211"/>
      <c r="E1488" s="171"/>
    </row>
    <row r="1489" hidden="1">
      <c r="A1489" s="136"/>
      <c r="B1489" s="96"/>
      <c r="C1489" s="86"/>
      <c r="D1489" s="209"/>
      <c r="E1489" s="215"/>
    </row>
    <row r="1490" hidden="1">
      <c r="A1490" s="136"/>
      <c r="B1490" s="96"/>
      <c r="C1490" s="86"/>
      <c r="D1490" s="211"/>
      <c r="E1490" s="171"/>
    </row>
    <row r="1491" hidden="1">
      <c r="A1491" s="136"/>
      <c r="B1491" s="96"/>
      <c r="C1491" s="86"/>
      <c r="D1491" s="209"/>
      <c r="E1491" s="215"/>
    </row>
    <row r="1492" hidden="1">
      <c r="A1492" s="136"/>
      <c r="B1492" s="96"/>
      <c r="C1492" s="86"/>
      <c r="D1492" s="211"/>
      <c r="E1492" s="171"/>
    </row>
    <row r="1493" hidden="1">
      <c r="A1493" s="136"/>
      <c r="B1493" s="96"/>
      <c r="C1493" s="86"/>
      <c r="D1493" s="209"/>
      <c r="E1493" s="215"/>
    </row>
    <row r="1494" hidden="1">
      <c r="A1494" s="136"/>
      <c r="B1494" s="96"/>
      <c r="C1494" s="86"/>
      <c r="D1494" s="211"/>
      <c r="E1494" s="171"/>
    </row>
    <row r="1495" hidden="1">
      <c r="A1495" s="136"/>
      <c r="B1495" s="96"/>
      <c r="C1495" s="86"/>
      <c r="D1495" s="209"/>
      <c r="E1495" s="215"/>
    </row>
    <row r="1496" hidden="1">
      <c r="A1496" s="136"/>
      <c r="B1496" s="96"/>
      <c r="C1496" s="86"/>
      <c r="D1496" s="211"/>
      <c r="E1496" s="171"/>
    </row>
    <row r="1497" hidden="1">
      <c r="A1497" s="136"/>
      <c r="B1497" s="96"/>
      <c r="C1497" s="86"/>
      <c r="D1497" s="209"/>
      <c r="E1497" s="215"/>
    </row>
    <row r="1498" hidden="1">
      <c r="A1498" s="136"/>
      <c r="B1498" s="96"/>
      <c r="C1498" s="86"/>
      <c r="D1498" s="211"/>
      <c r="E1498" s="171"/>
    </row>
    <row r="1499" hidden="1">
      <c r="A1499" s="136"/>
      <c r="B1499" s="96"/>
      <c r="C1499" s="86"/>
      <c r="D1499" s="209"/>
      <c r="E1499" s="215"/>
    </row>
    <row r="1500" hidden="1">
      <c r="A1500" s="136"/>
      <c r="B1500" s="96"/>
      <c r="C1500" s="86"/>
      <c r="D1500" s="211"/>
      <c r="E1500" s="171"/>
    </row>
    <row r="1501" hidden="1">
      <c r="A1501" s="136"/>
      <c r="B1501" s="96"/>
      <c r="C1501" s="86"/>
      <c r="D1501" s="209"/>
      <c r="E1501" s="215"/>
    </row>
    <row r="1502" hidden="1">
      <c r="A1502" s="136"/>
      <c r="B1502" s="96"/>
      <c r="C1502" s="86"/>
      <c r="D1502" s="211"/>
      <c r="E1502" s="171"/>
    </row>
    <row r="1503" hidden="1">
      <c r="A1503" s="136"/>
      <c r="B1503" s="96"/>
      <c r="C1503" s="86"/>
      <c r="D1503" s="209"/>
      <c r="E1503" s="215"/>
    </row>
    <row r="1504" hidden="1">
      <c r="A1504" s="136"/>
      <c r="B1504" s="96"/>
      <c r="C1504" s="86"/>
      <c r="D1504" s="211"/>
      <c r="E1504" s="171"/>
    </row>
    <row r="1505" hidden="1">
      <c r="A1505" s="136"/>
      <c r="B1505" s="96"/>
      <c r="C1505" s="86"/>
      <c r="D1505" s="209"/>
      <c r="E1505" s="215"/>
    </row>
    <row r="1506" hidden="1">
      <c r="A1506" s="136"/>
      <c r="B1506" s="96"/>
      <c r="C1506" s="86"/>
      <c r="D1506" s="211"/>
      <c r="E1506" s="171"/>
    </row>
    <row r="1507" hidden="1">
      <c r="A1507" s="136"/>
      <c r="B1507" s="96"/>
      <c r="C1507" s="86"/>
      <c r="D1507" s="209"/>
      <c r="E1507" s="215"/>
    </row>
    <row r="1508" hidden="1">
      <c r="A1508" s="136"/>
      <c r="B1508" s="96"/>
      <c r="C1508" s="86"/>
      <c r="D1508" s="211"/>
      <c r="E1508" s="171"/>
    </row>
    <row r="1509" hidden="1">
      <c r="A1509" s="136"/>
      <c r="B1509" s="96"/>
      <c r="C1509" s="86"/>
      <c r="D1509" s="209"/>
      <c r="E1509" s="215"/>
    </row>
    <row r="1510" hidden="1">
      <c r="A1510" s="136"/>
      <c r="B1510" s="96"/>
      <c r="C1510" s="86"/>
      <c r="D1510" s="211"/>
      <c r="E1510" s="171"/>
    </row>
    <row r="1511" hidden="1">
      <c r="A1511" s="136"/>
      <c r="B1511" s="96"/>
      <c r="C1511" s="86"/>
      <c r="D1511" s="209"/>
      <c r="E1511" s="215"/>
    </row>
    <row r="1512" hidden="1">
      <c r="A1512" s="136"/>
      <c r="B1512" s="96"/>
      <c r="C1512" s="86"/>
      <c r="D1512" s="211"/>
      <c r="E1512" s="171"/>
    </row>
    <row r="1513" hidden="1">
      <c r="A1513" s="136"/>
      <c r="B1513" s="96"/>
      <c r="C1513" s="86"/>
      <c r="D1513" s="209"/>
      <c r="E1513" s="215"/>
    </row>
    <row r="1514" hidden="1">
      <c r="A1514" s="136"/>
      <c r="B1514" s="96"/>
      <c r="C1514" s="86"/>
      <c r="D1514" s="211"/>
      <c r="E1514" s="171"/>
    </row>
    <row r="1515" hidden="1">
      <c r="A1515" s="136"/>
      <c r="B1515" s="96"/>
      <c r="C1515" s="86"/>
      <c r="D1515" s="209"/>
      <c r="E1515" s="215"/>
    </row>
    <row r="1516" hidden="1">
      <c r="A1516" s="136"/>
      <c r="B1516" s="96"/>
      <c r="C1516" s="86"/>
      <c r="D1516" s="211"/>
      <c r="E1516" s="171"/>
    </row>
    <row r="1517" hidden="1">
      <c r="A1517" s="136"/>
      <c r="B1517" s="96"/>
      <c r="C1517" s="86"/>
      <c r="D1517" s="209"/>
      <c r="E1517" s="215"/>
    </row>
    <row r="1518" hidden="1">
      <c r="A1518" s="136"/>
      <c r="B1518" s="96"/>
      <c r="C1518" s="86"/>
      <c r="D1518" s="211"/>
      <c r="E1518" s="171"/>
    </row>
    <row r="1519" hidden="1">
      <c r="A1519" s="136"/>
      <c r="B1519" s="96"/>
      <c r="C1519" s="86"/>
      <c r="D1519" s="209"/>
      <c r="E1519" s="215"/>
    </row>
    <row r="1520" hidden="1">
      <c r="A1520" s="136"/>
      <c r="B1520" s="96"/>
      <c r="C1520" s="86"/>
      <c r="D1520" s="211"/>
      <c r="E1520" s="171"/>
    </row>
    <row r="1521" hidden="1">
      <c r="A1521" s="136"/>
      <c r="B1521" s="96"/>
      <c r="C1521" s="86"/>
      <c r="D1521" s="209"/>
      <c r="E1521" s="215"/>
    </row>
    <row r="1522" hidden="1">
      <c r="A1522" s="136"/>
      <c r="B1522" s="96"/>
      <c r="C1522" s="86"/>
      <c r="D1522" s="211"/>
      <c r="E1522" s="171"/>
    </row>
    <row r="1523" hidden="1">
      <c r="A1523" s="136"/>
      <c r="B1523" s="96"/>
      <c r="C1523" s="86"/>
      <c r="D1523" s="209"/>
      <c r="E1523" s="215"/>
    </row>
    <row r="1524" hidden="1">
      <c r="A1524" s="136"/>
      <c r="B1524" s="96"/>
      <c r="C1524" s="86"/>
      <c r="D1524" s="211"/>
      <c r="E1524" s="171"/>
    </row>
    <row r="1525" hidden="1">
      <c r="A1525" s="136"/>
      <c r="B1525" s="96"/>
      <c r="C1525" s="86"/>
      <c r="D1525" s="209"/>
      <c r="E1525" s="215"/>
    </row>
    <row r="1526" hidden="1">
      <c r="A1526" s="136"/>
      <c r="B1526" s="96"/>
      <c r="C1526" s="86"/>
      <c r="D1526" s="211"/>
      <c r="E1526" s="171"/>
    </row>
    <row r="1527" hidden="1">
      <c r="A1527" s="136"/>
      <c r="B1527" s="96"/>
      <c r="C1527" s="86"/>
      <c r="D1527" s="209"/>
      <c r="E1527" s="215"/>
    </row>
    <row r="1528" hidden="1">
      <c r="A1528" s="136"/>
      <c r="B1528" s="96"/>
      <c r="C1528" s="86"/>
      <c r="D1528" s="211"/>
      <c r="E1528" s="171"/>
    </row>
    <row r="1529" hidden="1">
      <c r="A1529" s="136"/>
      <c r="B1529" s="96"/>
      <c r="C1529" s="86"/>
      <c r="D1529" s="209"/>
      <c r="E1529" s="215"/>
    </row>
    <row r="1530" hidden="1">
      <c r="A1530" s="136"/>
      <c r="B1530" s="96"/>
      <c r="C1530" s="86"/>
      <c r="D1530" s="211"/>
      <c r="E1530" s="171"/>
    </row>
    <row r="1531" hidden="1">
      <c r="A1531" s="136"/>
      <c r="B1531" s="96"/>
      <c r="C1531" s="86"/>
      <c r="D1531" s="209"/>
      <c r="E1531" s="215"/>
    </row>
    <row r="1532" hidden="1">
      <c r="A1532" s="136"/>
      <c r="B1532" s="96"/>
      <c r="C1532" s="86"/>
      <c r="D1532" s="211"/>
      <c r="E1532" s="171"/>
    </row>
    <row r="1533" hidden="1">
      <c r="A1533" s="136"/>
      <c r="B1533" s="96"/>
      <c r="C1533" s="86"/>
      <c r="D1533" s="209"/>
      <c r="E1533" s="215"/>
    </row>
    <row r="1534" hidden="1">
      <c r="A1534" s="136"/>
      <c r="B1534" s="96"/>
      <c r="C1534" s="86"/>
      <c r="D1534" s="211"/>
      <c r="E1534" s="171"/>
    </row>
    <row r="1535" hidden="1">
      <c r="A1535" s="136"/>
      <c r="B1535" s="96"/>
      <c r="C1535" s="86"/>
      <c r="D1535" s="209"/>
      <c r="E1535" s="215"/>
    </row>
    <row r="1536" hidden="1">
      <c r="A1536" s="136"/>
      <c r="B1536" s="96"/>
      <c r="C1536" s="86"/>
      <c r="D1536" s="211"/>
      <c r="E1536" s="171"/>
    </row>
    <row r="1537" hidden="1">
      <c r="A1537" s="136"/>
      <c r="B1537" s="96"/>
      <c r="C1537" s="86"/>
      <c r="D1537" s="209"/>
      <c r="E1537" s="215"/>
    </row>
    <row r="1538" hidden="1">
      <c r="A1538" s="136"/>
      <c r="B1538" s="96"/>
      <c r="C1538" s="86"/>
      <c r="D1538" s="211"/>
      <c r="E1538" s="171"/>
    </row>
    <row r="1539" hidden="1">
      <c r="A1539" s="136"/>
      <c r="B1539" s="96"/>
      <c r="C1539" s="86"/>
      <c r="D1539" s="209"/>
      <c r="E1539" s="215"/>
    </row>
    <row r="1540" hidden="1">
      <c r="A1540" s="136"/>
      <c r="B1540" s="96"/>
      <c r="C1540" s="86"/>
      <c r="D1540" s="211"/>
      <c r="E1540" s="171"/>
    </row>
    <row r="1541" hidden="1">
      <c r="A1541" s="136"/>
      <c r="B1541" s="96"/>
      <c r="C1541" s="86"/>
      <c r="D1541" s="209"/>
      <c r="E1541" s="215"/>
    </row>
    <row r="1542" hidden="1">
      <c r="A1542" s="136"/>
      <c r="B1542" s="96"/>
      <c r="C1542" s="86"/>
      <c r="D1542" s="211"/>
      <c r="E1542" s="171"/>
    </row>
    <row r="1543" hidden="1">
      <c r="A1543" s="136"/>
      <c r="B1543" s="96"/>
      <c r="C1543" s="86"/>
      <c r="D1543" s="209"/>
      <c r="E1543" s="215"/>
    </row>
    <row r="1544" hidden="1">
      <c r="A1544" s="136"/>
      <c r="B1544" s="96"/>
      <c r="C1544" s="86"/>
      <c r="D1544" s="211"/>
      <c r="E1544" s="171"/>
    </row>
    <row r="1545" hidden="1">
      <c r="A1545" s="136"/>
      <c r="B1545" s="96"/>
      <c r="C1545" s="86"/>
      <c r="D1545" s="209"/>
      <c r="E1545" s="215"/>
    </row>
    <row r="1546" hidden="1">
      <c r="A1546" s="136"/>
      <c r="B1546" s="96"/>
      <c r="C1546" s="86"/>
      <c r="D1546" s="211"/>
      <c r="E1546" s="171"/>
    </row>
    <row r="1547" hidden="1">
      <c r="A1547" s="136"/>
      <c r="B1547" s="96"/>
      <c r="C1547" s="86"/>
      <c r="D1547" s="209"/>
      <c r="E1547" s="215"/>
    </row>
    <row r="1548" hidden="1">
      <c r="A1548" s="136"/>
      <c r="B1548" s="96"/>
      <c r="C1548" s="86"/>
      <c r="D1548" s="211"/>
      <c r="E1548" s="171"/>
    </row>
    <row r="1549" hidden="1">
      <c r="A1549" s="136"/>
      <c r="B1549" s="96"/>
      <c r="C1549" s="86"/>
      <c r="D1549" s="209"/>
      <c r="E1549" s="215"/>
    </row>
    <row r="1550" hidden="1">
      <c r="A1550" s="136"/>
      <c r="B1550" s="96"/>
      <c r="C1550" s="86"/>
      <c r="D1550" s="211"/>
      <c r="E1550" s="171"/>
    </row>
    <row r="1551" hidden="1">
      <c r="A1551" s="136"/>
      <c r="B1551" s="96"/>
      <c r="C1551" s="86"/>
      <c r="D1551" s="209"/>
      <c r="E1551" s="215"/>
    </row>
    <row r="1552" hidden="1">
      <c r="A1552" s="136"/>
      <c r="B1552" s="96"/>
      <c r="C1552" s="86"/>
      <c r="D1552" s="211"/>
      <c r="E1552" s="171"/>
    </row>
    <row r="1553" hidden="1">
      <c r="A1553" s="136"/>
      <c r="B1553" s="96"/>
      <c r="C1553" s="86"/>
      <c r="D1553" s="209"/>
      <c r="E1553" s="215"/>
    </row>
    <row r="1554" hidden="1">
      <c r="A1554" s="136"/>
      <c r="B1554" s="96"/>
      <c r="C1554" s="86"/>
      <c r="D1554" s="211"/>
      <c r="E1554" s="171"/>
    </row>
    <row r="1555" hidden="1">
      <c r="A1555" s="136"/>
      <c r="B1555" s="96"/>
      <c r="C1555" s="86"/>
      <c r="D1555" s="209"/>
      <c r="E1555" s="215"/>
    </row>
    <row r="1556" hidden="1">
      <c r="A1556" s="136"/>
      <c r="B1556" s="96"/>
      <c r="C1556" s="86"/>
      <c r="D1556" s="211"/>
      <c r="E1556" s="171"/>
    </row>
    <row r="1557" hidden="1">
      <c r="A1557" s="136"/>
      <c r="B1557" s="96"/>
      <c r="C1557" s="86"/>
      <c r="D1557" s="209"/>
      <c r="E1557" s="215"/>
    </row>
    <row r="1558" hidden="1">
      <c r="A1558" s="136"/>
      <c r="B1558" s="96"/>
      <c r="C1558" s="86"/>
      <c r="D1558" s="211"/>
      <c r="E1558" s="171"/>
    </row>
    <row r="1559" hidden="1">
      <c r="A1559" s="136"/>
      <c r="B1559" s="96"/>
      <c r="C1559" s="86"/>
      <c r="D1559" s="209"/>
      <c r="E1559" s="215"/>
    </row>
    <row r="1560" hidden="1">
      <c r="A1560" s="136"/>
      <c r="B1560" s="96"/>
      <c r="C1560" s="86"/>
      <c r="D1560" s="211"/>
      <c r="E1560" s="171"/>
    </row>
    <row r="1561" hidden="1">
      <c r="A1561" s="136"/>
      <c r="B1561" s="96"/>
      <c r="C1561" s="86"/>
      <c r="D1561" s="209"/>
      <c r="E1561" s="215"/>
    </row>
    <row r="1562" hidden="1">
      <c r="A1562" s="136"/>
      <c r="B1562" s="96"/>
      <c r="C1562" s="86"/>
      <c r="D1562" s="211"/>
      <c r="E1562" s="171"/>
    </row>
    <row r="1563" hidden="1">
      <c r="A1563" s="136"/>
      <c r="B1563" s="96"/>
      <c r="C1563" s="86"/>
      <c r="D1563" s="209"/>
      <c r="E1563" s="215"/>
    </row>
    <row r="1564" hidden="1">
      <c r="A1564" s="136"/>
      <c r="B1564" s="96"/>
      <c r="C1564" s="86"/>
      <c r="D1564" s="211"/>
      <c r="E1564" s="171"/>
    </row>
    <row r="1565" hidden="1">
      <c r="A1565" s="136"/>
      <c r="B1565" s="96"/>
      <c r="C1565" s="86"/>
      <c r="D1565" s="209"/>
      <c r="E1565" s="215"/>
    </row>
    <row r="1566" hidden="1">
      <c r="A1566" s="136"/>
      <c r="B1566" s="96"/>
      <c r="C1566" s="86"/>
      <c r="D1566" s="211"/>
      <c r="E1566" s="171"/>
    </row>
    <row r="1567" hidden="1">
      <c r="A1567" s="136"/>
      <c r="B1567" s="96"/>
      <c r="C1567" s="86"/>
      <c r="D1567" s="209"/>
      <c r="E1567" s="215"/>
    </row>
    <row r="1568" hidden="1">
      <c r="A1568" s="136"/>
      <c r="B1568" s="96"/>
      <c r="C1568" s="86"/>
      <c r="D1568" s="211"/>
      <c r="E1568" s="171"/>
    </row>
    <row r="1569" hidden="1">
      <c r="A1569" s="136"/>
      <c r="B1569" s="96"/>
      <c r="C1569" s="86"/>
      <c r="D1569" s="209"/>
      <c r="E1569" s="215"/>
    </row>
    <row r="1570" hidden="1">
      <c r="A1570" s="136"/>
      <c r="B1570" s="96"/>
      <c r="C1570" s="86"/>
      <c r="D1570" s="211"/>
      <c r="E1570" s="171"/>
    </row>
    <row r="1571" hidden="1">
      <c r="A1571" s="136"/>
      <c r="B1571" s="96"/>
      <c r="C1571" s="86"/>
      <c r="D1571" s="209"/>
      <c r="E1571" s="215"/>
    </row>
    <row r="1572" hidden="1">
      <c r="A1572" s="136"/>
      <c r="B1572" s="96"/>
      <c r="C1572" s="86"/>
      <c r="D1572" s="211"/>
      <c r="E1572" s="171"/>
    </row>
    <row r="1573" hidden="1">
      <c r="A1573" s="136"/>
      <c r="B1573" s="96"/>
      <c r="C1573" s="86"/>
      <c r="D1573" s="209"/>
      <c r="E1573" s="215"/>
    </row>
    <row r="1574" hidden="1">
      <c r="A1574" s="136"/>
      <c r="B1574" s="96"/>
      <c r="C1574" s="86"/>
      <c r="D1574" s="211"/>
      <c r="E1574" s="171"/>
    </row>
    <row r="1575" hidden="1">
      <c r="A1575" s="136"/>
      <c r="B1575" s="96"/>
      <c r="C1575" s="86"/>
      <c r="D1575" s="209"/>
      <c r="E1575" s="215"/>
    </row>
    <row r="1576" hidden="1">
      <c r="A1576" s="136"/>
      <c r="B1576" s="96"/>
      <c r="C1576" s="86"/>
      <c r="D1576" s="211"/>
      <c r="E1576" s="171"/>
    </row>
    <row r="1577" hidden="1">
      <c r="A1577" s="136"/>
      <c r="B1577" s="96"/>
      <c r="C1577" s="86"/>
      <c r="D1577" s="209"/>
      <c r="E1577" s="215"/>
    </row>
    <row r="1578" hidden="1">
      <c r="A1578" s="136"/>
      <c r="B1578" s="96"/>
      <c r="C1578" s="86"/>
      <c r="D1578" s="211"/>
      <c r="E1578" s="171"/>
    </row>
    <row r="1579" hidden="1">
      <c r="A1579" s="136"/>
      <c r="B1579" s="96"/>
      <c r="C1579" s="86"/>
      <c r="D1579" s="209"/>
      <c r="E1579" s="215"/>
    </row>
    <row r="1580" hidden="1">
      <c r="A1580" s="136"/>
      <c r="B1580" s="96"/>
      <c r="C1580" s="86"/>
      <c r="D1580" s="211"/>
      <c r="E1580" s="171"/>
    </row>
    <row r="1581" hidden="1">
      <c r="A1581" s="136"/>
      <c r="B1581" s="96"/>
      <c r="C1581" s="86"/>
      <c r="D1581" s="209"/>
      <c r="E1581" s="215"/>
    </row>
    <row r="1582" hidden="1">
      <c r="A1582" s="136"/>
      <c r="B1582" s="96"/>
      <c r="C1582" s="86"/>
      <c r="D1582" s="211"/>
      <c r="E1582" s="171"/>
    </row>
    <row r="1583" hidden="1">
      <c r="A1583" s="136"/>
      <c r="B1583" s="96"/>
      <c r="C1583" s="86"/>
      <c r="D1583" s="209"/>
      <c r="E1583" s="215"/>
    </row>
    <row r="1584" hidden="1">
      <c r="A1584" s="136"/>
      <c r="B1584" s="96"/>
      <c r="C1584" s="86"/>
      <c r="D1584" s="211"/>
      <c r="E1584" s="171"/>
    </row>
    <row r="1585" hidden="1">
      <c r="A1585" s="136"/>
      <c r="B1585" s="96"/>
      <c r="C1585" s="86"/>
      <c r="D1585" s="209"/>
      <c r="E1585" s="215"/>
    </row>
    <row r="1586" hidden="1">
      <c r="A1586" s="136"/>
      <c r="B1586" s="96"/>
      <c r="C1586" s="86"/>
      <c r="D1586" s="211"/>
      <c r="E1586" s="171"/>
    </row>
    <row r="1587" hidden="1">
      <c r="A1587" s="136"/>
      <c r="B1587" s="96"/>
      <c r="C1587" s="86"/>
      <c r="D1587" s="209"/>
      <c r="E1587" s="215"/>
    </row>
    <row r="1588" hidden="1">
      <c r="A1588" s="136"/>
      <c r="B1588" s="96"/>
      <c r="C1588" s="86"/>
      <c r="D1588" s="211"/>
      <c r="E1588" s="171"/>
    </row>
    <row r="1589" hidden="1">
      <c r="A1589" s="136"/>
      <c r="B1589" s="96"/>
      <c r="C1589" s="86"/>
      <c r="D1589" s="209"/>
      <c r="E1589" s="215"/>
    </row>
    <row r="1590" hidden="1">
      <c r="A1590" s="136"/>
      <c r="B1590" s="96"/>
      <c r="C1590" s="86"/>
      <c r="D1590" s="211"/>
      <c r="E1590" s="171"/>
    </row>
    <row r="1591" hidden="1">
      <c r="A1591" s="136"/>
      <c r="B1591" s="96"/>
      <c r="C1591" s="86"/>
      <c r="D1591" s="209"/>
      <c r="E1591" s="215"/>
    </row>
    <row r="1592" hidden="1">
      <c r="A1592" s="136"/>
      <c r="B1592" s="96"/>
      <c r="C1592" s="86"/>
      <c r="D1592" s="211"/>
      <c r="E1592" s="171"/>
    </row>
    <row r="1593" hidden="1">
      <c r="A1593" s="136"/>
      <c r="B1593" s="96"/>
      <c r="C1593" s="86"/>
      <c r="D1593" s="209"/>
      <c r="E1593" s="215"/>
    </row>
    <row r="1594" hidden="1">
      <c r="A1594" s="136"/>
      <c r="B1594" s="96"/>
      <c r="C1594" s="86"/>
      <c r="D1594" s="211"/>
      <c r="E1594" s="171"/>
    </row>
    <row r="1595" hidden="1">
      <c r="A1595" s="136"/>
      <c r="B1595" s="96"/>
      <c r="C1595" s="86"/>
      <c r="D1595" s="209"/>
      <c r="E1595" s="215"/>
    </row>
    <row r="1596" hidden="1">
      <c r="A1596" s="136"/>
      <c r="B1596" s="96"/>
      <c r="C1596" s="86"/>
      <c r="D1596" s="211"/>
      <c r="E1596" s="171"/>
    </row>
    <row r="1597" hidden="1">
      <c r="A1597" s="136"/>
      <c r="B1597" s="96"/>
      <c r="C1597" s="86"/>
      <c r="D1597" s="209"/>
      <c r="E1597" s="215"/>
    </row>
    <row r="1598" hidden="1">
      <c r="A1598" s="136"/>
      <c r="B1598" s="96"/>
      <c r="C1598" s="86"/>
      <c r="D1598" s="211"/>
      <c r="E1598" s="171"/>
    </row>
    <row r="1599" hidden="1">
      <c r="A1599" s="136"/>
      <c r="B1599" s="96"/>
      <c r="C1599" s="86"/>
      <c r="D1599" s="209"/>
      <c r="E1599" s="215"/>
    </row>
    <row r="1600" hidden="1">
      <c r="A1600" s="136"/>
      <c r="B1600" s="96"/>
      <c r="C1600" s="86"/>
      <c r="D1600" s="211"/>
      <c r="E1600" s="171"/>
    </row>
    <row r="1601" hidden="1">
      <c r="A1601" s="136"/>
      <c r="B1601" s="96"/>
      <c r="C1601" s="86"/>
      <c r="D1601" s="209"/>
      <c r="E1601" s="215"/>
    </row>
    <row r="1602" hidden="1">
      <c r="A1602" s="136"/>
      <c r="B1602" s="96"/>
      <c r="C1602" s="86"/>
      <c r="D1602" s="211"/>
      <c r="E1602" s="171"/>
    </row>
    <row r="1603" hidden="1">
      <c r="A1603" s="136"/>
      <c r="B1603" s="96"/>
      <c r="C1603" s="86"/>
      <c r="D1603" s="209"/>
      <c r="E1603" s="215"/>
    </row>
    <row r="1604" hidden="1">
      <c r="A1604" s="136"/>
      <c r="B1604" s="96"/>
      <c r="C1604" s="86"/>
      <c r="D1604" s="211"/>
      <c r="E1604" s="171"/>
    </row>
    <row r="1605" hidden="1">
      <c r="A1605" s="136"/>
      <c r="B1605" s="96"/>
      <c r="C1605" s="86"/>
      <c r="D1605" s="209"/>
      <c r="E1605" s="215"/>
    </row>
    <row r="1606" hidden="1">
      <c r="A1606" s="136"/>
      <c r="B1606" s="96"/>
      <c r="C1606" s="86"/>
      <c r="D1606" s="211"/>
      <c r="E1606" s="171"/>
    </row>
    <row r="1607" hidden="1">
      <c r="A1607" s="136"/>
      <c r="B1607" s="96"/>
      <c r="C1607" s="86"/>
      <c r="D1607" s="209"/>
      <c r="E1607" s="215"/>
    </row>
    <row r="1608" hidden="1">
      <c r="A1608" s="136"/>
      <c r="B1608" s="96"/>
      <c r="C1608" s="86"/>
      <c r="D1608" s="211"/>
      <c r="E1608" s="171"/>
    </row>
    <row r="1609" hidden="1">
      <c r="A1609" s="136"/>
      <c r="B1609" s="96"/>
      <c r="C1609" s="86"/>
      <c r="D1609" s="209"/>
      <c r="E1609" s="215"/>
    </row>
    <row r="1610" hidden="1">
      <c r="A1610" s="136"/>
      <c r="B1610" s="96"/>
      <c r="C1610" s="86"/>
      <c r="D1610" s="211"/>
      <c r="E1610" s="171"/>
    </row>
    <row r="1611" hidden="1">
      <c r="A1611" s="136"/>
      <c r="B1611" s="96"/>
      <c r="C1611" s="86"/>
      <c r="D1611" s="209"/>
      <c r="E1611" s="215"/>
    </row>
    <row r="1612" hidden="1">
      <c r="A1612" s="136"/>
      <c r="B1612" s="96"/>
      <c r="C1612" s="86"/>
      <c r="D1612" s="211"/>
      <c r="E1612" s="171"/>
    </row>
    <row r="1613" hidden="1">
      <c r="A1613" s="136"/>
      <c r="B1613" s="96"/>
      <c r="C1613" s="86"/>
      <c r="D1613" s="209"/>
      <c r="E1613" s="215"/>
    </row>
    <row r="1614" hidden="1">
      <c r="A1614" s="136"/>
      <c r="B1614" s="96"/>
      <c r="C1614" s="86"/>
      <c r="D1614" s="211"/>
      <c r="E1614" s="171"/>
    </row>
    <row r="1615" hidden="1">
      <c r="A1615" s="136"/>
      <c r="B1615" s="96"/>
      <c r="C1615" s="86"/>
      <c r="D1615" s="209"/>
      <c r="E1615" s="215"/>
    </row>
    <row r="1616" hidden="1">
      <c r="A1616" s="136"/>
      <c r="B1616" s="96"/>
      <c r="C1616" s="86"/>
      <c r="D1616" s="211"/>
      <c r="E1616" s="171"/>
    </row>
    <row r="1617" hidden="1">
      <c r="A1617" s="136"/>
      <c r="B1617" s="96"/>
      <c r="C1617" s="86"/>
      <c r="D1617" s="209"/>
      <c r="E1617" s="215"/>
    </row>
    <row r="1618" hidden="1">
      <c r="A1618" s="136"/>
      <c r="B1618" s="96"/>
      <c r="C1618" s="86"/>
      <c r="D1618" s="211"/>
      <c r="E1618" s="171"/>
    </row>
    <row r="1619" hidden="1">
      <c r="A1619" s="136"/>
      <c r="B1619" s="96"/>
      <c r="C1619" s="86"/>
      <c r="D1619" s="209"/>
      <c r="E1619" s="215"/>
    </row>
    <row r="1620" hidden="1">
      <c r="A1620" s="136"/>
      <c r="B1620" s="96"/>
      <c r="C1620" s="86"/>
      <c r="D1620" s="211"/>
      <c r="E1620" s="171"/>
    </row>
    <row r="1621" hidden="1">
      <c r="A1621" s="136"/>
      <c r="B1621" s="96"/>
      <c r="C1621" s="86"/>
      <c r="D1621" s="209"/>
      <c r="E1621" s="215"/>
    </row>
    <row r="1622" hidden="1">
      <c r="A1622" s="136"/>
      <c r="B1622" s="96"/>
      <c r="C1622" s="86"/>
      <c r="D1622" s="211"/>
      <c r="E1622" s="171"/>
    </row>
    <row r="1623" hidden="1">
      <c r="A1623" s="136"/>
      <c r="B1623" s="96"/>
      <c r="C1623" s="86"/>
      <c r="D1623" s="209"/>
      <c r="E1623" s="215"/>
    </row>
    <row r="1624" hidden="1">
      <c r="A1624" s="136"/>
      <c r="B1624" s="96"/>
      <c r="C1624" s="86"/>
      <c r="D1624" s="211"/>
      <c r="E1624" s="171"/>
    </row>
    <row r="1625" hidden="1">
      <c r="A1625" s="136"/>
      <c r="B1625" s="96"/>
      <c r="C1625" s="86"/>
      <c r="D1625" s="209"/>
      <c r="E1625" s="215"/>
    </row>
    <row r="1626" hidden="1">
      <c r="A1626" s="136"/>
      <c r="B1626" s="96"/>
      <c r="C1626" s="86"/>
      <c r="D1626" s="211"/>
      <c r="E1626" s="171"/>
    </row>
    <row r="1627" hidden="1">
      <c r="A1627" s="136"/>
      <c r="B1627" s="96"/>
      <c r="C1627" s="86"/>
      <c r="D1627" s="209"/>
      <c r="E1627" s="215"/>
    </row>
    <row r="1628" hidden="1">
      <c r="A1628" s="136"/>
      <c r="B1628" s="96"/>
      <c r="C1628" s="86"/>
      <c r="D1628" s="211"/>
      <c r="E1628" s="171"/>
    </row>
    <row r="1629" hidden="1">
      <c r="A1629" s="136"/>
      <c r="B1629" s="96"/>
      <c r="C1629" s="86"/>
      <c r="D1629" s="209"/>
      <c r="E1629" s="215"/>
    </row>
    <row r="1630" hidden="1">
      <c r="A1630" s="136"/>
      <c r="B1630" s="96"/>
      <c r="C1630" s="86"/>
      <c r="D1630" s="211"/>
      <c r="E1630" s="171"/>
    </row>
    <row r="1631" hidden="1">
      <c r="A1631" s="136"/>
      <c r="B1631" s="96"/>
      <c r="C1631" s="86"/>
      <c r="D1631" s="209"/>
      <c r="E1631" s="215"/>
    </row>
    <row r="1632" hidden="1">
      <c r="A1632" s="136"/>
      <c r="B1632" s="96"/>
      <c r="C1632" s="86"/>
      <c r="D1632" s="211"/>
      <c r="E1632" s="171"/>
    </row>
    <row r="1633" hidden="1">
      <c r="A1633" s="136"/>
      <c r="B1633" s="96"/>
      <c r="C1633" s="86"/>
      <c r="D1633" s="209"/>
      <c r="E1633" s="215"/>
    </row>
    <row r="1634" hidden="1">
      <c r="A1634" s="136"/>
      <c r="B1634" s="96"/>
      <c r="C1634" s="86"/>
      <c r="D1634" s="211"/>
      <c r="E1634" s="171"/>
    </row>
    <row r="1635" hidden="1">
      <c r="A1635" s="136"/>
      <c r="B1635" s="96"/>
      <c r="C1635" s="86"/>
      <c r="D1635" s="209"/>
      <c r="E1635" s="215"/>
    </row>
    <row r="1636" hidden="1">
      <c r="A1636" s="136"/>
      <c r="B1636" s="96"/>
      <c r="C1636" s="86"/>
      <c r="D1636" s="211"/>
      <c r="E1636" s="171"/>
    </row>
    <row r="1637" hidden="1">
      <c r="A1637" s="136"/>
      <c r="B1637" s="96"/>
      <c r="C1637" s="86"/>
      <c r="D1637" s="209"/>
      <c r="E1637" s="215"/>
    </row>
    <row r="1638" hidden="1">
      <c r="A1638" s="136"/>
      <c r="B1638" s="96"/>
      <c r="C1638" s="86"/>
      <c r="D1638" s="211"/>
      <c r="E1638" s="171"/>
    </row>
    <row r="1639" hidden="1">
      <c r="A1639" s="136"/>
      <c r="B1639" s="96"/>
      <c r="C1639" s="86"/>
      <c r="D1639" s="209"/>
      <c r="E1639" s="215"/>
    </row>
    <row r="1640" hidden="1">
      <c r="A1640" s="136"/>
      <c r="B1640" s="96"/>
      <c r="C1640" s="86"/>
      <c r="D1640" s="211"/>
      <c r="E1640" s="171"/>
    </row>
    <row r="1641" hidden="1">
      <c r="A1641" s="136"/>
      <c r="B1641" s="96"/>
      <c r="C1641" s="86"/>
      <c r="D1641" s="209"/>
      <c r="E1641" s="215"/>
    </row>
    <row r="1642" hidden="1">
      <c r="A1642" s="136"/>
      <c r="B1642" s="96"/>
      <c r="C1642" s="86"/>
      <c r="D1642" s="211"/>
      <c r="E1642" s="171"/>
    </row>
    <row r="1643" hidden="1">
      <c r="A1643" s="136"/>
      <c r="B1643" s="96"/>
      <c r="C1643" s="86"/>
      <c r="D1643" s="209"/>
      <c r="E1643" s="215"/>
    </row>
    <row r="1644" hidden="1">
      <c r="A1644" s="136"/>
      <c r="B1644" s="96"/>
      <c r="C1644" s="86"/>
      <c r="D1644" s="211"/>
      <c r="E1644" s="171"/>
    </row>
    <row r="1645" hidden="1">
      <c r="A1645" s="136"/>
      <c r="B1645" s="96"/>
      <c r="C1645" s="86"/>
      <c r="D1645" s="209"/>
      <c r="E1645" s="215"/>
    </row>
    <row r="1646" hidden="1">
      <c r="A1646" s="136"/>
      <c r="B1646" s="96"/>
      <c r="C1646" s="86"/>
      <c r="D1646" s="211"/>
      <c r="E1646" s="171"/>
    </row>
    <row r="1647" hidden="1">
      <c r="A1647" s="136"/>
      <c r="B1647" s="96"/>
      <c r="C1647" s="86"/>
      <c r="D1647" s="209"/>
      <c r="E1647" s="215"/>
    </row>
    <row r="1648" hidden="1">
      <c r="A1648" s="136"/>
      <c r="B1648" s="96"/>
      <c r="C1648" s="86"/>
      <c r="D1648" s="211"/>
      <c r="E1648" s="171"/>
    </row>
    <row r="1649" hidden="1">
      <c r="A1649" s="136"/>
      <c r="B1649" s="96"/>
      <c r="C1649" s="86"/>
      <c r="D1649" s="209"/>
      <c r="E1649" s="215"/>
    </row>
    <row r="1650" hidden="1">
      <c r="A1650" s="136"/>
      <c r="B1650" s="96"/>
      <c r="C1650" s="86"/>
      <c r="D1650" s="211"/>
      <c r="E1650" s="171"/>
    </row>
    <row r="1651" hidden="1">
      <c r="A1651" s="136"/>
      <c r="B1651" s="96"/>
      <c r="C1651" s="86"/>
      <c r="D1651" s="209"/>
      <c r="E1651" s="215"/>
    </row>
    <row r="1652" hidden="1">
      <c r="A1652" s="136"/>
      <c r="B1652" s="96"/>
      <c r="C1652" s="86"/>
      <c r="D1652" s="211"/>
      <c r="E1652" s="171"/>
    </row>
    <row r="1653" hidden="1">
      <c r="A1653" s="136"/>
      <c r="B1653" s="96"/>
      <c r="C1653" s="86"/>
      <c r="D1653" s="209"/>
      <c r="E1653" s="215"/>
    </row>
    <row r="1654" hidden="1">
      <c r="A1654" s="136"/>
      <c r="B1654" s="96"/>
      <c r="C1654" s="86"/>
      <c r="D1654" s="211"/>
      <c r="E1654" s="171"/>
    </row>
    <row r="1655" hidden="1">
      <c r="A1655" s="136"/>
      <c r="B1655" s="96"/>
      <c r="C1655" s="86"/>
      <c r="D1655" s="209"/>
      <c r="E1655" s="215"/>
    </row>
    <row r="1656" hidden="1">
      <c r="A1656" s="136"/>
      <c r="B1656" s="96"/>
      <c r="C1656" s="86"/>
      <c r="D1656" s="211"/>
      <c r="E1656" s="171"/>
    </row>
    <row r="1657" hidden="1">
      <c r="A1657" s="136"/>
      <c r="B1657" s="96"/>
      <c r="C1657" s="86"/>
      <c r="D1657" s="209"/>
      <c r="E1657" s="215"/>
    </row>
    <row r="1658" hidden="1">
      <c r="A1658" s="136"/>
      <c r="B1658" s="96"/>
      <c r="C1658" s="86"/>
      <c r="D1658" s="211"/>
      <c r="E1658" s="171"/>
    </row>
    <row r="1659" hidden="1">
      <c r="A1659" s="136"/>
      <c r="B1659" s="96"/>
      <c r="C1659" s="86"/>
      <c r="D1659" s="209"/>
      <c r="E1659" s="215"/>
    </row>
    <row r="1660" hidden="1">
      <c r="A1660" s="136"/>
      <c r="B1660" s="96"/>
      <c r="C1660" s="86"/>
      <c r="D1660" s="211"/>
      <c r="E1660" s="171"/>
    </row>
    <row r="1661" hidden="1">
      <c r="A1661" s="136"/>
      <c r="B1661" s="96"/>
      <c r="C1661" s="86"/>
      <c r="D1661" s="209"/>
      <c r="E1661" s="215"/>
    </row>
    <row r="1662" hidden="1">
      <c r="A1662" s="136"/>
      <c r="B1662" s="96"/>
      <c r="C1662" s="86"/>
      <c r="D1662" s="211"/>
      <c r="E1662" s="171"/>
    </row>
    <row r="1663" hidden="1">
      <c r="A1663" s="136"/>
      <c r="B1663" s="96"/>
      <c r="C1663" s="86"/>
      <c r="D1663" s="209"/>
      <c r="E1663" s="215"/>
    </row>
    <row r="1664" hidden="1">
      <c r="A1664" s="136"/>
      <c r="B1664" s="96"/>
      <c r="C1664" s="86"/>
      <c r="D1664" s="211"/>
      <c r="E1664" s="171"/>
    </row>
    <row r="1665" hidden="1">
      <c r="A1665" s="136"/>
      <c r="B1665" s="96"/>
      <c r="C1665" s="86"/>
      <c r="D1665" s="209"/>
      <c r="E1665" s="215"/>
    </row>
    <row r="1666" hidden="1">
      <c r="A1666" s="136"/>
      <c r="B1666" s="96"/>
      <c r="C1666" s="86"/>
      <c r="D1666" s="211"/>
      <c r="E1666" s="171"/>
    </row>
    <row r="1667" hidden="1">
      <c r="A1667" s="136"/>
      <c r="B1667" s="96"/>
      <c r="C1667" s="86"/>
      <c r="D1667" s="209"/>
      <c r="E1667" s="215"/>
    </row>
    <row r="1668" hidden="1">
      <c r="A1668" s="136"/>
      <c r="B1668" s="96"/>
      <c r="C1668" s="86"/>
      <c r="D1668" s="211"/>
      <c r="E1668" s="171"/>
    </row>
    <row r="1669" hidden="1">
      <c r="A1669" s="136"/>
      <c r="B1669" s="96"/>
      <c r="C1669" s="86"/>
      <c r="D1669" s="209"/>
      <c r="E1669" s="215"/>
    </row>
    <row r="1670" hidden="1">
      <c r="A1670" s="136"/>
      <c r="B1670" s="96"/>
      <c r="C1670" s="86"/>
      <c r="D1670" s="211"/>
      <c r="E1670" s="171"/>
    </row>
    <row r="1671" hidden="1">
      <c r="A1671" s="136"/>
      <c r="B1671" s="96"/>
      <c r="C1671" s="86"/>
      <c r="D1671" s="209"/>
      <c r="E1671" s="215"/>
    </row>
    <row r="1672" hidden="1">
      <c r="A1672" s="136"/>
      <c r="B1672" s="96"/>
      <c r="C1672" s="86"/>
      <c r="D1672" s="211"/>
      <c r="E1672" s="171"/>
    </row>
    <row r="1673" hidden="1">
      <c r="A1673" s="136"/>
      <c r="B1673" s="96"/>
      <c r="C1673" s="86"/>
      <c r="D1673" s="209"/>
      <c r="E1673" s="215"/>
    </row>
    <row r="1674" hidden="1">
      <c r="A1674" s="136"/>
      <c r="B1674" s="96"/>
      <c r="C1674" s="86"/>
      <c r="D1674" s="211"/>
      <c r="E1674" s="171"/>
    </row>
    <row r="1675" hidden="1">
      <c r="A1675" s="136"/>
      <c r="B1675" s="96"/>
      <c r="C1675" s="86"/>
      <c r="D1675" s="209"/>
      <c r="E1675" s="215"/>
    </row>
    <row r="1676" hidden="1">
      <c r="A1676" s="136"/>
      <c r="B1676" s="96"/>
      <c r="C1676" s="86"/>
      <c r="D1676" s="211"/>
      <c r="E1676" s="171"/>
    </row>
    <row r="1677" hidden="1">
      <c r="A1677" s="136"/>
      <c r="B1677" s="96"/>
      <c r="C1677" s="86"/>
      <c r="D1677" s="209"/>
      <c r="E1677" s="215"/>
    </row>
    <row r="1678" hidden="1">
      <c r="A1678" s="136"/>
      <c r="B1678" s="96"/>
      <c r="C1678" s="86"/>
      <c r="D1678" s="211"/>
      <c r="E1678" s="171"/>
    </row>
    <row r="1679" hidden="1">
      <c r="A1679" s="136"/>
      <c r="B1679" s="96"/>
      <c r="C1679" s="86"/>
      <c r="D1679" s="209"/>
      <c r="E1679" s="215"/>
    </row>
    <row r="1680" hidden="1">
      <c r="A1680" s="136"/>
      <c r="B1680" s="96"/>
      <c r="C1680" s="86"/>
      <c r="D1680" s="211"/>
      <c r="E1680" s="171"/>
    </row>
    <row r="1681" hidden="1">
      <c r="A1681" s="136"/>
      <c r="B1681" s="96"/>
      <c r="C1681" s="86"/>
      <c r="D1681" s="209"/>
      <c r="E1681" s="215"/>
    </row>
    <row r="1682" hidden="1">
      <c r="A1682" s="136"/>
      <c r="B1682" s="96"/>
      <c r="C1682" s="86"/>
      <c r="D1682" s="211"/>
      <c r="E1682" s="171"/>
    </row>
    <row r="1683" hidden="1">
      <c r="A1683" s="136"/>
      <c r="B1683" s="96"/>
      <c r="C1683" s="86"/>
      <c r="D1683" s="209"/>
      <c r="E1683" s="215"/>
    </row>
    <row r="1684" hidden="1">
      <c r="A1684" s="136"/>
      <c r="B1684" s="96"/>
      <c r="C1684" s="86"/>
      <c r="D1684" s="211"/>
      <c r="E1684" s="171"/>
    </row>
    <row r="1685" hidden="1">
      <c r="A1685" s="136"/>
      <c r="B1685" s="96"/>
      <c r="C1685" s="86"/>
      <c r="D1685" s="209"/>
      <c r="E1685" s="215"/>
    </row>
    <row r="1686" hidden="1">
      <c r="A1686" s="136"/>
      <c r="B1686" s="96"/>
      <c r="C1686" s="86"/>
      <c r="D1686" s="211"/>
      <c r="E1686" s="171"/>
    </row>
    <row r="1687" hidden="1">
      <c r="A1687" s="136"/>
      <c r="B1687" s="96"/>
      <c r="C1687" s="86"/>
      <c r="D1687" s="209"/>
      <c r="E1687" s="215"/>
    </row>
    <row r="1688" hidden="1">
      <c r="A1688" s="136"/>
      <c r="B1688" s="96"/>
      <c r="C1688" s="86"/>
      <c r="D1688" s="211"/>
      <c r="E1688" s="171"/>
    </row>
    <row r="1689" hidden="1">
      <c r="A1689" s="136"/>
      <c r="B1689" s="96"/>
      <c r="C1689" s="86"/>
      <c r="D1689" s="209"/>
      <c r="E1689" s="215"/>
    </row>
    <row r="1690" hidden="1">
      <c r="A1690" s="136"/>
      <c r="B1690" s="96"/>
      <c r="C1690" s="86"/>
      <c r="D1690" s="211"/>
      <c r="E1690" s="171"/>
    </row>
    <row r="1691" hidden="1">
      <c r="A1691" s="136"/>
      <c r="B1691" s="96"/>
      <c r="C1691" s="86"/>
      <c r="D1691" s="209"/>
      <c r="E1691" s="215"/>
    </row>
    <row r="1692" hidden="1">
      <c r="A1692" s="136"/>
      <c r="B1692" s="96"/>
      <c r="C1692" s="86"/>
      <c r="D1692" s="211"/>
      <c r="E1692" s="171"/>
    </row>
    <row r="1693" hidden="1">
      <c r="A1693" s="136"/>
      <c r="B1693" s="96"/>
      <c r="C1693" s="86"/>
      <c r="D1693" s="209"/>
      <c r="E1693" s="215"/>
    </row>
    <row r="1694" hidden="1">
      <c r="A1694" s="136"/>
      <c r="B1694" s="96"/>
      <c r="C1694" s="86"/>
      <c r="D1694" s="211"/>
      <c r="E1694" s="171"/>
    </row>
    <row r="1695" hidden="1">
      <c r="A1695" s="136"/>
      <c r="B1695" s="96"/>
      <c r="C1695" s="86"/>
      <c r="D1695" s="209"/>
      <c r="E1695" s="215"/>
    </row>
    <row r="1696" hidden="1">
      <c r="A1696" s="136"/>
      <c r="B1696" s="96"/>
      <c r="C1696" s="86"/>
      <c r="D1696" s="211"/>
      <c r="E1696" s="171"/>
    </row>
    <row r="1697" hidden="1">
      <c r="A1697" s="136"/>
      <c r="B1697" s="96"/>
      <c r="C1697" s="86"/>
      <c r="D1697" s="209"/>
      <c r="E1697" s="215"/>
    </row>
    <row r="1698" hidden="1">
      <c r="A1698" s="136"/>
      <c r="B1698" s="96"/>
      <c r="C1698" s="86"/>
      <c r="D1698" s="211"/>
      <c r="E1698" s="171"/>
    </row>
    <row r="1699" hidden="1">
      <c r="A1699" s="136"/>
      <c r="B1699" s="96"/>
      <c r="C1699" s="86"/>
      <c r="D1699" s="209"/>
      <c r="E1699" s="215"/>
    </row>
    <row r="1700" hidden="1">
      <c r="A1700" s="136"/>
      <c r="B1700" s="96"/>
      <c r="C1700" s="86"/>
      <c r="D1700" s="211"/>
      <c r="E1700" s="171"/>
    </row>
    <row r="1701" hidden="1">
      <c r="A1701" s="136"/>
      <c r="B1701" s="96"/>
      <c r="C1701" s="86"/>
      <c r="D1701" s="209"/>
      <c r="E1701" s="215"/>
    </row>
    <row r="1702" hidden="1">
      <c r="A1702" s="136"/>
      <c r="B1702" s="96"/>
      <c r="C1702" s="86"/>
      <c r="D1702" s="211"/>
      <c r="E1702" s="171"/>
    </row>
    <row r="1703" hidden="1">
      <c r="A1703" s="136"/>
      <c r="B1703" s="96"/>
      <c r="C1703" s="86"/>
      <c r="D1703" s="209"/>
      <c r="E1703" s="215"/>
    </row>
    <row r="1704" hidden="1">
      <c r="A1704" s="136"/>
      <c r="B1704" s="96"/>
      <c r="C1704" s="86"/>
      <c r="D1704" s="211"/>
      <c r="E1704" s="171"/>
    </row>
    <row r="1705" hidden="1">
      <c r="A1705" s="136"/>
      <c r="B1705" s="96"/>
      <c r="C1705" s="86"/>
      <c r="D1705" s="209"/>
      <c r="E1705" s="215"/>
    </row>
    <row r="1706" hidden="1">
      <c r="A1706" s="136"/>
      <c r="B1706" s="96"/>
      <c r="C1706" s="86"/>
      <c r="D1706" s="211"/>
      <c r="E1706" s="171"/>
    </row>
    <row r="1707" hidden="1">
      <c r="A1707" s="136"/>
      <c r="B1707" s="96"/>
      <c r="C1707" s="86"/>
      <c r="D1707" s="209"/>
      <c r="E1707" s="215"/>
    </row>
    <row r="1708" hidden="1">
      <c r="A1708" s="136"/>
      <c r="B1708" s="96"/>
      <c r="C1708" s="86"/>
      <c r="D1708" s="211"/>
      <c r="E1708" s="171"/>
    </row>
    <row r="1709" hidden="1">
      <c r="A1709" s="136"/>
      <c r="B1709" s="96"/>
      <c r="C1709" s="86"/>
      <c r="D1709" s="209"/>
      <c r="E1709" s="215"/>
    </row>
    <row r="1710" hidden="1">
      <c r="A1710" s="136"/>
      <c r="B1710" s="96"/>
      <c r="C1710" s="86"/>
      <c r="D1710" s="211"/>
      <c r="E1710" s="171"/>
    </row>
    <row r="1711" hidden="1">
      <c r="A1711" s="136"/>
      <c r="B1711" s="96"/>
      <c r="C1711" s="86"/>
      <c r="D1711" s="209"/>
      <c r="E1711" s="215"/>
    </row>
    <row r="1712" hidden="1">
      <c r="A1712" s="136"/>
      <c r="B1712" s="96"/>
      <c r="C1712" s="86"/>
      <c r="D1712" s="211"/>
      <c r="E1712" s="171"/>
    </row>
    <row r="1713" hidden="1">
      <c r="A1713" s="136"/>
      <c r="B1713" s="96"/>
      <c r="C1713" s="86"/>
      <c r="D1713" s="209"/>
      <c r="E1713" s="215"/>
    </row>
    <row r="1714" hidden="1">
      <c r="A1714" s="136"/>
      <c r="B1714" s="96"/>
      <c r="C1714" s="86"/>
      <c r="D1714" s="211"/>
      <c r="E1714" s="171"/>
    </row>
    <row r="1715" hidden="1">
      <c r="A1715" s="136"/>
      <c r="B1715" s="96"/>
      <c r="C1715" s="86"/>
      <c r="D1715" s="209"/>
      <c r="E1715" s="215"/>
    </row>
    <row r="1716" hidden="1">
      <c r="A1716" s="136"/>
      <c r="B1716" s="96"/>
      <c r="C1716" s="86"/>
      <c r="D1716" s="211"/>
      <c r="E1716" s="171"/>
    </row>
    <row r="1717" hidden="1">
      <c r="A1717" s="136"/>
      <c r="B1717" s="96"/>
      <c r="C1717" s="86"/>
      <c r="D1717" s="209"/>
      <c r="E1717" s="215"/>
    </row>
    <row r="1718" hidden="1">
      <c r="A1718" s="136"/>
      <c r="B1718" s="96"/>
      <c r="C1718" s="86"/>
      <c r="D1718" s="211"/>
      <c r="E1718" s="171"/>
    </row>
    <row r="1719" hidden="1">
      <c r="A1719" s="136"/>
      <c r="B1719" s="96"/>
      <c r="C1719" s="86"/>
      <c r="D1719" s="209"/>
      <c r="E1719" s="215"/>
    </row>
    <row r="1720" hidden="1">
      <c r="A1720" s="136"/>
      <c r="B1720" s="96"/>
      <c r="C1720" s="86"/>
      <c r="D1720" s="211"/>
      <c r="E1720" s="171"/>
    </row>
    <row r="1721" hidden="1">
      <c r="A1721" s="136"/>
      <c r="B1721" s="96"/>
      <c r="C1721" s="86"/>
      <c r="D1721" s="209"/>
      <c r="E1721" s="215"/>
    </row>
    <row r="1722" hidden="1">
      <c r="A1722" s="136"/>
      <c r="B1722" s="96"/>
      <c r="C1722" s="86"/>
      <c r="D1722" s="211"/>
      <c r="E1722" s="171"/>
    </row>
    <row r="1723" hidden="1">
      <c r="A1723" s="136"/>
      <c r="B1723" s="96"/>
      <c r="C1723" s="86"/>
      <c r="D1723" s="209"/>
      <c r="E1723" s="215"/>
    </row>
    <row r="1724" hidden="1">
      <c r="A1724" s="136"/>
      <c r="B1724" s="96"/>
      <c r="C1724" s="86"/>
      <c r="D1724" s="211"/>
      <c r="E1724" s="171"/>
    </row>
    <row r="1725" hidden="1">
      <c r="A1725" s="136"/>
      <c r="B1725" s="96"/>
      <c r="C1725" s="86"/>
      <c r="D1725" s="209"/>
      <c r="E1725" s="215"/>
    </row>
    <row r="1726" hidden="1">
      <c r="A1726" s="136"/>
      <c r="B1726" s="96"/>
      <c r="C1726" s="86"/>
      <c r="D1726" s="211"/>
      <c r="E1726" s="171"/>
    </row>
    <row r="1727" hidden="1">
      <c r="A1727" s="136"/>
      <c r="B1727" s="96"/>
      <c r="C1727" s="86"/>
      <c r="D1727" s="209"/>
      <c r="E1727" s="215"/>
    </row>
    <row r="1728" hidden="1">
      <c r="A1728" s="136"/>
      <c r="B1728" s="96"/>
      <c r="C1728" s="86"/>
      <c r="D1728" s="211"/>
      <c r="E1728" s="171"/>
    </row>
    <row r="1729" hidden="1">
      <c r="A1729" s="136"/>
      <c r="B1729" s="96"/>
      <c r="C1729" s="86"/>
      <c r="D1729" s="209"/>
      <c r="E1729" s="215"/>
    </row>
    <row r="1730" hidden="1">
      <c r="A1730" s="136"/>
      <c r="B1730" s="96"/>
      <c r="C1730" s="86"/>
      <c r="D1730" s="211"/>
      <c r="E1730" s="171"/>
    </row>
    <row r="1731" hidden="1">
      <c r="A1731" s="136"/>
      <c r="B1731" s="96"/>
      <c r="C1731" s="86"/>
      <c r="D1731" s="209"/>
      <c r="E1731" s="215"/>
    </row>
    <row r="1732" hidden="1">
      <c r="A1732" s="136"/>
      <c r="B1732" s="96"/>
      <c r="C1732" s="86"/>
      <c r="D1732" s="211"/>
      <c r="E1732" s="171"/>
    </row>
    <row r="1733" hidden="1">
      <c r="A1733" s="136"/>
      <c r="B1733" s="96"/>
      <c r="C1733" s="86"/>
      <c r="D1733" s="209"/>
      <c r="E1733" s="215"/>
    </row>
    <row r="1734" hidden="1">
      <c r="A1734" s="136"/>
      <c r="B1734" s="96"/>
      <c r="C1734" s="86"/>
      <c r="D1734" s="211"/>
      <c r="E1734" s="171"/>
    </row>
    <row r="1735" hidden="1">
      <c r="A1735" s="136"/>
      <c r="B1735" s="96"/>
      <c r="C1735" s="86"/>
      <c r="D1735" s="209"/>
      <c r="E1735" s="215"/>
    </row>
    <row r="1736" hidden="1">
      <c r="A1736" s="136"/>
      <c r="B1736" s="96"/>
      <c r="C1736" s="86"/>
      <c r="D1736" s="211"/>
      <c r="E1736" s="171"/>
    </row>
    <row r="1737" hidden="1">
      <c r="A1737" s="136"/>
      <c r="B1737" s="96"/>
      <c r="C1737" s="86"/>
      <c r="D1737" s="209"/>
      <c r="E1737" s="215"/>
    </row>
    <row r="1738" hidden="1">
      <c r="A1738" s="136"/>
      <c r="B1738" s="96"/>
      <c r="C1738" s="86"/>
      <c r="D1738" s="211"/>
      <c r="E1738" s="171"/>
    </row>
    <row r="1739" hidden="1">
      <c r="A1739" s="136"/>
      <c r="B1739" s="96"/>
      <c r="C1739" s="86"/>
      <c r="D1739" s="209"/>
      <c r="E1739" s="215"/>
    </row>
    <row r="1740" hidden="1">
      <c r="A1740" s="136"/>
      <c r="B1740" s="96"/>
      <c r="C1740" s="86"/>
      <c r="D1740" s="211"/>
      <c r="E1740" s="171"/>
    </row>
    <row r="1741" hidden="1">
      <c r="A1741" s="136"/>
      <c r="B1741" s="96"/>
      <c r="C1741" s="86"/>
      <c r="D1741" s="209"/>
      <c r="E1741" s="215"/>
    </row>
    <row r="1742" hidden="1">
      <c r="A1742" s="136"/>
      <c r="B1742" s="96"/>
      <c r="C1742" s="86"/>
      <c r="D1742" s="211"/>
      <c r="E1742" s="171"/>
    </row>
    <row r="1743" hidden="1">
      <c r="A1743" s="136"/>
      <c r="B1743" s="96"/>
      <c r="C1743" s="86"/>
      <c r="D1743" s="209"/>
      <c r="E1743" s="215"/>
    </row>
    <row r="1744" hidden="1">
      <c r="A1744" s="136"/>
      <c r="B1744" s="96"/>
      <c r="C1744" s="86"/>
      <c r="D1744" s="211"/>
      <c r="E1744" s="171"/>
    </row>
    <row r="1745" hidden="1">
      <c r="A1745" s="136"/>
      <c r="B1745" s="96"/>
      <c r="C1745" s="86"/>
      <c r="D1745" s="209"/>
      <c r="E1745" s="215"/>
    </row>
    <row r="1746" hidden="1">
      <c r="A1746" s="136"/>
      <c r="B1746" s="96"/>
      <c r="C1746" s="86"/>
      <c r="D1746" s="211"/>
      <c r="E1746" s="171"/>
    </row>
    <row r="1747" hidden="1">
      <c r="A1747" s="136"/>
      <c r="B1747" s="96"/>
      <c r="C1747" s="86"/>
      <c r="D1747" s="209"/>
      <c r="E1747" s="215"/>
    </row>
    <row r="1748" hidden="1">
      <c r="A1748" s="136"/>
      <c r="B1748" s="96"/>
      <c r="C1748" s="86"/>
      <c r="D1748" s="211"/>
      <c r="E1748" s="171"/>
    </row>
    <row r="1749" hidden="1">
      <c r="A1749" s="136"/>
      <c r="B1749" s="96"/>
      <c r="C1749" s="86"/>
      <c r="D1749" s="209"/>
      <c r="E1749" s="215"/>
    </row>
    <row r="1750" hidden="1">
      <c r="A1750" s="136"/>
      <c r="B1750" s="96"/>
      <c r="C1750" s="86"/>
      <c r="D1750" s="211"/>
      <c r="E1750" s="171"/>
    </row>
    <row r="1751" hidden="1">
      <c r="A1751" s="136"/>
      <c r="B1751" s="96"/>
      <c r="C1751" s="86"/>
      <c r="D1751" s="209"/>
      <c r="E1751" s="215"/>
    </row>
    <row r="1752" hidden="1">
      <c r="A1752" s="136"/>
      <c r="B1752" s="96"/>
      <c r="C1752" s="86"/>
      <c r="D1752" s="211"/>
      <c r="E1752" s="171"/>
    </row>
    <row r="1753" hidden="1">
      <c r="A1753" s="136"/>
      <c r="B1753" s="96"/>
      <c r="C1753" s="86"/>
      <c r="D1753" s="209"/>
      <c r="E1753" s="215"/>
    </row>
    <row r="1754" hidden="1">
      <c r="A1754" s="136"/>
      <c r="B1754" s="96"/>
      <c r="C1754" s="86"/>
      <c r="D1754" s="211"/>
      <c r="E1754" s="171"/>
    </row>
    <row r="1755" hidden="1">
      <c r="A1755" s="136"/>
      <c r="B1755" s="96"/>
      <c r="C1755" s="86"/>
      <c r="D1755" s="209"/>
      <c r="E1755" s="215"/>
    </row>
    <row r="1756" hidden="1">
      <c r="A1756" s="136"/>
      <c r="B1756" s="96"/>
      <c r="C1756" s="86"/>
      <c r="D1756" s="211"/>
      <c r="E1756" s="171"/>
    </row>
    <row r="1757" hidden="1">
      <c r="A1757" s="136"/>
      <c r="B1757" s="96"/>
      <c r="C1757" s="86"/>
      <c r="D1757" s="209"/>
      <c r="E1757" s="215"/>
    </row>
    <row r="1758" hidden="1">
      <c r="A1758" s="136"/>
      <c r="B1758" s="96"/>
      <c r="C1758" s="86"/>
      <c r="D1758" s="211"/>
      <c r="E1758" s="171"/>
    </row>
    <row r="1759" hidden="1">
      <c r="A1759" s="136"/>
      <c r="B1759" s="96"/>
      <c r="C1759" s="86"/>
      <c r="D1759" s="209"/>
      <c r="E1759" s="215"/>
    </row>
    <row r="1760" hidden="1">
      <c r="A1760" s="136"/>
      <c r="B1760" s="96"/>
      <c r="C1760" s="86"/>
      <c r="D1760" s="211"/>
      <c r="E1760" s="171"/>
    </row>
    <row r="1761" hidden="1">
      <c r="A1761" s="136"/>
      <c r="B1761" s="96"/>
      <c r="C1761" s="86"/>
      <c r="D1761" s="209"/>
      <c r="E1761" s="215"/>
    </row>
    <row r="1762" hidden="1">
      <c r="A1762" s="136"/>
      <c r="B1762" s="96"/>
      <c r="C1762" s="86"/>
      <c r="D1762" s="211"/>
      <c r="E1762" s="171"/>
    </row>
    <row r="1763" hidden="1">
      <c r="A1763" s="136"/>
      <c r="B1763" s="96"/>
      <c r="C1763" s="86"/>
      <c r="D1763" s="209"/>
      <c r="E1763" s="215"/>
    </row>
    <row r="1764" hidden="1">
      <c r="A1764" s="136"/>
      <c r="B1764" s="96"/>
      <c r="C1764" s="86"/>
      <c r="D1764" s="211"/>
      <c r="E1764" s="171"/>
    </row>
    <row r="1765" hidden="1">
      <c r="A1765" s="136"/>
      <c r="B1765" s="96"/>
      <c r="C1765" s="86"/>
      <c r="D1765" s="209"/>
      <c r="E1765" s="215"/>
    </row>
    <row r="1766" hidden="1">
      <c r="A1766" s="136"/>
      <c r="B1766" s="96"/>
      <c r="C1766" s="86"/>
      <c r="D1766" s="211"/>
      <c r="E1766" s="171"/>
    </row>
    <row r="1767" hidden="1">
      <c r="A1767" s="136"/>
      <c r="B1767" s="96"/>
      <c r="C1767" s="86"/>
      <c r="D1767" s="209"/>
      <c r="E1767" s="215"/>
    </row>
    <row r="1768" hidden="1">
      <c r="A1768" s="136"/>
      <c r="B1768" s="96"/>
      <c r="C1768" s="86"/>
      <c r="D1768" s="211"/>
      <c r="E1768" s="171"/>
    </row>
    <row r="1769" hidden="1">
      <c r="A1769" s="136"/>
      <c r="B1769" s="96"/>
      <c r="C1769" s="86"/>
      <c r="D1769" s="209"/>
      <c r="E1769" s="215"/>
    </row>
    <row r="1770" hidden="1">
      <c r="A1770" s="136"/>
      <c r="B1770" s="96"/>
      <c r="C1770" s="86"/>
      <c r="D1770" s="211"/>
      <c r="E1770" s="171"/>
    </row>
    <row r="1771" hidden="1">
      <c r="A1771" s="136"/>
      <c r="B1771" s="96"/>
      <c r="C1771" s="86"/>
      <c r="D1771" s="209"/>
      <c r="E1771" s="215"/>
    </row>
    <row r="1772" hidden="1">
      <c r="A1772" s="136"/>
      <c r="B1772" s="96"/>
      <c r="C1772" s="86"/>
      <c r="D1772" s="211"/>
      <c r="E1772" s="171"/>
    </row>
    <row r="1773" hidden="1">
      <c r="A1773" s="136"/>
      <c r="B1773" s="96"/>
      <c r="C1773" s="86"/>
      <c r="D1773" s="209"/>
      <c r="E1773" s="215"/>
    </row>
    <row r="1774" hidden="1">
      <c r="A1774" s="136"/>
      <c r="B1774" s="96"/>
      <c r="C1774" s="86"/>
      <c r="D1774" s="211"/>
      <c r="E1774" s="171"/>
    </row>
    <row r="1775" hidden="1">
      <c r="A1775" s="136"/>
      <c r="B1775" s="96"/>
      <c r="C1775" s="86"/>
      <c r="D1775" s="209"/>
      <c r="E1775" s="215"/>
    </row>
    <row r="1776" hidden="1">
      <c r="A1776" s="136"/>
      <c r="B1776" s="96"/>
      <c r="C1776" s="86"/>
      <c r="D1776" s="211"/>
      <c r="E1776" s="171"/>
    </row>
    <row r="1777" hidden="1">
      <c r="A1777" s="136"/>
      <c r="B1777" s="96"/>
      <c r="C1777" s="86"/>
      <c r="D1777" s="209"/>
      <c r="E1777" s="215"/>
    </row>
    <row r="1778" hidden="1">
      <c r="A1778" s="136"/>
      <c r="B1778" s="96"/>
      <c r="C1778" s="86"/>
      <c r="D1778" s="211"/>
      <c r="E1778" s="171"/>
    </row>
    <row r="1779" hidden="1">
      <c r="A1779" s="136"/>
      <c r="B1779" s="96"/>
      <c r="C1779" s="86"/>
      <c r="D1779" s="209"/>
      <c r="E1779" s="215"/>
    </row>
    <row r="1780" hidden="1">
      <c r="A1780" s="136"/>
      <c r="B1780" s="96"/>
      <c r="C1780" s="86"/>
      <c r="D1780" s="211"/>
      <c r="E1780" s="171"/>
    </row>
    <row r="1781" hidden="1">
      <c r="A1781" s="136"/>
      <c r="B1781" s="96"/>
      <c r="C1781" s="86"/>
      <c r="D1781" s="209"/>
      <c r="E1781" s="215"/>
    </row>
    <row r="1782" hidden="1">
      <c r="A1782" s="136"/>
      <c r="B1782" s="96"/>
      <c r="C1782" s="86"/>
      <c r="D1782" s="211"/>
      <c r="E1782" s="171"/>
    </row>
    <row r="1783" hidden="1">
      <c r="A1783" s="136"/>
      <c r="B1783" s="96"/>
      <c r="C1783" s="86"/>
      <c r="D1783" s="209"/>
      <c r="E1783" s="215"/>
    </row>
    <row r="1784" hidden="1">
      <c r="A1784" s="136"/>
      <c r="B1784" s="96"/>
      <c r="C1784" s="86"/>
      <c r="D1784" s="211"/>
      <c r="E1784" s="171"/>
    </row>
    <row r="1785" hidden="1">
      <c r="A1785" s="136"/>
      <c r="B1785" s="96"/>
      <c r="C1785" s="86"/>
      <c r="D1785" s="209"/>
      <c r="E1785" s="215"/>
    </row>
    <row r="1786" hidden="1">
      <c r="A1786" s="136"/>
      <c r="B1786" s="96"/>
      <c r="C1786" s="86"/>
      <c r="D1786" s="211"/>
      <c r="E1786" s="171"/>
    </row>
    <row r="1787" hidden="1">
      <c r="A1787" s="136"/>
      <c r="B1787" s="96"/>
      <c r="C1787" s="86"/>
      <c r="D1787" s="209"/>
      <c r="E1787" s="215"/>
    </row>
    <row r="1788" hidden="1">
      <c r="A1788" s="136"/>
      <c r="B1788" s="96"/>
      <c r="C1788" s="86"/>
      <c r="D1788" s="211"/>
      <c r="E1788" s="171"/>
    </row>
    <row r="1789" hidden="1">
      <c r="A1789" s="136"/>
      <c r="B1789" s="96"/>
      <c r="C1789" s="86"/>
      <c r="D1789" s="209"/>
      <c r="E1789" s="215"/>
    </row>
    <row r="1790" hidden="1">
      <c r="A1790" s="136"/>
      <c r="B1790" s="96"/>
      <c r="C1790" s="86"/>
      <c r="D1790" s="211"/>
      <c r="E1790" s="171"/>
    </row>
    <row r="1791" hidden="1">
      <c r="A1791" s="136"/>
      <c r="B1791" s="96"/>
      <c r="C1791" s="86"/>
      <c r="D1791" s="209"/>
      <c r="E1791" s="215"/>
    </row>
    <row r="1792" hidden="1">
      <c r="A1792" s="136"/>
      <c r="B1792" s="96"/>
      <c r="C1792" s="86"/>
      <c r="D1792" s="211"/>
      <c r="E1792" s="171"/>
    </row>
    <row r="1793" hidden="1">
      <c r="A1793" s="136"/>
      <c r="B1793" s="96"/>
      <c r="C1793" s="86"/>
      <c r="D1793" s="209"/>
      <c r="E1793" s="215"/>
    </row>
    <row r="1794" hidden="1">
      <c r="A1794" s="136"/>
      <c r="B1794" s="96"/>
      <c r="C1794" s="86"/>
      <c r="D1794" s="211"/>
      <c r="E1794" s="171"/>
    </row>
    <row r="1795" hidden="1">
      <c r="A1795" s="136"/>
      <c r="B1795" s="96"/>
      <c r="C1795" s="86"/>
      <c r="D1795" s="209"/>
      <c r="E1795" s="215"/>
    </row>
    <row r="1796" hidden="1">
      <c r="A1796" s="136"/>
      <c r="B1796" s="96"/>
      <c r="C1796" s="86"/>
      <c r="D1796" s="211"/>
      <c r="E1796" s="171"/>
    </row>
    <row r="1797" hidden="1">
      <c r="A1797" s="136"/>
      <c r="B1797" s="96"/>
      <c r="C1797" s="86"/>
      <c r="D1797" s="209"/>
      <c r="E1797" s="215"/>
    </row>
    <row r="1798" hidden="1">
      <c r="A1798" s="136"/>
      <c r="B1798" s="96"/>
      <c r="C1798" s="86"/>
      <c r="D1798" s="211"/>
      <c r="E1798" s="171"/>
    </row>
    <row r="1799" hidden="1">
      <c r="A1799" s="136"/>
      <c r="B1799" s="96"/>
      <c r="C1799" s="86"/>
      <c r="D1799" s="209"/>
      <c r="E1799" s="215"/>
    </row>
    <row r="1800" hidden="1">
      <c r="A1800" s="136"/>
      <c r="B1800" s="96"/>
      <c r="C1800" s="86"/>
      <c r="D1800" s="211"/>
      <c r="E1800" s="171"/>
    </row>
    <row r="1801" hidden="1">
      <c r="A1801" s="136"/>
      <c r="B1801" s="96"/>
      <c r="C1801" s="86"/>
      <c r="D1801" s="209"/>
      <c r="E1801" s="215"/>
    </row>
    <row r="1802" hidden="1">
      <c r="A1802" s="136"/>
      <c r="B1802" s="96"/>
      <c r="C1802" s="86"/>
      <c r="D1802" s="211"/>
      <c r="E1802" s="171"/>
    </row>
    <row r="1803" hidden="1">
      <c r="A1803" s="136"/>
      <c r="B1803" s="96"/>
      <c r="C1803" s="86"/>
      <c r="D1803" s="209"/>
      <c r="E1803" s="215"/>
    </row>
    <row r="1804" hidden="1">
      <c r="A1804" s="136"/>
      <c r="B1804" s="96"/>
      <c r="C1804" s="86"/>
      <c r="D1804" s="211"/>
      <c r="E1804" s="171"/>
    </row>
    <row r="1805" hidden="1">
      <c r="A1805" s="136"/>
      <c r="B1805" s="96"/>
      <c r="C1805" s="86"/>
      <c r="D1805" s="209"/>
      <c r="E1805" s="215"/>
    </row>
    <row r="1806" hidden="1">
      <c r="A1806" s="136"/>
      <c r="B1806" s="96"/>
      <c r="C1806" s="86"/>
      <c r="D1806" s="211"/>
      <c r="E1806" s="171"/>
    </row>
    <row r="1807" hidden="1">
      <c r="A1807" s="136"/>
      <c r="B1807" s="96"/>
      <c r="C1807" s="86"/>
      <c r="D1807" s="209"/>
      <c r="E1807" s="215"/>
    </row>
    <row r="1808" hidden="1">
      <c r="A1808" s="136"/>
      <c r="B1808" s="96"/>
      <c r="C1808" s="86"/>
      <c r="D1808" s="211"/>
      <c r="E1808" s="171"/>
    </row>
    <row r="1809" hidden="1">
      <c r="A1809" s="136"/>
      <c r="B1809" s="96"/>
      <c r="C1809" s="86"/>
      <c r="D1809" s="209"/>
      <c r="E1809" s="215"/>
    </row>
    <row r="1810" hidden="1">
      <c r="A1810" s="136"/>
      <c r="B1810" s="96"/>
      <c r="C1810" s="86"/>
      <c r="D1810" s="211"/>
      <c r="E1810" s="171"/>
    </row>
    <row r="1811" hidden="1">
      <c r="A1811" s="136"/>
      <c r="B1811" s="96"/>
      <c r="C1811" s="86"/>
      <c r="D1811" s="209"/>
      <c r="E1811" s="215"/>
    </row>
    <row r="1812" hidden="1">
      <c r="A1812" s="136"/>
      <c r="B1812" s="96"/>
      <c r="C1812" s="86"/>
      <c r="D1812" s="211"/>
      <c r="E1812" s="171"/>
    </row>
    <row r="1813" hidden="1">
      <c r="A1813" s="136"/>
      <c r="B1813" s="96"/>
      <c r="C1813" s="86"/>
      <c r="D1813" s="209"/>
      <c r="E1813" s="215"/>
    </row>
    <row r="1814" hidden="1">
      <c r="A1814" s="136"/>
      <c r="B1814" s="96"/>
      <c r="C1814" s="86"/>
      <c r="D1814" s="211"/>
      <c r="E1814" s="171"/>
    </row>
    <row r="1815" hidden="1">
      <c r="A1815" s="136"/>
      <c r="B1815" s="96"/>
      <c r="C1815" s="86"/>
      <c r="D1815" s="209"/>
      <c r="E1815" s="215"/>
    </row>
    <row r="1816" hidden="1">
      <c r="A1816" s="136"/>
      <c r="B1816" s="96"/>
      <c r="C1816" s="86"/>
      <c r="D1816" s="211"/>
      <c r="E1816" s="171"/>
    </row>
    <row r="1817" hidden="1">
      <c r="A1817" s="136"/>
      <c r="B1817" s="96"/>
      <c r="C1817" s="86"/>
      <c r="D1817" s="209"/>
      <c r="E1817" s="215"/>
    </row>
    <row r="1818" hidden="1">
      <c r="A1818" s="136"/>
      <c r="B1818" s="96"/>
      <c r="C1818" s="86"/>
      <c r="D1818" s="211"/>
      <c r="E1818" s="171"/>
    </row>
    <row r="1819" hidden="1">
      <c r="A1819" s="136"/>
      <c r="B1819" s="96"/>
      <c r="C1819" s="86"/>
      <c r="D1819" s="209"/>
      <c r="E1819" s="215"/>
    </row>
    <row r="1820" hidden="1">
      <c r="A1820" s="136"/>
      <c r="B1820" s="96"/>
      <c r="C1820" s="86"/>
      <c r="D1820" s="211"/>
      <c r="E1820" s="171"/>
    </row>
    <row r="1821" hidden="1">
      <c r="A1821" s="136"/>
      <c r="B1821" s="96"/>
      <c r="C1821" s="86"/>
      <c r="D1821" s="209"/>
      <c r="E1821" s="215"/>
    </row>
    <row r="1822" hidden="1">
      <c r="A1822" s="136"/>
      <c r="B1822" s="96"/>
      <c r="C1822" s="86"/>
      <c r="D1822" s="211"/>
      <c r="E1822" s="171"/>
    </row>
    <row r="1823" hidden="1">
      <c r="A1823" s="136"/>
      <c r="B1823" s="96"/>
      <c r="C1823" s="86"/>
      <c r="D1823" s="209"/>
      <c r="E1823" s="215"/>
    </row>
    <row r="1824" hidden="1">
      <c r="A1824" s="136"/>
      <c r="B1824" s="96"/>
      <c r="C1824" s="86"/>
      <c r="D1824" s="211"/>
      <c r="E1824" s="171"/>
    </row>
    <row r="1825" hidden="1">
      <c r="A1825" s="136"/>
      <c r="B1825" s="96"/>
      <c r="C1825" s="86"/>
      <c r="D1825" s="209"/>
      <c r="E1825" s="215"/>
    </row>
    <row r="1826" hidden="1">
      <c r="A1826" s="136"/>
      <c r="B1826" s="96"/>
      <c r="C1826" s="86"/>
      <c r="D1826" s="211"/>
      <c r="E1826" s="171"/>
    </row>
    <row r="1827" hidden="1">
      <c r="A1827" s="136"/>
      <c r="B1827" s="96"/>
      <c r="C1827" s="86"/>
      <c r="D1827" s="209"/>
      <c r="E1827" s="215"/>
    </row>
    <row r="1828" hidden="1">
      <c r="A1828" s="136"/>
      <c r="B1828" s="96"/>
      <c r="C1828" s="86"/>
      <c r="D1828" s="211"/>
      <c r="E1828" s="171"/>
    </row>
    <row r="1829" hidden="1">
      <c r="A1829" s="136"/>
      <c r="B1829" s="96"/>
      <c r="C1829" s="86"/>
      <c r="D1829" s="209"/>
      <c r="E1829" s="215"/>
    </row>
    <row r="1830" hidden="1">
      <c r="A1830" s="136"/>
      <c r="B1830" s="96"/>
      <c r="C1830" s="86"/>
      <c r="D1830" s="211"/>
      <c r="E1830" s="171"/>
    </row>
    <row r="1831" hidden="1">
      <c r="A1831" s="136"/>
      <c r="B1831" s="96"/>
      <c r="C1831" s="86"/>
      <c r="D1831" s="209"/>
      <c r="E1831" s="215"/>
    </row>
    <row r="1832" hidden="1">
      <c r="A1832" s="136"/>
      <c r="B1832" s="96"/>
      <c r="C1832" s="86"/>
      <c r="D1832" s="211"/>
      <c r="E1832" s="171"/>
    </row>
    <row r="1833" hidden="1">
      <c r="A1833" s="136"/>
      <c r="B1833" s="96"/>
      <c r="C1833" s="86"/>
      <c r="D1833" s="209"/>
      <c r="E1833" s="215"/>
    </row>
    <row r="1834" hidden="1">
      <c r="A1834" s="136"/>
      <c r="B1834" s="96"/>
      <c r="C1834" s="86"/>
      <c r="D1834" s="211"/>
      <c r="E1834" s="171"/>
    </row>
    <row r="1835" hidden="1">
      <c r="A1835" s="136"/>
      <c r="B1835" s="96"/>
      <c r="C1835" s="86"/>
      <c r="D1835" s="209"/>
      <c r="E1835" s="215"/>
    </row>
    <row r="1836" hidden="1">
      <c r="A1836" s="136"/>
      <c r="B1836" s="96"/>
      <c r="C1836" s="86"/>
      <c r="D1836" s="211"/>
      <c r="E1836" s="171"/>
    </row>
    <row r="1837" hidden="1">
      <c r="A1837" s="136"/>
      <c r="B1837" s="96"/>
      <c r="C1837" s="86"/>
      <c r="D1837" s="209"/>
      <c r="E1837" s="215"/>
    </row>
    <row r="1838" hidden="1">
      <c r="A1838" s="136"/>
      <c r="B1838" s="96"/>
      <c r="C1838" s="86"/>
      <c r="D1838" s="211"/>
      <c r="E1838" s="171"/>
    </row>
    <row r="1839" hidden="1">
      <c r="A1839" s="136"/>
      <c r="B1839" s="96"/>
      <c r="C1839" s="86"/>
      <c r="D1839" s="209"/>
      <c r="E1839" s="215"/>
    </row>
    <row r="1840" hidden="1">
      <c r="A1840" s="136"/>
      <c r="B1840" s="96"/>
      <c r="C1840" s="86"/>
      <c r="D1840" s="211"/>
      <c r="E1840" s="171"/>
    </row>
    <row r="1841" hidden="1">
      <c r="A1841" s="136"/>
      <c r="B1841" s="96"/>
      <c r="C1841" s="86"/>
      <c r="D1841" s="209"/>
      <c r="E1841" s="215"/>
    </row>
    <row r="1842" hidden="1">
      <c r="A1842" s="136"/>
      <c r="B1842" s="96"/>
      <c r="C1842" s="86"/>
      <c r="D1842" s="211"/>
      <c r="E1842" s="171"/>
    </row>
    <row r="1843" hidden="1">
      <c r="A1843" s="136"/>
      <c r="B1843" s="96"/>
      <c r="C1843" s="86"/>
      <c r="D1843" s="209"/>
      <c r="E1843" s="215"/>
    </row>
    <row r="1844" hidden="1">
      <c r="A1844" s="136"/>
      <c r="B1844" s="96"/>
      <c r="C1844" s="86"/>
      <c r="D1844" s="211"/>
      <c r="E1844" s="171"/>
    </row>
    <row r="1845" hidden="1">
      <c r="A1845" s="136"/>
      <c r="B1845" s="96"/>
      <c r="C1845" s="86"/>
      <c r="D1845" s="209"/>
      <c r="E1845" s="215"/>
    </row>
    <row r="1846" hidden="1">
      <c r="A1846" s="136"/>
      <c r="B1846" s="96"/>
      <c r="C1846" s="86"/>
      <c r="D1846" s="211"/>
      <c r="E1846" s="171"/>
    </row>
    <row r="1847" hidden="1">
      <c r="A1847" s="136"/>
      <c r="B1847" s="96"/>
      <c r="C1847" s="86"/>
      <c r="D1847" s="209"/>
      <c r="E1847" s="215"/>
    </row>
    <row r="1848" hidden="1">
      <c r="A1848" s="136"/>
      <c r="B1848" s="96"/>
      <c r="C1848" s="86"/>
      <c r="D1848" s="211"/>
      <c r="E1848" s="171"/>
    </row>
    <row r="1849" hidden="1">
      <c r="A1849" s="136"/>
      <c r="B1849" s="96"/>
      <c r="C1849" s="86"/>
      <c r="D1849" s="209"/>
      <c r="E1849" s="215"/>
    </row>
    <row r="1850" hidden="1">
      <c r="A1850" s="136"/>
      <c r="B1850" s="96"/>
      <c r="C1850" s="86"/>
      <c r="D1850" s="211"/>
      <c r="E1850" s="171"/>
    </row>
    <row r="1851" hidden="1">
      <c r="A1851" s="136"/>
      <c r="B1851" s="96"/>
      <c r="C1851" s="86"/>
      <c r="D1851" s="209"/>
      <c r="E1851" s="215"/>
    </row>
    <row r="1852" hidden="1">
      <c r="A1852" s="136"/>
      <c r="B1852" s="96"/>
      <c r="C1852" s="86"/>
      <c r="D1852" s="211"/>
      <c r="E1852" s="171"/>
    </row>
    <row r="1853" hidden="1">
      <c r="A1853" s="136"/>
      <c r="B1853" s="96"/>
      <c r="C1853" s="86"/>
      <c r="D1853" s="209"/>
      <c r="E1853" s="215"/>
    </row>
    <row r="1854" hidden="1">
      <c r="A1854" s="136"/>
      <c r="B1854" s="96"/>
      <c r="C1854" s="86"/>
      <c r="D1854" s="211"/>
      <c r="E1854" s="171"/>
    </row>
    <row r="1855" hidden="1">
      <c r="A1855" s="136"/>
      <c r="B1855" s="96"/>
      <c r="C1855" s="86"/>
      <c r="D1855" s="209"/>
      <c r="E1855" s="215"/>
    </row>
    <row r="1856" hidden="1">
      <c r="A1856" s="136"/>
      <c r="B1856" s="96"/>
      <c r="C1856" s="86"/>
      <c r="D1856" s="211"/>
      <c r="E1856" s="171"/>
    </row>
    <row r="1857" hidden="1">
      <c r="A1857" s="136"/>
      <c r="B1857" s="96"/>
      <c r="C1857" s="86"/>
      <c r="D1857" s="209"/>
      <c r="E1857" s="215"/>
    </row>
    <row r="1858" hidden="1">
      <c r="A1858" s="136"/>
      <c r="B1858" s="96"/>
      <c r="C1858" s="86"/>
      <c r="D1858" s="211"/>
      <c r="E1858" s="171"/>
    </row>
    <row r="1859" hidden="1">
      <c r="A1859" s="136"/>
      <c r="B1859" s="96"/>
      <c r="C1859" s="86"/>
      <c r="D1859" s="209"/>
      <c r="E1859" s="215"/>
    </row>
    <row r="1860" hidden="1">
      <c r="A1860" s="136"/>
      <c r="B1860" s="96"/>
      <c r="C1860" s="86"/>
      <c r="D1860" s="211"/>
      <c r="E1860" s="171"/>
    </row>
    <row r="1861" hidden="1">
      <c r="A1861" s="136"/>
      <c r="B1861" s="96"/>
      <c r="C1861" s="86"/>
      <c r="D1861" s="209"/>
      <c r="E1861" s="215"/>
    </row>
    <row r="1862" hidden="1">
      <c r="A1862" s="136"/>
      <c r="B1862" s="96"/>
      <c r="C1862" s="86"/>
      <c r="D1862" s="211"/>
      <c r="E1862" s="171"/>
    </row>
    <row r="1863" hidden="1">
      <c r="A1863" s="136"/>
      <c r="B1863" s="96"/>
      <c r="C1863" s="86"/>
      <c r="D1863" s="209"/>
      <c r="E1863" s="215"/>
    </row>
    <row r="1864" hidden="1">
      <c r="A1864" s="136"/>
      <c r="B1864" s="96"/>
      <c r="C1864" s="86"/>
      <c r="D1864" s="211"/>
      <c r="E1864" s="171"/>
    </row>
    <row r="1865" hidden="1">
      <c r="A1865" s="136"/>
      <c r="B1865" s="96"/>
      <c r="C1865" s="86"/>
      <c r="D1865" s="209"/>
      <c r="E1865" s="215"/>
    </row>
    <row r="1866" hidden="1">
      <c r="A1866" s="136"/>
      <c r="B1866" s="96"/>
      <c r="C1866" s="86"/>
      <c r="D1866" s="211"/>
      <c r="E1866" s="171"/>
    </row>
    <row r="1867" hidden="1">
      <c r="A1867" s="136"/>
      <c r="B1867" s="96"/>
      <c r="C1867" s="86"/>
      <c r="D1867" s="209"/>
      <c r="E1867" s="215"/>
    </row>
    <row r="1868" hidden="1">
      <c r="A1868" s="136"/>
      <c r="B1868" s="96"/>
      <c r="C1868" s="86"/>
      <c r="D1868" s="211"/>
      <c r="E1868" s="171"/>
    </row>
    <row r="1869" hidden="1">
      <c r="A1869" s="136"/>
      <c r="B1869" s="96"/>
      <c r="C1869" s="86"/>
      <c r="D1869" s="209"/>
      <c r="E1869" s="215"/>
    </row>
    <row r="1870" hidden="1">
      <c r="A1870" s="136"/>
      <c r="B1870" s="96"/>
      <c r="C1870" s="86"/>
      <c r="D1870" s="211"/>
      <c r="E1870" s="171"/>
    </row>
    <row r="1871" hidden="1">
      <c r="A1871" s="136"/>
      <c r="B1871" s="96"/>
      <c r="C1871" s="86"/>
      <c r="D1871" s="209"/>
      <c r="E1871" s="215"/>
    </row>
    <row r="1872" hidden="1">
      <c r="A1872" s="136"/>
      <c r="B1872" s="96"/>
      <c r="C1872" s="86"/>
      <c r="D1872" s="211"/>
      <c r="E1872" s="171"/>
    </row>
    <row r="1873" hidden="1">
      <c r="A1873" s="136"/>
      <c r="B1873" s="96"/>
      <c r="C1873" s="86"/>
      <c r="D1873" s="209"/>
      <c r="E1873" s="215"/>
    </row>
    <row r="1874" hidden="1">
      <c r="A1874" s="136"/>
      <c r="B1874" s="96"/>
      <c r="C1874" s="86"/>
      <c r="D1874" s="211"/>
      <c r="E1874" s="171"/>
    </row>
    <row r="1875" hidden="1">
      <c r="A1875" s="136"/>
      <c r="B1875" s="96"/>
      <c r="C1875" s="86"/>
      <c r="D1875" s="209"/>
      <c r="E1875" s="215"/>
    </row>
    <row r="1876" hidden="1">
      <c r="A1876" s="136"/>
      <c r="B1876" s="96"/>
      <c r="C1876" s="86"/>
      <c r="D1876" s="211"/>
      <c r="E1876" s="171"/>
    </row>
    <row r="1877" hidden="1">
      <c r="A1877" s="136"/>
      <c r="B1877" s="96"/>
      <c r="C1877" s="86"/>
      <c r="D1877" s="209"/>
      <c r="E1877" s="215"/>
    </row>
    <row r="1878" hidden="1">
      <c r="A1878" s="136"/>
      <c r="B1878" s="96"/>
      <c r="C1878" s="86"/>
      <c r="D1878" s="211"/>
      <c r="E1878" s="171"/>
    </row>
    <row r="1879" hidden="1">
      <c r="A1879" s="136"/>
      <c r="B1879" s="96"/>
      <c r="C1879" s="86"/>
      <c r="D1879" s="209"/>
      <c r="E1879" s="215"/>
    </row>
    <row r="1880" hidden="1">
      <c r="A1880" s="136"/>
      <c r="B1880" s="96"/>
      <c r="C1880" s="86"/>
      <c r="D1880" s="211"/>
      <c r="E1880" s="171"/>
    </row>
    <row r="1881" hidden="1">
      <c r="A1881" s="136"/>
      <c r="B1881" s="96"/>
      <c r="C1881" s="86"/>
      <c r="D1881" s="209"/>
      <c r="E1881" s="215"/>
    </row>
    <row r="1882" hidden="1">
      <c r="A1882" s="136"/>
      <c r="B1882" s="96"/>
      <c r="C1882" s="86"/>
      <c r="D1882" s="211"/>
      <c r="E1882" s="171"/>
    </row>
    <row r="1883" hidden="1">
      <c r="A1883" s="136"/>
      <c r="B1883" s="96"/>
      <c r="C1883" s="86"/>
      <c r="D1883" s="209"/>
      <c r="E1883" s="215"/>
    </row>
    <row r="1884" hidden="1">
      <c r="A1884" s="136"/>
      <c r="B1884" s="96"/>
      <c r="C1884" s="86"/>
      <c r="D1884" s="211"/>
      <c r="E1884" s="171"/>
    </row>
    <row r="1885" hidden="1">
      <c r="A1885" s="136"/>
      <c r="B1885" s="96"/>
      <c r="C1885" s="86"/>
      <c r="D1885" s="209"/>
      <c r="E1885" s="215"/>
    </row>
    <row r="1886" hidden="1">
      <c r="A1886" s="136"/>
      <c r="B1886" s="96"/>
      <c r="C1886" s="86"/>
      <c r="D1886" s="211"/>
      <c r="E1886" s="171"/>
    </row>
    <row r="1887" hidden="1">
      <c r="A1887" s="136"/>
      <c r="B1887" s="96"/>
      <c r="C1887" s="86"/>
      <c r="D1887" s="209"/>
      <c r="E1887" s="215"/>
    </row>
    <row r="1888" hidden="1">
      <c r="A1888" s="136"/>
      <c r="B1888" s="96"/>
      <c r="C1888" s="86"/>
      <c r="D1888" s="211"/>
      <c r="E1888" s="171"/>
    </row>
    <row r="1889" hidden="1">
      <c r="A1889" s="136"/>
      <c r="B1889" s="96"/>
      <c r="C1889" s="86"/>
      <c r="D1889" s="209"/>
      <c r="E1889" s="215"/>
    </row>
    <row r="1890" hidden="1">
      <c r="A1890" s="136"/>
      <c r="B1890" s="96"/>
      <c r="C1890" s="86"/>
      <c r="D1890" s="211"/>
      <c r="E1890" s="171"/>
    </row>
    <row r="1891" hidden="1">
      <c r="A1891" s="136"/>
      <c r="B1891" s="96"/>
      <c r="C1891" s="86"/>
      <c r="D1891" s="209"/>
      <c r="E1891" s="215"/>
    </row>
    <row r="1892" hidden="1">
      <c r="A1892" s="136"/>
      <c r="B1892" s="96"/>
      <c r="C1892" s="86"/>
      <c r="D1892" s="211"/>
      <c r="E1892" s="171"/>
    </row>
    <row r="1893" hidden="1">
      <c r="A1893" s="136"/>
      <c r="B1893" s="96"/>
      <c r="C1893" s="86"/>
      <c r="D1893" s="209"/>
      <c r="E1893" s="215"/>
    </row>
    <row r="1894" hidden="1">
      <c r="A1894" s="136"/>
      <c r="B1894" s="96"/>
      <c r="C1894" s="86"/>
      <c r="D1894" s="211"/>
      <c r="E1894" s="171"/>
    </row>
    <row r="1895" hidden="1">
      <c r="A1895" s="136"/>
      <c r="B1895" s="96"/>
      <c r="C1895" s="86"/>
      <c r="D1895" s="209"/>
      <c r="E1895" s="215"/>
    </row>
    <row r="1896" hidden="1">
      <c r="A1896" s="136"/>
      <c r="B1896" s="96"/>
      <c r="C1896" s="86"/>
      <c r="D1896" s="211"/>
      <c r="E1896" s="171"/>
    </row>
    <row r="1897" hidden="1">
      <c r="A1897" s="136"/>
      <c r="B1897" s="96"/>
      <c r="C1897" s="86"/>
      <c r="D1897" s="209"/>
      <c r="E1897" s="215"/>
    </row>
    <row r="1898" hidden="1">
      <c r="A1898" s="136"/>
      <c r="B1898" s="96"/>
      <c r="C1898" s="86"/>
      <c r="D1898" s="211"/>
      <c r="E1898" s="171"/>
    </row>
    <row r="1899" hidden="1">
      <c r="A1899" s="136"/>
      <c r="B1899" s="96"/>
      <c r="C1899" s="86"/>
      <c r="D1899" s="209"/>
      <c r="E1899" s="215"/>
    </row>
    <row r="1900" hidden="1">
      <c r="A1900" s="136"/>
      <c r="B1900" s="96"/>
      <c r="C1900" s="86"/>
      <c r="D1900" s="211"/>
      <c r="E1900" s="171"/>
    </row>
    <row r="1901" hidden="1">
      <c r="A1901" s="136"/>
      <c r="B1901" s="96"/>
      <c r="C1901" s="86"/>
      <c r="D1901" s="209"/>
      <c r="E1901" s="215"/>
    </row>
    <row r="1902" hidden="1">
      <c r="A1902" s="136"/>
      <c r="B1902" s="96"/>
      <c r="C1902" s="86"/>
      <c r="D1902" s="211"/>
      <c r="E1902" s="171"/>
    </row>
    <row r="1903" hidden="1">
      <c r="A1903" s="136"/>
      <c r="B1903" s="96"/>
      <c r="C1903" s="86"/>
      <c r="D1903" s="209"/>
      <c r="E1903" s="215"/>
    </row>
    <row r="1904" hidden="1">
      <c r="A1904" s="136"/>
      <c r="B1904" s="96"/>
      <c r="C1904" s="86"/>
      <c r="D1904" s="211"/>
      <c r="E1904" s="171"/>
    </row>
    <row r="1905" hidden="1">
      <c r="A1905" s="136"/>
      <c r="B1905" s="96"/>
      <c r="C1905" s="86"/>
      <c r="D1905" s="209"/>
      <c r="E1905" s="215"/>
    </row>
    <row r="1906" hidden="1">
      <c r="A1906" s="136"/>
      <c r="B1906" s="96"/>
      <c r="C1906" s="86"/>
      <c r="D1906" s="211"/>
      <c r="E1906" s="171"/>
    </row>
    <row r="1907" hidden="1">
      <c r="A1907" s="136"/>
      <c r="B1907" s="96"/>
      <c r="C1907" s="86"/>
      <c r="D1907" s="209"/>
      <c r="E1907" s="215"/>
    </row>
    <row r="1908" hidden="1">
      <c r="A1908" s="136"/>
      <c r="B1908" s="96"/>
      <c r="C1908" s="86"/>
      <c r="D1908" s="211"/>
      <c r="E1908" s="171"/>
    </row>
    <row r="1909" hidden="1">
      <c r="A1909" s="136"/>
      <c r="B1909" s="96"/>
      <c r="C1909" s="86"/>
      <c r="D1909" s="209"/>
      <c r="E1909" s="215"/>
    </row>
    <row r="1910" hidden="1">
      <c r="A1910" s="136"/>
      <c r="B1910" s="96"/>
      <c r="C1910" s="86"/>
      <c r="D1910" s="211"/>
      <c r="E1910" s="171"/>
    </row>
    <row r="1911" hidden="1">
      <c r="A1911" s="136"/>
      <c r="B1911" s="96"/>
      <c r="C1911" s="86"/>
      <c r="D1911" s="209"/>
      <c r="E1911" s="215"/>
    </row>
    <row r="1912" hidden="1">
      <c r="A1912" s="136"/>
      <c r="B1912" s="96"/>
      <c r="C1912" s="86"/>
      <c r="D1912" s="211"/>
      <c r="E1912" s="171"/>
    </row>
    <row r="1913" hidden="1">
      <c r="A1913" s="136"/>
      <c r="B1913" s="96"/>
      <c r="C1913" s="86"/>
      <c r="D1913" s="209"/>
      <c r="E1913" s="215"/>
    </row>
    <row r="1914" hidden="1">
      <c r="A1914" s="136"/>
      <c r="B1914" s="96"/>
      <c r="C1914" s="86"/>
      <c r="D1914" s="211"/>
      <c r="E1914" s="171"/>
    </row>
    <row r="1915" hidden="1">
      <c r="A1915" s="136"/>
      <c r="B1915" s="96"/>
      <c r="C1915" s="86"/>
      <c r="D1915" s="209"/>
      <c r="E1915" s="215"/>
    </row>
    <row r="1916" hidden="1">
      <c r="A1916" s="136"/>
      <c r="B1916" s="96"/>
      <c r="C1916" s="86"/>
      <c r="D1916" s="211"/>
      <c r="E1916" s="171"/>
    </row>
    <row r="1917" hidden="1">
      <c r="A1917" s="136"/>
      <c r="B1917" s="96"/>
      <c r="C1917" s="86"/>
      <c r="D1917" s="209"/>
      <c r="E1917" s="215"/>
    </row>
    <row r="1918" hidden="1">
      <c r="A1918" s="136"/>
      <c r="B1918" s="96"/>
      <c r="C1918" s="86"/>
      <c r="D1918" s="211"/>
      <c r="E1918" s="171"/>
    </row>
    <row r="1919" hidden="1">
      <c r="A1919" s="136"/>
      <c r="B1919" s="96"/>
      <c r="C1919" s="86"/>
      <c r="D1919" s="209"/>
      <c r="E1919" s="215"/>
    </row>
    <row r="1920" hidden="1">
      <c r="A1920" s="136"/>
      <c r="B1920" s="96"/>
      <c r="C1920" s="86"/>
      <c r="D1920" s="211"/>
      <c r="E1920" s="171"/>
    </row>
    <row r="1921" hidden="1">
      <c r="A1921" s="136"/>
      <c r="B1921" s="96"/>
      <c r="C1921" s="86"/>
      <c r="D1921" s="209"/>
      <c r="E1921" s="215"/>
    </row>
    <row r="1922" hidden="1">
      <c r="A1922" s="136"/>
      <c r="B1922" s="96"/>
      <c r="C1922" s="86"/>
      <c r="D1922" s="211"/>
      <c r="E1922" s="171"/>
    </row>
    <row r="1923" hidden="1">
      <c r="A1923" s="136"/>
      <c r="B1923" s="96"/>
      <c r="C1923" s="86"/>
      <c r="D1923" s="209"/>
      <c r="E1923" s="215"/>
    </row>
    <row r="1924" hidden="1">
      <c r="A1924" s="136"/>
      <c r="B1924" s="96"/>
      <c r="C1924" s="86"/>
      <c r="D1924" s="211"/>
      <c r="E1924" s="171"/>
    </row>
    <row r="1925" hidden="1">
      <c r="A1925" s="136"/>
      <c r="B1925" s="96"/>
      <c r="C1925" s="86"/>
      <c r="D1925" s="209"/>
      <c r="E1925" s="215"/>
    </row>
    <row r="1926" hidden="1">
      <c r="A1926" s="136"/>
      <c r="B1926" s="96"/>
      <c r="C1926" s="86"/>
      <c r="D1926" s="211"/>
      <c r="E1926" s="171"/>
    </row>
    <row r="1927" hidden="1">
      <c r="A1927" s="136"/>
      <c r="B1927" s="96"/>
      <c r="C1927" s="86"/>
      <c r="D1927" s="209"/>
      <c r="E1927" s="215"/>
    </row>
    <row r="1928" hidden="1">
      <c r="A1928" s="136"/>
      <c r="B1928" s="96"/>
      <c r="C1928" s="86"/>
      <c r="D1928" s="211"/>
      <c r="E1928" s="171"/>
    </row>
    <row r="1929" hidden="1">
      <c r="A1929" s="136"/>
      <c r="B1929" s="96"/>
      <c r="C1929" s="86"/>
      <c r="D1929" s="209"/>
      <c r="E1929" s="215"/>
    </row>
    <row r="1930" hidden="1">
      <c r="A1930" s="136"/>
      <c r="B1930" s="96"/>
      <c r="C1930" s="86"/>
      <c r="D1930" s="211"/>
      <c r="E1930" s="171"/>
    </row>
    <row r="1931" hidden="1">
      <c r="A1931" s="136"/>
      <c r="B1931" s="96"/>
      <c r="C1931" s="86"/>
      <c r="D1931" s="209"/>
      <c r="E1931" s="215"/>
    </row>
    <row r="1932" hidden="1">
      <c r="A1932" s="136"/>
      <c r="B1932" s="96"/>
      <c r="C1932" s="86"/>
      <c r="D1932" s="211"/>
      <c r="E1932" s="171"/>
    </row>
    <row r="1933" hidden="1">
      <c r="A1933" s="136"/>
      <c r="B1933" s="96"/>
      <c r="C1933" s="86"/>
      <c r="D1933" s="209"/>
      <c r="E1933" s="215"/>
    </row>
    <row r="1934" hidden="1">
      <c r="A1934" s="136"/>
      <c r="B1934" s="96"/>
      <c r="C1934" s="86"/>
      <c r="D1934" s="211"/>
      <c r="E1934" s="171"/>
    </row>
    <row r="1935" hidden="1">
      <c r="A1935" s="136"/>
      <c r="B1935" s="96"/>
      <c r="C1935" s="86"/>
      <c r="D1935" s="209"/>
      <c r="E1935" s="215"/>
    </row>
    <row r="1936" hidden="1">
      <c r="A1936" s="136"/>
      <c r="B1936" s="96"/>
      <c r="C1936" s="86"/>
      <c r="D1936" s="211"/>
      <c r="E1936" s="171"/>
    </row>
    <row r="1937" hidden="1">
      <c r="A1937" s="136"/>
      <c r="B1937" s="96"/>
      <c r="C1937" s="86"/>
      <c r="D1937" s="209"/>
      <c r="E1937" s="215"/>
    </row>
    <row r="1938" hidden="1">
      <c r="A1938" s="136"/>
      <c r="B1938" s="96"/>
      <c r="C1938" s="86"/>
      <c r="D1938" s="211"/>
      <c r="E1938" s="171"/>
    </row>
    <row r="1939" hidden="1">
      <c r="A1939" s="136"/>
      <c r="B1939" s="96"/>
      <c r="C1939" s="86"/>
      <c r="D1939" s="209"/>
      <c r="E1939" s="215"/>
    </row>
    <row r="1940" hidden="1">
      <c r="A1940" s="136"/>
      <c r="B1940" s="96"/>
      <c r="C1940" s="86"/>
      <c r="D1940" s="211"/>
      <c r="E1940" s="171"/>
    </row>
    <row r="1941" hidden="1">
      <c r="A1941" s="136"/>
      <c r="B1941" s="96"/>
      <c r="C1941" s="86"/>
      <c r="D1941" s="209"/>
      <c r="E1941" s="215"/>
    </row>
    <row r="1942" hidden="1">
      <c r="A1942" s="136"/>
      <c r="B1942" s="96"/>
      <c r="C1942" s="86"/>
      <c r="D1942" s="211"/>
      <c r="E1942" s="171"/>
    </row>
    <row r="1943" hidden="1">
      <c r="A1943" s="136"/>
      <c r="B1943" s="96"/>
      <c r="C1943" s="86"/>
      <c r="D1943" s="209"/>
      <c r="E1943" s="215"/>
    </row>
    <row r="1944" hidden="1">
      <c r="A1944" s="136"/>
      <c r="B1944" s="96"/>
      <c r="C1944" s="86"/>
      <c r="D1944" s="211"/>
      <c r="E1944" s="171"/>
    </row>
    <row r="1945" hidden="1">
      <c r="A1945" s="136"/>
      <c r="B1945" s="96"/>
      <c r="C1945" s="86"/>
      <c r="D1945" s="209"/>
      <c r="E1945" s="215"/>
    </row>
    <row r="1946" hidden="1">
      <c r="A1946" s="136"/>
      <c r="B1946" s="96"/>
      <c r="C1946" s="86"/>
      <c r="D1946" s="211"/>
      <c r="E1946" s="171"/>
    </row>
    <row r="1947" hidden="1">
      <c r="A1947" s="136"/>
      <c r="B1947" s="96"/>
      <c r="C1947" s="86"/>
      <c r="D1947" s="209"/>
      <c r="E1947" s="215"/>
    </row>
    <row r="1948" hidden="1">
      <c r="A1948" s="136"/>
      <c r="B1948" s="96"/>
      <c r="C1948" s="86"/>
      <c r="D1948" s="211"/>
      <c r="E1948" s="171"/>
    </row>
    <row r="1949" hidden="1">
      <c r="A1949" s="136"/>
      <c r="B1949" s="96"/>
      <c r="C1949" s="86"/>
      <c r="D1949" s="209"/>
      <c r="E1949" s="215"/>
    </row>
    <row r="1950" hidden="1">
      <c r="A1950" s="136"/>
      <c r="B1950" s="96"/>
      <c r="C1950" s="86"/>
      <c r="D1950" s="211"/>
      <c r="E1950" s="171"/>
    </row>
    <row r="1951" hidden="1">
      <c r="A1951" s="136"/>
      <c r="B1951" s="96"/>
      <c r="C1951" s="86"/>
      <c r="D1951" s="209"/>
      <c r="E1951" s="215"/>
    </row>
    <row r="1952" hidden="1">
      <c r="A1952" s="136"/>
      <c r="B1952" s="96"/>
      <c r="C1952" s="86"/>
      <c r="D1952" s="211"/>
      <c r="E1952" s="171"/>
    </row>
    <row r="1953" hidden="1">
      <c r="A1953" s="136"/>
      <c r="B1953" s="96"/>
      <c r="C1953" s="86"/>
      <c r="D1953" s="209"/>
      <c r="E1953" s="215"/>
    </row>
    <row r="1954" hidden="1">
      <c r="A1954" s="136"/>
      <c r="B1954" s="96"/>
      <c r="C1954" s="86"/>
      <c r="D1954" s="211"/>
      <c r="E1954" s="171"/>
    </row>
    <row r="1955" hidden="1">
      <c r="A1955" s="136"/>
      <c r="B1955" s="96"/>
      <c r="C1955" s="86"/>
      <c r="D1955" s="209"/>
      <c r="E1955" s="215"/>
    </row>
    <row r="1956" hidden="1">
      <c r="A1956" s="136"/>
      <c r="B1956" s="96"/>
      <c r="C1956" s="86"/>
      <c r="D1956" s="211"/>
      <c r="E1956" s="171"/>
    </row>
    <row r="1957" hidden="1">
      <c r="A1957" s="136"/>
      <c r="B1957" s="96"/>
      <c r="C1957" s="86"/>
      <c r="D1957" s="209"/>
      <c r="E1957" s="215"/>
    </row>
    <row r="1958" hidden="1">
      <c r="A1958" s="136"/>
      <c r="B1958" s="96"/>
      <c r="C1958" s="86"/>
      <c r="D1958" s="211"/>
      <c r="E1958" s="171"/>
    </row>
    <row r="1959" hidden="1">
      <c r="A1959" s="136"/>
      <c r="B1959" s="96"/>
      <c r="C1959" s="86"/>
      <c r="D1959" s="209"/>
      <c r="E1959" s="215"/>
    </row>
    <row r="1960" hidden="1">
      <c r="A1960" s="136"/>
      <c r="B1960" s="96"/>
      <c r="C1960" s="86"/>
      <c r="D1960" s="211"/>
      <c r="E1960" s="171"/>
    </row>
    <row r="1961" hidden="1">
      <c r="A1961" s="136"/>
      <c r="B1961" s="96"/>
      <c r="C1961" s="86"/>
      <c r="D1961" s="209"/>
      <c r="E1961" s="215"/>
    </row>
    <row r="1962" hidden="1">
      <c r="A1962" s="136"/>
      <c r="B1962" s="96"/>
      <c r="C1962" s="86"/>
      <c r="D1962" s="211"/>
      <c r="E1962" s="171"/>
    </row>
    <row r="1963" hidden="1">
      <c r="A1963" s="136"/>
      <c r="B1963" s="96"/>
      <c r="C1963" s="86"/>
      <c r="D1963" s="209"/>
      <c r="E1963" s="215"/>
    </row>
    <row r="1964" hidden="1">
      <c r="A1964" s="136"/>
      <c r="B1964" s="96"/>
      <c r="C1964" s="86"/>
      <c r="D1964" s="211"/>
      <c r="E1964" s="171"/>
    </row>
    <row r="1965" hidden="1">
      <c r="A1965" s="136"/>
      <c r="B1965" s="96"/>
      <c r="C1965" s="86"/>
      <c r="D1965" s="209"/>
      <c r="E1965" s="215"/>
    </row>
    <row r="1966" hidden="1">
      <c r="A1966" s="136"/>
      <c r="B1966" s="96"/>
      <c r="C1966" s="86"/>
      <c r="D1966" s="211"/>
      <c r="E1966" s="171"/>
    </row>
    <row r="1967" hidden="1">
      <c r="A1967" s="136"/>
      <c r="B1967" s="96"/>
      <c r="C1967" s="86"/>
      <c r="D1967" s="209"/>
      <c r="E1967" s="215"/>
    </row>
    <row r="1968" hidden="1">
      <c r="A1968" s="136"/>
      <c r="B1968" s="96"/>
      <c r="C1968" s="86"/>
      <c r="D1968" s="211"/>
      <c r="E1968" s="171"/>
    </row>
    <row r="1969" hidden="1">
      <c r="A1969" s="136"/>
      <c r="B1969" s="96"/>
      <c r="C1969" s="86"/>
      <c r="D1969" s="209"/>
      <c r="E1969" s="215"/>
    </row>
    <row r="1970" hidden="1">
      <c r="A1970" s="136"/>
      <c r="B1970" s="96"/>
      <c r="C1970" s="86"/>
      <c r="D1970" s="211"/>
      <c r="E1970" s="171"/>
    </row>
    <row r="1971" hidden="1">
      <c r="A1971" s="136"/>
      <c r="B1971" s="96"/>
      <c r="C1971" s="86"/>
      <c r="D1971" s="209"/>
      <c r="E1971" s="215"/>
    </row>
    <row r="1972" hidden="1">
      <c r="A1972" s="136"/>
      <c r="B1972" s="96"/>
      <c r="C1972" s="86"/>
      <c r="D1972" s="211"/>
      <c r="E1972" s="171"/>
    </row>
    <row r="1973" hidden="1">
      <c r="A1973" s="136"/>
      <c r="B1973" s="96"/>
      <c r="C1973" s="86"/>
      <c r="D1973" s="209"/>
      <c r="E1973" s="215"/>
    </row>
    <row r="1974" hidden="1">
      <c r="A1974" s="136"/>
      <c r="B1974" s="96"/>
      <c r="C1974" s="86"/>
      <c r="D1974" s="211"/>
      <c r="E1974" s="171"/>
    </row>
    <row r="1975" hidden="1">
      <c r="A1975" s="136"/>
      <c r="B1975" s="96"/>
      <c r="C1975" s="86"/>
      <c r="D1975" s="209"/>
      <c r="E1975" s="215"/>
    </row>
    <row r="1976" hidden="1">
      <c r="A1976" s="136"/>
      <c r="B1976" s="96"/>
      <c r="C1976" s="86"/>
      <c r="D1976" s="211"/>
      <c r="E1976" s="171"/>
    </row>
    <row r="1977" hidden="1">
      <c r="A1977" s="136"/>
      <c r="B1977" s="96"/>
      <c r="C1977" s="86"/>
      <c r="D1977" s="209"/>
      <c r="E1977" s="215"/>
    </row>
    <row r="1978" hidden="1">
      <c r="A1978" s="136"/>
      <c r="B1978" s="96"/>
      <c r="C1978" s="86"/>
      <c r="D1978" s="211"/>
      <c r="E1978" s="171"/>
    </row>
    <row r="1979" hidden="1">
      <c r="A1979" s="136"/>
      <c r="B1979" s="96"/>
      <c r="C1979" s="86"/>
      <c r="D1979" s="209"/>
      <c r="E1979" s="215"/>
    </row>
    <row r="1980" hidden="1">
      <c r="A1980" s="136"/>
      <c r="B1980" s="96"/>
      <c r="C1980" s="86"/>
      <c r="D1980" s="211"/>
      <c r="E1980" s="171"/>
    </row>
    <row r="1981" hidden="1">
      <c r="A1981" s="136"/>
      <c r="B1981" s="96"/>
      <c r="C1981" s="86"/>
      <c r="D1981" s="209"/>
      <c r="E1981" s="215"/>
    </row>
    <row r="1982" hidden="1">
      <c r="A1982" s="136"/>
      <c r="B1982" s="96"/>
      <c r="C1982" s="86"/>
      <c r="D1982" s="211"/>
      <c r="E1982" s="171"/>
    </row>
    <row r="1983" hidden="1">
      <c r="A1983" s="136"/>
      <c r="B1983" s="96"/>
      <c r="C1983" s="86"/>
      <c r="D1983" s="209"/>
      <c r="E1983" s="215"/>
    </row>
    <row r="1984" hidden="1">
      <c r="A1984" s="136"/>
      <c r="B1984" s="96"/>
      <c r="C1984" s="86"/>
      <c r="D1984" s="211"/>
      <c r="E1984" s="171"/>
    </row>
    <row r="1985" hidden="1">
      <c r="A1985" s="136"/>
      <c r="B1985" s="96"/>
      <c r="C1985" s="86"/>
      <c r="D1985" s="209"/>
      <c r="E1985" s="215"/>
    </row>
    <row r="1986" hidden="1">
      <c r="A1986" s="136"/>
      <c r="B1986" s="96"/>
      <c r="C1986" s="86"/>
      <c r="D1986" s="211"/>
      <c r="E1986" s="171"/>
    </row>
    <row r="1987" hidden="1">
      <c r="A1987" s="136"/>
      <c r="B1987" s="96"/>
      <c r="C1987" s="86"/>
      <c r="D1987" s="209"/>
      <c r="E1987" s="215"/>
    </row>
    <row r="1988" hidden="1">
      <c r="A1988" s="136"/>
      <c r="B1988" s="96"/>
      <c r="C1988" s="86"/>
      <c r="D1988" s="211"/>
      <c r="E1988" s="171"/>
    </row>
    <row r="1989" hidden="1">
      <c r="A1989" s="136"/>
      <c r="B1989" s="96"/>
      <c r="C1989" s="86"/>
      <c r="D1989" s="209"/>
      <c r="E1989" s="215"/>
    </row>
    <row r="1990" hidden="1">
      <c r="A1990" s="136"/>
      <c r="B1990" s="96"/>
      <c r="C1990" s="86"/>
      <c r="D1990" s="211"/>
      <c r="E1990" s="171"/>
    </row>
    <row r="1991" hidden="1">
      <c r="A1991" s="136"/>
      <c r="B1991" s="96"/>
      <c r="C1991" s="86"/>
      <c r="D1991" s="209"/>
      <c r="E1991" s="215"/>
    </row>
    <row r="1992" hidden="1">
      <c r="A1992" s="136"/>
      <c r="B1992" s="96"/>
      <c r="C1992" s="86"/>
      <c r="D1992" s="211"/>
      <c r="E1992" s="171"/>
    </row>
    <row r="1993" hidden="1">
      <c r="A1993" s="136"/>
      <c r="B1993" s="96"/>
      <c r="C1993" s="86"/>
      <c r="D1993" s="209"/>
      <c r="E1993" s="215"/>
    </row>
    <row r="1994" hidden="1">
      <c r="A1994" s="136"/>
      <c r="B1994" s="96"/>
      <c r="C1994" s="86"/>
      <c r="D1994" s="211"/>
      <c r="E1994" s="171"/>
    </row>
    <row r="1995" hidden="1">
      <c r="A1995" s="136"/>
      <c r="B1995" s="96"/>
      <c r="C1995" s="86"/>
      <c r="D1995" s="209"/>
      <c r="E1995" s="215"/>
    </row>
    <row r="1996" hidden="1">
      <c r="A1996" s="136"/>
      <c r="B1996" s="96"/>
      <c r="C1996" s="86"/>
      <c r="D1996" s="211"/>
      <c r="E1996" s="171"/>
    </row>
    <row r="1997" hidden="1">
      <c r="A1997" s="136"/>
      <c r="B1997" s="96"/>
      <c r="C1997" s="86"/>
      <c r="D1997" s="209"/>
      <c r="E1997" s="215"/>
    </row>
    <row r="1998" hidden="1">
      <c r="A1998" s="136"/>
      <c r="B1998" s="96"/>
      <c r="C1998" s="86"/>
      <c r="D1998" s="211"/>
      <c r="E1998" s="171"/>
    </row>
    <row r="1999" hidden="1">
      <c r="A1999" s="136"/>
      <c r="B1999" s="96"/>
      <c r="C1999" s="86"/>
      <c r="D1999" s="209"/>
      <c r="E1999" s="215"/>
    </row>
    <row r="2000" hidden="1">
      <c r="A2000" s="136"/>
      <c r="B2000" s="96"/>
      <c r="C2000" s="86"/>
      <c r="D2000" s="211"/>
      <c r="E2000" s="171"/>
    </row>
    <row r="2001" hidden="1">
      <c r="A2001" s="136"/>
      <c r="B2001" s="96"/>
      <c r="C2001" s="86"/>
      <c r="D2001" s="209"/>
      <c r="E2001" s="215"/>
    </row>
    <row r="2002" hidden="1">
      <c r="A2002" s="136"/>
      <c r="B2002" s="96"/>
      <c r="C2002" s="86"/>
      <c r="D2002" s="211"/>
      <c r="E2002" s="171"/>
    </row>
    <row r="2003" hidden="1">
      <c r="A2003" s="136"/>
      <c r="B2003" s="96"/>
      <c r="C2003" s="86"/>
      <c r="D2003" s="209"/>
      <c r="E2003" s="215"/>
    </row>
    <row r="2004" hidden="1">
      <c r="A2004" s="136"/>
      <c r="B2004" s="96"/>
      <c r="C2004" s="86"/>
      <c r="D2004" s="211"/>
      <c r="E2004" s="171"/>
    </row>
    <row r="2005" hidden="1">
      <c r="A2005" s="136"/>
      <c r="B2005" s="96"/>
      <c r="C2005" s="86"/>
      <c r="D2005" s="209"/>
      <c r="E2005" s="215"/>
    </row>
    <row r="2006" hidden="1">
      <c r="A2006" s="136"/>
      <c r="B2006" s="96"/>
      <c r="C2006" s="86"/>
      <c r="D2006" s="211"/>
      <c r="E2006" s="171"/>
    </row>
    <row r="2007" hidden="1">
      <c r="A2007" s="136"/>
      <c r="B2007" s="96"/>
      <c r="C2007" s="86"/>
      <c r="D2007" s="209"/>
      <c r="E2007" s="215"/>
    </row>
    <row r="2008" hidden="1">
      <c r="A2008" s="136"/>
      <c r="B2008" s="96"/>
      <c r="C2008" s="86"/>
      <c r="D2008" s="211"/>
      <c r="E2008" s="171"/>
    </row>
    <row r="2009" hidden="1">
      <c r="A2009" s="136"/>
      <c r="B2009" s="96"/>
      <c r="C2009" s="86"/>
      <c r="D2009" s="209"/>
      <c r="E2009" s="215"/>
    </row>
    <row r="2010" hidden="1">
      <c r="A2010" s="136"/>
      <c r="B2010" s="96"/>
      <c r="C2010" s="86"/>
      <c r="D2010" s="211"/>
      <c r="E2010" s="171"/>
    </row>
    <row r="2011" hidden="1">
      <c r="A2011" s="136"/>
      <c r="B2011" s="96"/>
      <c r="C2011" s="86"/>
      <c r="D2011" s="209"/>
      <c r="E2011" s="215"/>
    </row>
    <row r="2012" hidden="1">
      <c r="A2012" s="136"/>
      <c r="B2012" s="96"/>
      <c r="C2012" s="86"/>
      <c r="D2012" s="211"/>
      <c r="E2012" s="171"/>
    </row>
    <row r="2013" hidden="1">
      <c r="A2013" s="136"/>
      <c r="B2013" s="96"/>
      <c r="C2013" s="86"/>
      <c r="D2013" s="209"/>
      <c r="E2013" s="215"/>
    </row>
    <row r="2014" hidden="1">
      <c r="A2014" s="136"/>
      <c r="B2014" s="96"/>
      <c r="C2014" s="86"/>
      <c r="D2014" s="211"/>
      <c r="E2014" s="171"/>
    </row>
    <row r="2015" hidden="1">
      <c r="A2015" s="136"/>
      <c r="B2015" s="96"/>
      <c r="C2015" s="86"/>
      <c r="D2015" s="209"/>
      <c r="E2015" s="215"/>
    </row>
    <row r="2016" hidden="1">
      <c r="A2016" s="136"/>
      <c r="B2016" s="96"/>
      <c r="C2016" s="86"/>
      <c r="D2016" s="211"/>
      <c r="E2016" s="171"/>
    </row>
    <row r="2017" hidden="1">
      <c r="A2017" s="136"/>
      <c r="B2017" s="96"/>
      <c r="C2017" s="86"/>
      <c r="D2017" s="209"/>
      <c r="E2017" s="215"/>
    </row>
    <row r="2018" hidden="1">
      <c r="A2018" s="136"/>
      <c r="B2018" s="96"/>
      <c r="C2018" s="86"/>
      <c r="D2018" s="211"/>
      <c r="E2018" s="171"/>
    </row>
    <row r="2019" hidden="1">
      <c r="A2019" s="136"/>
      <c r="B2019" s="96"/>
      <c r="C2019" s="86"/>
      <c r="D2019" s="209"/>
      <c r="E2019" s="215"/>
    </row>
    <row r="2020" hidden="1">
      <c r="A2020" s="136"/>
      <c r="B2020" s="96"/>
      <c r="C2020" s="86"/>
      <c r="D2020" s="211"/>
      <c r="E2020" s="171"/>
    </row>
    <row r="2021" hidden="1">
      <c r="A2021" s="136"/>
      <c r="B2021" s="96"/>
      <c r="C2021" s="86"/>
      <c r="D2021" s="209"/>
      <c r="E2021" s="215"/>
    </row>
    <row r="2022" hidden="1">
      <c r="A2022" s="136"/>
      <c r="B2022" s="96"/>
      <c r="C2022" s="86"/>
      <c r="D2022" s="211"/>
      <c r="E2022" s="171"/>
    </row>
    <row r="2023" hidden="1">
      <c r="A2023" s="136"/>
      <c r="B2023" s="96"/>
      <c r="C2023" s="86"/>
      <c r="D2023" s="209"/>
      <c r="E2023" s="215"/>
    </row>
    <row r="2024" hidden="1">
      <c r="A2024" s="136"/>
      <c r="B2024" s="96"/>
      <c r="C2024" s="86"/>
      <c r="D2024" s="211"/>
      <c r="E2024" s="171"/>
    </row>
    <row r="2025" hidden="1">
      <c r="A2025" s="136"/>
      <c r="B2025" s="96"/>
      <c r="C2025" s="86"/>
      <c r="D2025" s="209"/>
      <c r="E2025" s="215"/>
    </row>
    <row r="2026" hidden="1">
      <c r="A2026" s="136"/>
      <c r="B2026" s="96"/>
      <c r="C2026" s="86"/>
      <c r="D2026" s="211"/>
      <c r="E2026" s="171"/>
    </row>
    <row r="2027" hidden="1">
      <c r="A2027" s="136"/>
      <c r="B2027" s="96"/>
      <c r="C2027" s="86"/>
      <c r="D2027" s="209"/>
      <c r="E2027" s="215"/>
    </row>
    <row r="2028" hidden="1">
      <c r="A2028" s="136"/>
      <c r="B2028" s="96"/>
      <c r="C2028" s="86"/>
      <c r="D2028" s="211"/>
      <c r="E2028" s="171"/>
    </row>
    <row r="2029" hidden="1">
      <c r="A2029" s="136"/>
      <c r="B2029" s="96"/>
      <c r="C2029" s="86"/>
      <c r="D2029" s="209"/>
      <c r="E2029" s="215"/>
    </row>
    <row r="2030" hidden="1">
      <c r="A2030" s="136"/>
      <c r="B2030" s="96"/>
      <c r="C2030" s="86"/>
      <c r="D2030" s="211"/>
      <c r="E2030" s="171"/>
    </row>
    <row r="2031" hidden="1">
      <c r="A2031" s="136"/>
      <c r="B2031" s="96"/>
      <c r="C2031" s="86"/>
      <c r="D2031" s="209"/>
      <c r="E2031" s="215"/>
    </row>
    <row r="2032" hidden="1">
      <c r="A2032" s="136"/>
      <c r="B2032" s="96"/>
      <c r="C2032" s="86"/>
      <c r="D2032" s="211"/>
      <c r="E2032" s="171"/>
    </row>
    <row r="2033" hidden="1">
      <c r="A2033" s="136"/>
      <c r="B2033" s="96"/>
      <c r="C2033" s="86"/>
      <c r="D2033" s="209"/>
      <c r="E2033" s="215"/>
    </row>
    <row r="2034" hidden="1">
      <c r="A2034" s="136"/>
      <c r="B2034" s="96"/>
      <c r="C2034" s="86"/>
      <c r="D2034" s="211"/>
      <c r="E2034" s="171"/>
    </row>
    <row r="2035" hidden="1">
      <c r="A2035" s="136"/>
      <c r="B2035" s="96"/>
      <c r="C2035" s="86"/>
      <c r="D2035" s="209"/>
      <c r="E2035" s="215"/>
    </row>
    <row r="2036" hidden="1">
      <c r="A2036" s="136"/>
      <c r="B2036" s="96"/>
      <c r="C2036" s="86"/>
      <c r="D2036" s="211"/>
      <c r="E2036" s="171"/>
    </row>
    <row r="2037" hidden="1">
      <c r="A2037" s="136"/>
      <c r="B2037" s="96"/>
      <c r="C2037" s="86"/>
      <c r="D2037" s="209"/>
      <c r="E2037" s="215"/>
    </row>
    <row r="2038" hidden="1">
      <c r="A2038" s="136"/>
      <c r="B2038" s="96"/>
      <c r="C2038" s="86"/>
      <c r="D2038" s="211"/>
      <c r="E2038" s="171"/>
    </row>
    <row r="2039" hidden="1">
      <c r="A2039" s="136"/>
      <c r="B2039" s="96"/>
      <c r="C2039" s="86"/>
      <c r="D2039" s="209"/>
      <c r="E2039" s="215"/>
    </row>
    <row r="2040" hidden="1">
      <c r="A2040" s="136"/>
      <c r="B2040" s="96"/>
      <c r="C2040" s="86"/>
      <c r="D2040" s="211"/>
      <c r="E2040" s="171"/>
    </row>
    <row r="2041" hidden="1">
      <c r="A2041" s="136"/>
      <c r="B2041" s="96"/>
      <c r="C2041" s="86"/>
      <c r="D2041" s="209"/>
      <c r="E2041" s="215"/>
    </row>
    <row r="2042" hidden="1">
      <c r="A2042" s="136"/>
      <c r="B2042" s="96"/>
      <c r="C2042" s="86"/>
      <c r="D2042" s="211"/>
      <c r="E2042" s="171"/>
    </row>
    <row r="2043" hidden="1">
      <c r="A2043" s="136"/>
      <c r="B2043" s="96"/>
      <c r="C2043" s="86"/>
      <c r="D2043" s="209"/>
      <c r="E2043" s="215"/>
    </row>
    <row r="2044" hidden="1">
      <c r="A2044" s="136"/>
      <c r="B2044" s="96"/>
      <c r="C2044" s="86"/>
      <c r="D2044" s="211"/>
      <c r="E2044" s="171"/>
    </row>
    <row r="2045" hidden="1">
      <c r="A2045" s="136"/>
      <c r="B2045" s="96"/>
      <c r="C2045" s="86"/>
      <c r="D2045" s="209"/>
      <c r="E2045" s="215"/>
    </row>
    <row r="2046" hidden="1">
      <c r="A2046" s="136"/>
      <c r="B2046" s="96"/>
      <c r="C2046" s="86"/>
      <c r="D2046" s="211"/>
      <c r="E2046" s="171"/>
    </row>
    <row r="2047" hidden="1">
      <c r="A2047" s="136"/>
      <c r="B2047" s="96"/>
      <c r="C2047" s="86"/>
      <c r="D2047" s="209"/>
      <c r="E2047" s="215"/>
    </row>
    <row r="2048" hidden="1">
      <c r="A2048" s="136"/>
      <c r="B2048" s="96"/>
      <c r="C2048" s="86"/>
      <c r="D2048" s="211"/>
      <c r="E2048" s="171"/>
    </row>
    <row r="2049" hidden="1">
      <c r="A2049" s="136"/>
      <c r="B2049" s="96"/>
      <c r="C2049" s="86"/>
      <c r="D2049" s="209"/>
      <c r="E2049" s="215"/>
    </row>
    <row r="2050" hidden="1">
      <c r="A2050" s="136"/>
      <c r="B2050" s="96"/>
      <c r="C2050" s="86"/>
      <c r="D2050" s="211"/>
      <c r="E2050" s="171"/>
    </row>
    <row r="2051" hidden="1">
      <c r="A2051" s="136"/>
      <c r="B2051" s="96"/>
      <c r="C2051" s="86"/>
      <c r="D2051" s="209"/>
      <c r="E2051" s="215"/>
    </row>
    <row r="2052" hidden="1">
      <c r="A2052" s="136"/>
      <c r="B2052" s="96"/>
      <c r="C2052" s="86"/>
      <c r="D2052" s="211"/>
      <c r="E2052" s="171"/>
    </row>
    <row r="2053" hidden="1">
      <c r="A2053" s="136"/>
      <c r="B2053" s="96"/>
      <c r="C2053" s="86"/>
      <c r="D2053" s="209"/>
      <c r="E2053" s="215"/>
    </row>
    <row r="2054" hidden="1">
      <c r="A2054" s="136"/>
      <c r="B2054" s="96"/>
      <c r="C2054" s="86"/>
      <c r="D2054" s="211"/>
      <c r="E2054" s="171"/>
    </row>
    <row r="2055" hidden="1">
      <c r="A2055" s="136"/>
      <c r="B2055" s="96"/>
      <c r="C2055" s="86"/>
      <c r="D2055" s="209"/>
      <c r="E2055" s="215"/>
    </row>
    <row r="2056" hidden="1">
      <c r="A2056" s="136"/>
      <c r="B2056" s="96"/>
      <c r="C2056" s="86"/>
      <c r="D2056" s="211"/>
      <c r="E2056" s="171"/>
    </row>
    <row r="2057" hidden="1">
      <c r="A2057" s="136"/>
      <c r="B2057" s="96"/>
      <c r="C2057" s="86"/>
      <c r="D2057" s="209"/>
      <c r="E2057" s="215"/>
    </row>
    <row r="2058" hidden="1">
      <c r="A2058" s="136"/>
      <c r="B2058" s="96"/>
      <c r="C2058" s="86"/>
      <c r="D2058" s="211"/>
      <c r="E2058" s="171"/>
    </row>
    <row r="2059" hidden="1">
      <c r="A2059" s="136"/>
      <c r="B2059" s="96"/>
      <c r="C2059" s="86"/>
      <c r="D2059" s="209"/>
      <c r="E2059" s="215"/>
    </row>
    <row r="2060" hidden="1">
      <c r="A2060" s="136"/>
      <c r="B2060" s="96"/>
      <c r="C2060" s="86"/>
      <c r="D2060" s="211"/>
      <c r="E2060" s="171"/>
    </row>
    <row r="2061" hidden="1">
      <c r="A2061" s="136"/>
      <c r="B2061" s="96"/>
      <c r="C2061" s="86"/>
      <c r="D2061" s="209"/>
      <c r="E2061" s="215"/>
    </row>
    <row r="2062" hidden="1">
      <c r="A2062" s="136"/>
      <c r="B2062" s="96"/>
      <c r="C2062" s="86"/>
      <c r="D2062" s="211"/>
      <c r="E2062" s="171"/>
    </row>
    <row r="2063" hidden="1">
      <c r="A2063" s="136"/>
      <c r="B2063" s="96"/>
      <c r="C2063" s="86"/>
      <c r="D2063" s="209"/>
      <c r="E2063" s="215"/>
    </row>
    <row r="2064" hidden="1">
      <c r="A2064" s="136"/>
      <c r="B2064" s="96"/>
      <c r="C2064" s="86"/>
      <c r="D2064" s="211"/>
      <c r="E2064" s="171"/>
    </row>
    <row r="2065" hidden="1">
      <c r="A2065" s="136"/>
      <c r="B2065" s="96"/>
      <c r="C2065" s="86"/>
      <c r="D2065" s="209"/>
      <c r="E2065" s="215"/>
    </row>
    <row r="2066" hidden="1">
      <c r="A2066" s="136"/>
      <c r="B2066" s="96"/>
      <c r="C2066" s="86"/>
      <c r="D2066" s="211"/>
      <c r="E2066" s="171"/>
    </row>
    <row r="2067" hidden="1">
      <c r="A2067" s="136"/>
      <c r="B2067" s="96"/>
      <c r="C2067" s="86"/>
      <c r="D2067" s="209"/>
      <c r="E2067" s="215"/>
    </row>
    <row r="2068" hidden="1">
      <c r="A2068" s="136"/>
      <c r="B2068" s="96"/>
      <c r="C2068" s="86"/>
      <c r="D2068" s="211"/>
      <c r="E2068" s="171"/>
    </row>
    <row r="2069" hidden="1">
      <c r="A2069" s="136"/>
      <c r="B2069" s="96"/>
      <c r="C2069" s="86"/>
      <c r="D2069" s="209"/>
      <c r="E2069" s="215"/>
    </row>
    <row r="2070" hidden="1">
      <c r="A2070" s="136"/>
      <c r="B2070" s="96"/>
      <c r="C2070" s="86"/>
      <c r="D2070" s="211"/>
      <c r="E2070" s="171"/>
    </row>
    <row r="2071" hidden="1">
      <c r="A2071" s="136"/>
      <c r="B2071" s="96"/>
      <c r="C2071" s="86"/>
      <c r="D2071" s="209"/>
      <c r="E2071" s="215"/>
    </row>
    <row r="2072" hidden="1">
      <c r="A2072" s="136"/>
      <c r="B2072" s="96"/>
      <c r="C2072" s="86"/>
      <c r="D2072" s="211"/>
      <c r="E2072" s="171"/>
    </row>
    <row r="2073" hidden="1">
      <c r="A2073" s="136"/>
      <c r="B2073" s="96"/>
      <c r="C2073" s="86"/>
      <c r="D2073" s="209"/>
      <c r="E2073" s="215"/>
    </row>
    <row r="2074" hidden="1">
      <c r="A2074" s="136"/>
      <c r="B2074" s="96"/>
      <c r="C2074" s="86"/>
      <c r="D2074" s="211"/>
      <c r="E2074" s="171"/>
    </row>
    <row r="2075" hidden="1">
      <c r="A2075" s="136"/>
      <c r="B2075" s="96"/>
      <c r="C2075" s="86"/>
      <c r="D2075" s="209"/>
      <c r="E2075" s="215"/>
    </row>
    <row r="2076" hidden="1">
      <c r="A2076" s="136"/>
      <c r="B2076" s="96"/>
      <c r="C2076" s="86"/>
      <c r="D2076" s="211"/>
      <c r="E2076" s="171"/>
    </row>
    <row r="2077" hidden="1">
      <c r="A2077" s="136"/>
      <c r="B2077" s="96"/>
      <c r="C2077" s="86"/>
      <c r="D2077" s="209"/>
      <c r="E2077" s="215"/>
    </row>
    <row r="2078" hidden="1">
      <c r="A2078" s="136"/>
      <c r="B2078" s="96"/>
      <c r="C2078" s="86"/>
      <c r="D2078" s="211"/>
      <c r="E2078" s="171"/>
    </row>
    <row r="2079" hidden="1">
      <c r="A2079" s="136"/>
      <c r="B2079" s="96"/>
      <c r="C2079" s="86"/>
      <c r="D2079" s="209"/>
      <c r="E2079" s="215"/>
    </row>
    <row r="2080" hidden="1">
      <c r="A2080" s="136"/>
      <c r="B2080" s="96"/>
      <c r="C2080" s="86"/>
      <c r="D2080" s="211"/>
      <c r="E2080" s="171"/>
    </row>
    <row r="2081" hidden="1">
      <c r="A2081" s="136"/>
      <c r="B2081" s="96"/>
      <c r="C2081" s="86"/>
      <c r="D2081" s="209"/>
      <c r="E2081" s="215"/>
    </row>
    <row r="2082" hidden="1">
      <c r="A2082" s="136"/>
      <c r="B2082" s="96"/>
      <c r="C2082" s="86"/>
      <c r="D2082" s="211"/>
      <c r="E2082" s="171"/>
    </row>
    <row r="2083" hidden="1">
      <c r="A2083" s="136"/>
      <c r="B2083" s="96"/>
      <c r="C2083" s="86"/>
      <c r="D2083" s="209"/>
      <c r="E2083" s="215"/>
    </row>
    <row r="2084" hidden="1">
      <c r="A2084" s="136"/>
      <c r="B2084" s="96"/>
      <c r="C2084" s="86"/>
      <c r="D2084" s="211"/>
      <c r="E2084" s="171"/>
    </row>
    <row r="2085" hidden="1">
      <c r="A2085" s="136"/>
      <c r="B2085" s="96"/>
      <c r="C2085" s="86"/>
      <c r="D2085" s="209"/>
      <c r="E2085" s="215"/>
    </row>
    <row r="2086" hidden="1">
      <c r="A2086" s="136"/>
      <c r="B2086" s="96"/>
      <c r="C2086" s="86"/>
      <c r="D2086" s="211"/>
      <c r="E2086" s="171"/>
    </row>
    <row r="2087" hidden="1">
      <c r="A2087" s="136"/>
      <c r="B2087" s="96"/>
      <c r="C2087" s="86"/>
      <c r="D2087" s="209"/>
      <c r="E2087" s="215"/>
    </row>
    <row r="2088" hidden="1">
      <c r="A2088" s="136"/>
      <c r="B2088" s="96"/>
      <c r="C2088" s="86"/>
      <c r="D2088" s="211"/>
      <c r="E2088" s="171"/>
    </row>
    <row r="2089" hidden="1">
      <c r="A2089" s="136"/>
      <c r="B2089" s="96"/>
      <c r="C2089" s="86"/>
      <c r="D2089" s="209"/>
      <c r="E2089" s="215"/>
    </row>
    <row r="2090" hidden="1">
      <c r="A2090" s="136"/>
      <c r="B2090" s="96"/>
      <c r="C2090" s="86"/>
      <c r="D2090" s="211"/>
      <c r="E2090" s="171"/>
    </row>
    <row r="2091" hidden="1">
      <c r="A2091" s="136"/>
      <c r="B2091" s="96"/>
      <c r="C2091" s="86"/>
      <c r="D2091" s="209"/>
      <c r="E2091" s="215"/>
    </row>
    <row r="2092" hidden="1">
      <c r="A2092" s="136"/>
      <c r="B2092" s="96"/>
      <c r="C2092" s="86"/>
      <c r="D2092" s="211"/>
      <c r="E2092" s="171"/>
    </row>
    <row r="2093" hidden="1">
      <c r="A2093" s="136"/>
      <c r="B2093" s="96"/>
      <c r="C2093" s="86"/>
      <c r="D2093" s="209"/>
      <c r="E2093" s="215"/>
    </row>
    <row r="2094" hidden="1">
      <c r="A2094" s="136"/>
      <c r="B2094" s="96"/>
      <c r="C2094" s="86"/>
      <c r="D2094" s="211"/>
      <c r="E2094" s="171"/>
    </row>
    <row r="2095" hidden="1">
      <c r="A2095" s="136"/>
      <c r="B2095" s="96"/>
      <c r="C2095" s="86"/>
      <c r="D2095" s="209"/>
      <c r="E2095" s="215"/>
    </row>
    <row r="2096" hidden="1">
      <c r="A2096" s="136"/>
      <c r="B2096" s="96"/>
      <c r="C2096" s="86"/>
      <c r="D2096" s="211"/>
      <c r="E2096" s="171"/>
    </row>
    <row r="2097" hidden="1">
      <c r="A2097" s="136"/>
      <c r="B2097" s="96"/>
      <c r="C2097" s="86"/>
      <c r="D2097" s="209"/>
      <c r="E2097" s="215"/>
    </row>
    <row r="2098" hidden="1">
      <c r="A2098" s="136"/>
      <c r="B2098" s="96"/>
      <c r="C2098" s="86"/>
      <c r="D2098" s="211"/>
      <c r="E2098" s="171"/>
    </row>
    <row r="2099" hidden="1">
      <c r="A2099" s="136"/>
      <c r="B2099" s="96"/>
      <c r="C2099" s="86"/>
      <c r="D2099" s="209"/>
      <c r="E2099" s="215"/>
    </row>
    <row r="2100" hidden="1">
      <c r="A2100" s="136"/>
      <c r="B2100" s="96"/>
      <c r="C2100" s="86"/>
      <c r="D2100" s="211"/>
      <c r="E2100" s="171"/>
    </row>
    <row r="2101" hidden="1">
      <c r="A2101" s="136"/>
      <c r="B2101" s="96"/>
      <c r="C2101" s="86"/>
      <c r="D2101" s="209"/>
      <c r="E2101" s="215"/>
    </row>
    <row r="2102" hidden="1">
      <c r="A2102" s="136"/>
      <c r="B2102" s="96"/>
      <c r="C2102" s="86"/>
      <c r="D2102" s="211"/>
      <c r="E2102" s="171"/>
    </row>
    <row r="2103" hidden="1">
      <c r="A2103" s="136"/>
      <c r="B2103" s="96"/>
      <c r="C2103" s="86"/>
      <c r="D2103" s="209"/>
      <c r="E2103" s="215"/>
    </row>
    <row r="2104" hidden="1">
      <c r="A2104" s="136"/>
      <c r="B2104" s="96"/>
      <c r="C2104" s="86"/>
      <c r="D2104" s="211"/>
      <c r="E2104" s="171"/>
    </row>
    <row r="2105" hidden="1">
      <c r="A2105" s="136"/>
      <c r="B2105" s="96"/>
      <c r="C2105" s="86"/>
      <c r="D2105" s="209"/>
      <c r="E2105" s="215"/>
    </row>
    <row r="2106" hidden="1">
      <c r="A2106" s="136"/>
      <c r="B2106" s="96"/>
      <c r="C2106" s="86"/>
      <c r="D2106" s="211"/>
      <c r="E2106" s="171"/>
    </row>
    <row r="2107" hidden="1">
      <c r="A2107" s="136"/>
      <c r="B2107" s="96"/>
      <c r="C2107" s="86"/>
      <c r="D2107" s="209"/>
      <c r="E2107" s="215"/>
    </row>
    <row r="2108" hidden="1">
      <c r="A2108" s="136"/>
      <c r="B2108" s="96"/>
      <c r="C2108" s="86"/>
      <c r="D2108" s="211"/>
      <c r="E2108" s="171"/>
    </row>
    <row r="2109" hidden="1">
      <c r="A2109" s="136"/>
      <c r="B2109" s="96"/>
      <c r="C2109" s="86"/>
      <c r="D2109" s="209"/>
      <c r="E2109" s="215"/>
    </row>
    <row r="2110" hidden="1">
      <c r="A2110" s="136"/>
      <c r="B2110" s="96"/>
      <c r="C2110" s="86"/>
      <c r="D2110" s="211"/>
      <c r="E2110" s="171"/>
    </row>
    <row r="2111" hidden="1">
      <c r="A2111" s="136"/>
      <c r="B2111" s="96"/>
      <c r="C2111" s="86"/>
      <c r="D2111" s="209"/>
      <c r="E2111" s="215"/>
    </row>
    <row r="2112" hidden="1">
      <c r="A2112" s="136"/>
      <c r="B2112" s="96"/>
      <c r="C2112" s="86"/>
      <c r="D2112" s="211"/>
      <c r="E2112" s="171"/>
    </row>
    <row r="2113" hidden="1">
      <c r="A2113" s="136"/>
      <c r="B2113" s="96"/>
      <c r="C2113" s="86"/>
      <c r="D2113" s="209"/>
      <c r="E2113" s="215"/>
    </row>
    <row r="2114" hidden="1">
      <c r="A2114" s="136"/>
      <c r="B2114" s="96"/>
      <c r="C2114" s="86"/>
      <c r="D2114" s="211"/>
      <c r="E2114" s="171"/>
    </row>
    <row r="2115" hidden="1">
      <c r="A2115" s="136"/>
      <c r="B2115" s="96"/>
      <c r="C2115" s="86"/>
      <c r="D2115" s="209"/>
      <c r="E2115" s="215"/>
    </row>
    <row r="2116" hidden="1">
      <c r="A2116" s="136"/>
      <c r="B2116" s="96"/>
      <c r="C2116" s="86"/>
      <c r="D2116" s="211"/>
      <c r="E2116" s="171"/>
    </row>
    <row r="2117" hidden="1">
      <c r="A2117" s="136"/>
      <c r="B2117" s="96"/>
      <c r="C2117" s="86"/>
      <c r="D2117" s="209"/>
      <c r="E2117" s="215"/>
    </row>
    <row r="2118" hidden="1">
      <c r="A2118" s="136"/>
      <c r="B2118" s="96"/>
      <c r="C2118" s="86"/>
      <c r="D2118" s="211"/>
      <c r="E2118" s="171"/>
    </row>
    <row r="2119" hidden="1">
      <c r="A2119" s="136"/>
      <c r="B2119" s="96"/>
      <c r="C2119" s="86"/>
      <c r="D2119" s="209"/>
      <c r="E2119" s="215"/>
    </row>
    <row r="2120" hidden="1">
      <c r="A2120" s="136"/>
      <c r="B2120" s="96"/>
      <c r="C2120" s="86"/>
      <c r="D2120" s="211"/>
      <c r="E2120" s="171"/>
    </row>
    <row r="2121" hidden="1">
      <c r="A2121" s="136"/>
      <c r="B2121" s="96"/>
      <c r="C2121" s="86"/>
      <c r="D2121" s="209"/>
      <c r="E2121" s="215"/>
    </row>
    <row r="2122" hidden="1">
      <c r="A2122" s="136"/>
      <c r="B2122" s="96"/>
      <c r="C2122" s="86"/>
      <c r="D2122" s="211"/>
      <c r="E2122" s="171"/>
    </row>
    <row r="2123" hidden="1">
      <c r="A2123" s="136"/>
      <c r="B2123" s="96"/>
      <c r="C2123" s="86"/>
      <c r="D2123" s="209"/>
      <c r="E2123" s="215"/>
    </row>
    <row r="2124" hidden="1">
      <c r="A2124" s="136"/>
      <c r="B2124" s="96"/>
      <c r="C2124" s="86"/>
      <c r="D2124" s="211"/>
      <c r="E2124" s="171"/>
    </row>
    <row r="2125" hidden="1">
      <c r="A2125" s="136"/>
      <c r="B2125" s="96"/>
      <c r="C2125" s="86"/>
      <c r="D2125" s="209"/>
      <c r="E2125" s="215"/>
    </row>
    <row r="2126" hidden="1">
      <c r="A2126" s="136"/>
      <c r="B2126" s="96"/>
      <c r="C2126" s="86"/>
      <c r="D2126" s="211"/>
      <c r="E2126" s="171"/>
    </row>
    <row r="2127" hidden="1">
      <c r="A2127" s="136"/>
      <c r="B2127" s="96"/>
      <c r="C2127" s="86"/>
      <c r="D2127" s="209"/>
      <c r="E2127" s="215"/>
    </row>
    <row r="2128" hidden="1">
      <c r="A2128" s="136"/>
      <c r="B2128" s="96"/>
      <c r="C2128" s="86"/>
      <c r="D2128" s="211"/>
      <c r="E2128" s="171"/>
    </row>
    <row r="2129" hidden="1">
      <c r="A2129" s="136"/>
      <c r="B2129" s="96"/>
      <c r="C2129" s="86"/>
      <c r="D2129" s="209"/>
      <c r="E2129" s="215"/>
    </row>
    <row r="2130" hidden="1">
      <c r="A2130" s="136"/>
      <c r="B2130" s="96"/>
      <c r="C2130" s="86"/>
      <c r="D2130" s="211"/>
      <c r="E2130" s="171"/>
    </row>
    <row r="2131" hidden="1">
      <c r="A2131" s="136"/>
      <c r="B2131" s="96"/>
      <c r="C2131" s="86"/>
      <c r="D2131" s="209"/>
      <c r="E2131" s="215"/>
    </row>
    <row r="2132" hidden="1">
      <c r="A2132" s="136"/>
      <c r="B2132" s="96"/>
      <c r="C2132" s="86"/>
      <c r="D2132" s="211"/>
      <c r="E2132" s="171"/>
    </row>
    <row r="2133" hidden="1">
      <c r="A2133" s="136"/>
      <c r="B2133" s="96"/>
      <c r="C2133" s="86"/>
      <c r="D2133" s="209"/>
      <c r="E2133" s="215"/>
    </row>
    <row r="2134" hidden="1">
      <c r="A2134" s="136"/>
      <c r="B2134" s="96"/>
      <c r="C2134" s="86"/>
      <c r="D2134" s="211"/>
      <c r="E2134" s="171"/>
    </row>
    <row r="2135" hidden="1">
      <c r="A2135" s="136"/>
      <c r="B2135" s="96"/>
      <c r="C2135" s="86"/>
      <c r="D2135" s="209"/>
      <c r="E2135" s="215"/>
    </row>
    <row r="2136" hidden="1">
      <c r="A2136" s="136"/>
      <c r="B2136" s="96"/>
      <c r="C2136" s="86"/>
      <c r="D2136" s="211"/>
      <c r="E2136" s="171"/>
    </row>
    <row r="2137" hidden="1">
      <c r="A2137" s="136"/>
      <c r="B2137" s="96"/>
      <c r="C2137" s="86"/>
      <c r="D2137" s="209"/>
      <c r="E2137" s="215"/>
    </row>
    <row r="2138" hidden="1">
      <c r="A2138" s="136"/>
      <c r="B2138" s="96"/>
      <c r="C2138" s="86"/>
      <c r="D2138" s="211"/>
      <c r="E2138" s="171"/>
    </row>
    <row r="2139" hidden="1">
      <c r="A2139" s="136"/>
      <c r="B2139" s="96"/>
      <c r="C2139" s="86"/>
      <c r="D2139" s="209"/>
      <c r="E2139" s="215"/>
    </row>
    <row r="2140" hidden="1">
      <c r="A2140" s="136"/>
      <c r="B2140" s="96"/>
      <c r="C2140" s="86"/>
      <c r="D2140" s="211"/>
      <c r="E2140" s="171"/>
    </row>
    <row r="2141" hidden="1">
      <c r="A2141" s="136"/>
      <c r="B2141" s="96"/>
      <c r="C2141" s="86"/>
      <c r="D2141" s="209"/>
      <c r="E2141" s="215"/>
    </row>
    <row r="2142" hidden="1">
      <c r="A2142" s="136"/>
      <c r="B2142" s="96"/>
      <c r="C2142" s="86"/>
      <c r="D2142" s="211"/>
      <c r="E2142" s="171"/>
    </row>
    <row r="2143" hidden="1">
      <c r="A2143" s="136"/>
      <c r="B2143" s="96"/>
      <c r="C2143" s="86"/>
      <c r="D2143" s="209"/>
      <c r="E2143" s="215"/>
    </row>
    <row r="2144" hidden="1">
      <c r="A2144" s="136"/>
      <c r="B2144" s="96"/>
      <c r="C2144" s="86"/>
      <c r="D2144" s="211"/>
      <c r="E2144" s="171"/>
    </row>
    <row r="2145" hidden="1">
      <c r="A2145" s="136"/>
      <c r="B2145" s="96"/>
      <c r="C2145" s="86"/>
      <c r="D2145" s="209"/>
      <c r="E2145" s="215"/>
    </row>
    <row r="2146" hidden="1">
      <c r="A2146" s="136"/>
      <c r="B2146" s="96"/>
      <c r="C2146" s="86"/>
      <c r="D2146" s="211"/>
      <c r="E2146" s="171"/>
    </row>
    <row r="2147" hidden="1">
      <c r="A2147" s="136"/>
      <c r="B2147" s="96"/>
      <c r="C2147" s="86"/>
      <c r="D2147" s="209"/>
      <c r="E2147" s="215"/>
    </row>
    <row r="2148" hidden="1">
      <c r="A2148" s="136"/>
      <c r="B2148" s="96"/>
      <c r="C2148" s="86"/>
      <c r="D2148" s="211"/>
      <c r="E2148" s="171"/>
    </row>
    <row r="2149" hidden="1">
      <c r="A2149" s="136"/>
      <c r="B2149" s="96"/>
      <c r="C2149" s="86"/>
      <c r="D2149" s="209"/>
      <c r="E2149" s="215"/>
    </row>
    <row r="2150" hidden="1">
      <c r="A2150" s="136"/>
      <c r="B2150" s="96"/>
      <c r="C2150" s="86"/>
      <c r="D2150" s="211"/>
      <c r="E2150" s="171"/>
    </row>
    <row r="2151" hidden="1">
      <c r="A2151" s="136"/>
      <c r="B2151" s="96"/>
      <c r="C2151" s="86"/>
      <c r="D2151" s="209"/>
      <c r="E2151" s="215"/>
    </row>
    <row r="2152" hidden="1">
      <c r="A2152" s="136"/>
      <c r="B2152" s="96"/>
      <c r="C2152" s="86"/>
      <c r="D2152" s="211"/>
      <c r="E2152" s="171"/>
    </row>
    <row r="2153" hidden="1">
      <c r="A2153" s="136"/>
      <c r="B2153" s="96"/>
      <c r="C2153" s="86"/>
      <c r="D2153" s="209"/>
      <c r="E2153" s="215"/>
    </row>
    <row r="2154" hidden="1">
      <c r="A2154" s="136"/>
      <c r="B2154" s="96"/>
      <c r="C2154" s="86"/>
      <c r="D2154" s="211"/>
      <c r="E2154" s="171"/>
    </row>
    <row r="2155" hidden="1">
      <c r="A2155" s="136"/>
      <c r="B2155" s="96"/>
      <c r="C2155" s="86"/>
      <c r="D2155" s="209"/>
      <c r="E2155" s="215"/>
    </row>
    <row r="2156" hidden="1">
      <c r="A2156" s="136"/>
      <c r="B2156" s="96"/>
      <c r="C2156" s="86"/>
      <c r="D2156" s="211"/>
      <c r="E2156" s="171"/>
    </row>
    <row r="2157" hidden="1">
      <c r="A2157" s="136"/>
      <c r="B2157" s="96"/>
      <c r="C2157" s="86"/>
      <c r="D2157" s="209"/>
      <c r="E2157" s="215"/>
    </row>
    <row r="2158" hidden="1">
      <c r="A2158" s="136"/>
      <c r="B2158" s="96"/>
      <c r="C2158" s="86"/>
      <c r="D2158" s="211"/>
      <c r="E2158" s="171"/>
    </row>
    <row r="2159" hidden="1">
      <c r="A2159" s="136"/>
      <c r="B2159" s="96"/>
      <c r="C2159" s="86"/>
      <c r="D2159" s="209"/>
      <c r="E2159" s="215"/>
    </row>
    <row r="2160" hidden="1">
      <c r="A2160" s="136"/>
      <c r="B2160" s="96"/>
      <c r="C2160" s="86"/>
      <c r="D2160" s="211"/>
      <c r="E2160" s="171"/>
    </row>
    <row r="2161" hidden="1">
      <c r="A2161" s="136"/>
      <c r="B2161" s="96"/>
      <c r="C2161" s="86"/>
      <c r="D2161" s="209"/>
      <c r="E2161" s="215"/>
    </row>
    <row r="2162" hidden="1">
      <c r="A2162" s="136"/>
      <c r="B2162" s="96"/>
      <c r="C2162" s="86"/>
      <c r="D2162" s="211"/>
      <c r="E2162" s="171"/>
    </row>
    <row r="2163" hidden="1">
      <c r="A2163" s="136"/>
      <c r="B2163" s="96"/>
      <c r="C2163" s="86"/>
      <c r="D2163" s="209"/>
      <c r="E2163" s="215"/>
    </row>
    <row r="2164" hidden="1">
      <c r="A2164" s="136"/>
      <c r="B2164" s="96"/>
      <c r="C2164" s="86"/>
      <c r="D2164" s="211"/>
      <c r="E2164" s="171"/>
    </row>
    <row r="2165" hidden="1">
      <c r="A2165" s="136"/>
      <c r="B2165" s="96"/>
      <c r="C2165" s="86"/>
      <c r="D2165" s="209"/>
      <c r="E2165" s="215"/>
    </row>
    <row r="2166" hidden="1">
      <c r="A2166" s="136"/>
      <c r="B2166" s="96"/>
      <c r="C2166" s="86"/>
      <c r="D2166" s="211"/>
      <c r="E2166" s="171"/>
    </row>
    <row r="2167" hidden="1">
      <c r="A2167" s="136"/>
      <c r="B2167" s="96"/>
      <c r="C2167" s="86"/>
      <c r="D2167" s="209"/>
      <c r="E2167" s="215"/>
    </row>
    <row r="2168" hidden="1">
      <c r="A2168" s="136"/>
      <c r="B2168" s="96"/>
      <c r="C2168" s="86"/>
      <c r="D2168" s="211"/>
      <c r="E2168" s="171"/>
    </row>
    <row r="2169" hidden="1">
      <c r="A2169" s="136"/>
      <c r="B2169" s="96"/>
      <c r="C2169" s="86"/>
      <c r="D2169" s="209"/>
      <c r="E2169" s="215"/>
    </row>
    <row r="2170" hidden="1">
      <c r="A2170" s="136"/>
      <c r="B2170" s="96"/>
      <c r="C2170" s="86"/>
      <c r="D2170" s="211"/>
      <c r="E2170" s="171"/>
    </row>
    <row r="2171" hidden="1">
      <c r="A2171" s="136"/>
      <c r="B2171" s="96"/>
      <c r="C2171" s="86"/>
      <c r="D2171" s="209"/>
      <c r="E2171" s="215"/>
    </row>
    <row r="2172" hidden="1">
      <c r="A2172" s="136"/>
      <c r="B2172" s="96"/>
      <c r="C2172" s="86"/>
      <c r="D2172" s="211"/>
      <c r="E2172" s="171"/>
    </row>
    <row r="2173" hidden="1">
      <c r="A2173" s="136"/>
      <c r="B2173" s="96"/>
      <c r="C2173" s="86"/>
      <c r="D2173" s="209"/>
      <c r="E2173" s="215"/>
    </row>
    <row r="2174" hidden="1">
      <c r="A2174" s="136"/>
      <c r="B2174" s="96"/>
      <c r="C2174" s="86"/>
      <c r="D2174" s="211"/>
      <c r="E2174" s="171"/>
    </row>
    <row r="2175" hidden="1">
      <c r="A2175" s="136"/>
      <c r="B2175" s="96"/>
      <c r="C2175" s="86"/>
      <c r="D2175" s="209"/>
      <c r="E2175" s="215"/>
    </row>
    <row r="2176" hidden="1">
      <c r="A2176" s="136"/>
      <c r="B2176" s="96"/>
      <c r="C2176" s="86"/>
      <c r="D2176" s="211"/>
      <c r="E2176" s="171"/>
    </row>
    <row r="2177" hidden="1">
      <c r="A2177" s="136"/>
      <c r="B2177" s="96"/>
      <c r="C2177" s="86"/>
      <c r="D2177" s="209"/>
      <c r="E2177" s="215"/>
    </row>
    <row r="2178" hidden="1">
      <c r="A2178" s="136"/>
      <c r="B2178" s="96"/>
      <c r="C2178" s="86"/>
      <c r="D2178" s="211"/>
      <c r="E2178" s="171"/>
    </row>
    <row r="2179" hidden="1">
      <c r="A2179" s="136"/>
      <c r="B2179" s="96"/>
      <c r="C2179" s="86"/>
      <c r="D2179" s="209"/>
      <c r="E2179" s="215"/>
    </row>
    <row r="2180" hidden="1">
      <c r="A2180" s="136"/>
      <c r="B2180" s="96"/>
      <c r="C2180" s="86"/>
      <c r="D2180" s="211"/>
      <c r="E2180" s="171"/>
    </row>
    <row r="2181" hidden="1">
      <c r="A2181" s="136"/>
      <c r="B2181" s="96"/>
      <c r="C2181" s="86"/>
      <c r="D2181" s="209"/>
      <c r="E2181" s="215"/>
    </row>
    <row r="2182" hidden="1">
      <c r="A2182" s="136"/>
      <c r="B2182" s="96"/>
      <c r="C2182" s="86"/>
      <c r="D2182" s="211"/>
      <c r="E2182" s="171"/>
    </row>
    <row r="2183" hidden="1">
      <c r="A2183" s="136"/>
      <c r="B2183" s="96"/>
      <c r="C2183" s="86"/>
      <c r="D2183" s="209"/>
      <c r="E2183" s="215"/>
    </row>
    <row r="2184" hidden="1">
      <c r="A2184" s="136"/>
      <c r="B2184" s="96"/>
      <c r="C2184" s="86"/>
      <c r="D2184" s="211"/>
      <c r="E2184" s="171"/>
    </row>
    <row r="2185" hidden="1">
      <c r="A2185" s="136"/>
      <c r="B2185" s="96"/>
      <c r="C2185" s="86"/>
      <c r="D2185" s="209"/>
      <c r="E2185" s="215"/>
    </row>
    <row r="2186" hidden="1">
      <c r="A2186" s="136"/>
      <c r="B2186" s="96"/>
      <c r="C2186" s="86"/>
      <c r="D2186" s="211"/>
      <c r="E2186" s="171"/>
    </row>
    <row r="2187" hidden="1">
      <c r="A2187" s="136"/>
      <c r="B2187" s="96"/>
      <c r="C2187" s="86"/>
      <c r="D2187" s="209"/>
      <c r="E2187" s="215"/>
    </row>
    <row r="2188" hidden="1">
      <c r="A2188" s="136"/>
      <c r="B2188" s="96"/>
      <c r="C2188" s="86"/>
      <c r="D2188" s="211"/>
      <c r="E2188" s="171"/>
    </row>
    <row r="2189" hidden="1">
      <c r="A2189" s="136"/>
      <c r="B2189" s="96"/>
      <c r="C2189" s="86"/>
      <c r="D2189" s="209"/>
      <c r="E2189" s="215"/>
    </row>
    <row r="2190" hidden="1">
      <c r="A2190" s="136"/>
      <c r="B2190" s="96"/>
      <c r="C2190" s="86"/>
      <c r="D2190" s="211"/>
      <c r="E2190" s="171"/>
    </row>
    <row r="2191" hidden="1">
      <c r="A2191" s="136"/>
      <c r="B2191" s="96"/>
      <c r="C2191" s="86"/>
      <c r="D2191" s="209"/>
      <c r="E2191" s="215"/>
    </row>
    <row r="2192" hidden="1">
      <c r="A2192" s="136"/>
      <c r="B2192" s="96"/>
      <c r="C2192" s="86"/>
      <c r="D2192" s="211"/>
      <c r="E2192" s="171"/>
    </row>
    <row r="2193" hidden="1">
      <c r="A2193" s="136"/>
      <c r="B2193" s="96"/>
      <c r="C2193" s="86"/>
      <c r="D2193" s="209"/>
      <c r="E2193" s="215"/>
    </row>
    <row r="2194" hidden="1">
      <c r="A2194" s="136"/>
      <c r="B2194" s="96"/>
      <c r="C2194" s="86"/>
      <c r="D2194" s="211"/>
      <c r="E2194" s="171"/>
    </row>
    <row r="2195" hidden="1">
      <c r="A2195" s="136"/>
      <c r="B2195" s="96"/>
      <c r="C2195" s="86"/>
      <c r="D2195" s="209"/>
      <c r="E2195" s="215"/>
    </row>
    <row r="2196" hidden="1">
      <c r="A2196" s="136"/>
      <c r="B2196" s="96"/>
      <c r="C2196" s="86"/>
      <c r="D2196" s="211"/>
      <c r="E2196" s="171"/>
    </row>
    <row r="2197" hidden="1">
      <c r="A2197" s="136"/>
      <c r="B2197" s="96"/>
      <c r="C2197" s="86"/>
      <c r="D2197" s="209"/>
      <c r="E2197" s="215"/>
    </row>
    <row r="2198" hidden="1">
      <c r="A2198" s="136"/>
      <c r="B2198" s="96"/>
      <c r="C2198" s="86"/>
      <c r="D2198" s="211"/>
      <c r="E2198" s="171"/>
    </row>
    <row r="2199" hidden="1">
      <c r="A2199" s="136"/>
      <c r="B2199" s="96"/>
      <c r="C2199" s="86"/>
      <c r="D2199" s="209"/>
      <c r="E2199" s="215"/>
    </row>
    <row r="2200" hidden="1">
      <c r="A2200" s="136"/>
      <c r="B2200" s="96"/>
      <c r="C2200" s="86"/>
      <c r="D2200" s="211"/>
      <c r="E2200" s="171"/>
    </row>
    <row r="2201" hidden="1">
      <c r="A2201" s="136"/>
      <c r="B2201" s="96"/>
      <c r="C2201" s="86"/>
      <c r="D2201" s="209"/>
      <c r="E2201" s="215"/>
    </row>
    <row r="2202" hidden="1">
      <c r="A2202" s="136"/>
      <c r="B2202" s="96"/>
      <c r="C2202" s="86"/>
      <c r="D2202" s="211"/>
      <c r="E2202" s="171"/>
    </row>
    <row r="2203" hidden="1">
      <c r="A2203" s="136"/>
      <c r="B2203" s="96"/>
      <c r="C2203" s="86"/>
      <c r="D2203" s="209"/>
      <c r="E2203" s="215"/>
    </row>
    <row r="2204" hidden="1">
      <c r="A2204" s="136"/>
      <c r="B2204" s="96"/>
      <c r="C2204" s="86"/>
      <c r="D2204" s="211"/>
      <c r="E2204" s="171"/>
    </row>
    <row r="2205" hidden="1">
      <c r="A2205" s="136"/>
      <c r="B2205" s="96"/>
      <c r="C2205" s="86"/>
      <c r="D2205" s="209"/>
      <c r="E2205" s="215"/>
    </row>
    <row r="2206" hidden="1">
      <c r="A2206" s="136"/>
      <c r="B2206" s="96"/>
      <c r="C2206" s="86"/>
      <c r="D2206" s="211"/>
      <c r="E2206" s="171"/>
    </row>
    <row r="2207" hidden="1">
      <c r="A2207" s="136"/>
      <c r="B2207" s="96"/>
      <c r="C2207" s="86"/>
      <c r="D2207" s="209"/>
      <c r="E2207" s="215"/>
    </row>
    <row r="2208" hidden="1">
      <c r="A2208" s="136"/>
      <c r="B2208" s="96"/>
      <c r="C2208" s="86"/>
      <c r="D2208" s="211"/>
      <c r="E2208" s="171"/>
    </row>
    <row r="2209" hidden="1">
      <c r="A2209" s="136"/>
      <c r="B2209" s="96"/>
      <c r="C2209" s="86"/>
      <c r="D2209" s="209"/>
      <c r="E2209" s="215"/>
    </row>
    <row r="2210" hidden="1">
      <c r="A2210" s="136"/>
      <c r="B2210" s="96"/>
      <c r="C2210" s="86"/>
      <c r="D2210" s="211"/>
      <c r="E2210" s="171"/>
    </row>
    <row r="2211" hidden="1">
      <c r="A2211" s="136"/>
      <c r="B2211" s="96"/>
      <c r="C2211" s="86"/>
      <c r="D2211" s="209"/>
      <c r="E2211" s="215"/>
    </row>
    <row r="2212" hidden="1">
      <c r="A2212" s="136"/>
      <c r="B2212" s="96"/>
      <c r="C2212" s="86"/>
      <c r="D2212" s="211"/>
      <c r="E2212" s="171"/>
    </row>
    <row r="2213" hidden="1">
      <c r="A2213" s="136"/>
      <c r="B2213" s="96"/>
      <c r="C2213" s="86"/>
      <c r="D2213" s="209"/>
      <c r="E2213" s="215"/>
    </row>
    <row r="2214" hidden="1">
      <c r="A2214" s="136"/>
      <c r="B2214" s="96"/>
      <c r="C2214" s="86"/>
      <c r="D2214" s="211"/>
      <c r="E2214" s="171"/>
    </row>
    <row r="2215" hidden="1">
      <c r="A2215" s="136"/>
      <c r="B2215" s="96"/>
      <c r="C2215" s="86"/>
      <c r="D2215" s="209"/>
      <c r="E2215" s="215"/>
    </row>
    <row r="2216" hidden="1">
      <c r="A2216" s="136"/>
      <c r="B2216" s="96"/>
      <c r="C2216" s="86"/>
      <c r="D2216" s="211"/>
      <c r="E2216" s="171"/>
    </row>
    <row r="2217" hidden="1">
      <c r="A2217" s="136"/>
      <c r="B2217" s="96"/>
      <c r="C2217" s="86"/>
      <c r="D2217" s="209"/>
      <c r="E2217" s="215"/>
    </row>
    <row r="2218" hidden="1">
      <c r="A2218" s="136"/>
      <c r="B2218" s="96"/>
      <c r="C2218" s="86"/>
      <c r="D2218" s="211"/>
      <c r="E2218" s="171"/>
    </row>
    <row r="2219" hidden="1">
      <c r="A2219" s="136"/>
      <c r="B2219" s="96"/>
      <c r="C2219" s="86"/>
      <c r="D2219" s="209"/>
      <c r="E2219" s="215"/>
    </row>
    <row r="2220" hidden="1">
      <c r="A2220" s="136"/>
      <c r="B2220" s="96"/>
      <c r="C2220" s="86"/>
      <c r="D2220" s="211"/>
      <c r="E2220" s="171"/>
    </row>
    <row r="2221" hidden="1">
      <c r="A2221" s="136"/>
      <c r="B2221" s="96"/>
      <c r="C2221" s="86"/>
      <c r="D2221" s="209"/>
      <c r="E2221" s="215"/>
    </row>
    <row r="2222" hidden="1">
      <c r="A2222" s="136"/>
      <c r="B2222" s="96"/>
      <c r="C2222" s="86"/>
      <c r="D2222" s="211"/>
      <c r="E2222" s="171"/>
    </row>
    <row r="2223" hidden="1">
      <c r="A2223" s="136"/>
      <c r="B2223" s="96"/>
      <c r="C2223" s="86"/>
      <c r="D2223" s="209"/>
      <c r="E2223" s="215"/>
    </row>
    <row r="2224" hidden="1">
      <c r="A2224" s="136"/>
      <c r="B2224" s="96"/>
      <c r="C2224" s="86"/>
      <c r="D2224" s="211"/>
      <c r="E2224" s="171"/>
    </row>
    <row r="2225" hidden="1">
      <c r="A2225" s="136"/>
      <c r="B2225" s="96"/>
      <c r="C2225" s="86"/>
      <c r="D2225" s="209"/>
      <c r="E2225" s="215"/>
    </row>
    <row r="2226" hidden="1">
      <c r="A2226" s="136"/>
      <c r="B2226" s="96"/>
      <c r="C2226" s="86"/>
      <c r="D2226" s="211"/>
      <c r="E2226" s="171"/>
    </row>
    <row r="2227" hidden="1">
      <c r="A2227" s="136"/>
      <c r="B2227" s="96"/>
      <c r="C2227" s="86"/>
      <c r="D2227" s="209"/>
      <c r="E2227" s="215"/>
    </row>
    <row r="2228" hidden="1">
      <c r="A2228" s="136"/>
      <c r="B2228" s="96"/>
      <c r="C2228" s="86"/>
      <c r="D2228" s="211"/>
      <c r="E2228" s="171"/>
    </row>
    <row r="2229" hidden="1">
      <c r="A2229" s="136"/>
      <c r="B2229" s="96"/>
      <c r="C2229" s="86"/>
      <c r="D2229" s="209"/>
      <c r="E2229" s="215"/>
    </row>
    <row r="2230" hidden="1">
      <c r="A2230" s="136"/>
      <c r="B2230" s="96"/>
      <c r="C2230" s="86"/>
      <c r="D2230" s="211"/>
      <c r="E2230" s="171"/>
    </row>
    <row r="2231" hidden="1">
      <c r="A2231" s="136"/>
      <c r="B2231" s="96"/>
      <c r="C2231" s="86"/>
      <c r="D2231" s="209"/>
      <c r="E2231" s="215"/>
    </row>
    <row r="2232" hidden="1">
      <c r="A2232" s="136"/>
      <c r="B2232" s="96"/>
      <c r="C2232" s="86"/>
      <c r="D2232" s="211"/>
      <c r="E2232" s="171"/>
    </row>
    <row r="2233" hidden="1">
      <c r="A2233" s="136"/>
      <c r="B2233" s="96"/>
      <c r="C2233" s="86"/>
      <c r="D2233" s="209"/>
      <c r="E2233" s="215"/>
    </row>
    <row r="2234" hidden="1">
      <c r="A2234" s="136"/>
      <c r="B2234" s="96"/>
      <c r="C2234" s="86"/>
      <c r="D2234" s="211"/>
      <c r="E2234" s="171"/>
    </row>
    <row r="2235" hidden="1">
      <c r="A2235" s="136"/>
      <c r="B2235" s="96"/>
      <c r="C2235" s="86"/>
      <c r="D2235" s="209"/>
      <c r="E2235" s="215"/>
    </row>
    <row r="2236" hidden="1">
      <c r="A2236" s="136"/>
      <c r="B2236" s="96"/>
      <c r="C2236" s="86"/>
      <c r="D2236" s="211"/>
      <c r="E2236" s="171"/>
    </row>
    <row r="2237" hidden="1">
      <c r="A2237" s="136"/>
      <c r="B2237" s="96"/>
      <c r="C2237" s="86"/>
      <c r="D2237" s="209"/>
      <c r="E2237" s="215"/>
    </row>
    <row r="2238" hidden="1">
      <c r="A2238" s="136"/>
      <c r="B2238" s="96"/>
      <c r="C2238" s="86"/>
      <c r="D2238" s="211"/>
      <c r="E2238" s="171"/>
    </row>
    <row r="2239" hidden="1">
      <c r="A2239" s="136"/>
      <c r="B2239" s="96"/>
      <c r="C2239" s="86"/>
      <c r="D2239" s="209"/>
      <c r="E2239" s="215"/>
    </row>
    <row r="2240" hidden="1">
      <c r="A2240" s="136"/>
      <c r="B2240" s="96"/>
      <c r="C2240" s="86"/>
      <c r="D2240" s="211"/>
      <c r="E2240" s="171"/>
    </row>
    <row r="2241" hidden="1">
      <c r="A2241" s="136"/>
      <c r="B2241" s="96"/>
      <c r="C2241" s="86"/>
      <c r="D2241" s="209"/>
      <c r="E2241" s="215"/>
    </row>
    <row r="2242" hidden="1">
      <c r="A2242" s="136"/>
      <c r="B2242" s="96"/>
      <c r="C2242" s="86"/>
      <c r="D2242" s="211"/>
      <c r="E2242" s="171"/>
    </row>
    <row r="2243" hidden="1">
      <c r="A2243" s="136"/>
      <c r="B2243" s="96"/>
      <c r="C2243" s="86"/>
      <c r="D2243" s="209"/>
      <c r="E2243" s="215"/>
    </row>
    <row r="2244" hidden="1">
      <c r="A2244" s="136"/>
      <c r="B2244" s="96"/>
      <c r="C2244" s="86"/>
      <c r="D2244" s="211"/>
      <c r="E2244" s="171"/>
    </row>
    <row r="2245" hidden="1">
      <c r="A2245" s="136"/>
      <c r="B2245" s="96"/>
      <c r="C2245" s="86"/>
      <c r="D2245" s="209"/>
      <c r="E2245" s="215"/>
    </row>
    <row r="2246" hidden="1">
      <c r="A2246" s="136"/>
      <c r="B2246" s="96"/>
      <c r="C2246" s="86"/>
      <c r="D2246" s="211"/>
      <c r="E2246" s="171"/>
    </row>
    <row r="2247" hidden="1">
      <c r="A2247" s="136"/>
      <c r="B2247" s="96"/>
      <c r="C2247" s="86"/>
      <c r="D2247" s="209"/>
      <c r="E2247" s="215"/>
    </row>
    <row r="2248" hidden="1">
      <c r="A2248" s="136"/>
      <c r="B2248" s="96"/>
      <c r="C2248" s="86"/>
      <c r="D2248" s="211"/>
      <c r="E2248" s="171"/>
    </row>
    <row r="2249" hidden="1">
      <c r="A2249" s="136"/>
      <c r="B2249" s="96"/>
      <c r="C2249" s="86"/>
      <c r="D2249" s="209"/>
      <c r="E2249" s="215"/>
    </row>
    <row r="2250" hidden="1">
      <c r="A2250" s="136"/>
      <c r="B2250" s="96"/>
      <c r="C2250" s="86"/>
      <c r="D2250" s="211"/>
      <c r="E2250" s="171"/>
    </row>
    <row r="2251" hidden="1">
      <c r="A2251" s="136"/>
      <c r="B2251" s="96"/>
      <c r="C2251" s="86"/>
      <c r="D2251" s="209"/>
      <c r="E2251" s="215"/>
    </row>
    <row r="2252" hidden="1">
      <c r="A2252" s="136"/>
      <c r="B2252" s="96"/>
      <c r="C2252" s="86"/>
      <c r="D2252" s="211"/>
      <c r="E2252" s="171"/>
    </row>
    <row r="2253" hidden="1">
      <c r="A2253" s="136"/>
      <c r="B2253" s="96"/>
      <c r="C2253" s="86"/>
      <c r="D2253" s="209"/>
      <c r="E2253" s="215"/>
    </row>
    <row r="2254" hidden="1">
      <c r="A2254" s="136"/>
      <c r="B2254" s="96"/>
      <c r="C2254" s="86"/>
      <c r="D2254" s="211"/>
      <c r="E2254" s="171"/>
    </row>
    <row r="2255" hidden="1">
      <c r="A2255" s="136"/>
      <c r="B2255" s="96"/>
      <c r="C2255" s="86"/>
      <c r="D2255" s="209"/>
      <c r="E2255" s="215"/>
    </row>
    <row r="2256" hidden="1">
      <c r="A2256" s="136"/>
      <c r="B2256" s="96"/>
      <c r="C2256" s="86"/>
      <c r="D2256" s="211"/>
      <c r="E2256" s="171"/>
    </row>
    <row r="2257" hidden="1">
      <c r="A2257" s="136"/>
      <c r="B2257" s="96"/>
      <c r="C2257" s="86"/>
      <c r="D2257" s="209"/>
      <c r="E2257" s="215"/>
    </row>
    <row r="2258" hidden="1">
      <c r="A2258" s="136"/>
      <c r="B2258" s="96"/>
      <c r="C2258" s="86"/>
      <c r="D2258" s="211"/>
      <c r="E2258" s="171"/>
    </row>
    <row r="2259" hidden="1">
      <c r="A2259" s="136"/>
      <c r="B2259" s="96"/>
      <c r="C2259" s="86"/>
      <c r="D2259" s="209"/>
      <c r="E2259" s="215"/>
    </row>
    <row r="2260" hidden="1">
      <c r="A2260" s="136"/>
      <c r="B2260" s="96"/>
      <c r="C2260" s="86"/>
      <c r="D2260" s="211"/>
      <c r="E2260" s="171"/>
    </row>
    <row r="2261" hidden="1">
      <c r="A2261" s="136"/>
      <c r="B2261" s="96"/>
      <c r="C2261" s="86"/>
      <c r="D2261" s="209"/>
      <c r="E2261" s="215"/>
    </row>
    <row r="2262" hidden="1">
      <c r="A2262" s="136"/>
      <c r="B2262" s="96"/>
      <c r="C2262" s="86"/>
      <c r="D2262" s="211"/>
      <c r="E2262" s="171"/>
    </row>
    <row r="2263" hidden="1">
      <c r="A2263" s="136"/>
      <c r="B2263" s="96"/>
      <c r="C2263" s="86"/>
      <c r="D2263" s="209"/>
      <c r="E2263" s="215"/>
    </row>
    <row r="2264" hidden="1">
      <c r="A2264" s="136"/>
      <c r="B2264" s="96"/>
      <c r="C2264" s="86"/>
      <c r="D2264" s="211"/>
      <c r="E2264" s="171"/>
    </row>
    <row r="2265" hidden="1">
      <c r="A2265" s="136"/>
      <c r="B2265" s="96"/>
      <c r="C2265" s="86"/>
      <c r="D2265" s="209"/>
      <c r="E2265" s="215"/>
    </row>
    <row r="2266" hidden="1">
      <c r="A2266" s="136"/>
      <c r="B2266" s="96"/>
      <c r="C2266" s="86"/>
      <c r="D2266" s="211"/>
      <c r="E2266" s="171"/>
    </row>
    <row r="2267" hidden="1">
      <c r="A2267" s="136"/>
      <c r="B2267" s="96"/>
      <c r="C2267" s="86"/>
      <c r="D2267" s="209"/>
      <c r="E2267" s="215"/>
    </row>
    <row r="2268" hidden="1">
      <c r="A2268" s="136"/>
      <c r="B2268" s="96"/>
      <c r="C2268" s="86"/>
      <c r="D2268" s="211"/>
      <c r="E2268" s="171"/>
    </row>
    <row r="2269" hidden="1">
      <c r="A2269" s="136"/>
      <c r="B2269" s="96"/>
      <c r="C2269" s="86"/>
      <c r="D2269" s="209"/>
      <c r="E2269" s="215"/>
    </row>
    <row r="2270" hidden="1">
      <c r="A2270" s="136"/>
      <c r="B2270" s="96"/>
      <c r="C2270" s="86"/>
      <c r="D2270" s="211"/>
      <c r="E2270" s="171"/>
    </row>
    <row r="2271" hidden="1">
      <c r="A2271" s="136"/>
      <c r="B2271" s="96"/>
      <c r="C2271" s="86"/>
      <c r="D2271" s="209"/>
      <c r="E2271" s="215"/>
    </row>
    <row r="2272" hidden="1">
      <c r="A2272" s="136"/>
      <c r="B2272" s="96"/>
      <c r="C2272" s="86"/>
      <c r="D2272" s="211"/>
      <c r="E2272" s="171"/>
    </row>
    <row r="2273" hidden="1">
      <c r="A2273" s="136"/>
      <c r="B2273" s="96"/>
      <c r="C2273" s="86"/>
      <c r="D2273" s="209"/>
      <c r="E2273" s="215"/>
    </row>
    <row r="2274" hidden="1">
      <c r="A2274" s="136"/>
      <c r="B2274" s="96"/>
      <c r="C2274" s="86"/>
      <c r="D2274" s="211"/>
      <c r="E2274" s="171"/>
    </row>
    <row r="2275" hidden="1">
      <c r="A2275" s="136"/>
      <c r="B2275" s="96"/>
      <c r="C2275" s="86"/>
      <c r="D2275" s="209"/>
      <c r="E2275" s="215"/>
    </row>
    <row r="2276" hidden="1">
      <c r="A2276" s="136"/>
      <c r="B2276" s="96"/>
      <c r="C2276" s="86"/>
      <c r="D2276" s="211"/>
      <c r="E2276" s="171"/>
    </row>
    <row r="2277" hidden="1">
      <c r="A2277" s="136"/>
      <c r="B2277" s="96"/>
      <c r="C2277" s="86"/>
      <c r="D2277" s="209"/>
      <c r="E2277" s="215"/>
    </row>
    <row r="2278" hidden="1">
      <c r="A2278" s="136"/>
      <c r="B2278" s="96"/>
      <c r="C2278" s="86"/>
      <c r="D2278" s="211"/>
      <c r="E2278" s="171"/>
    </row>
    <row r="2279" hidden="1">
      <c r="A2279" s="136"/>
      <c r="B2279" s="96"/>
      <c r="C2279" s="86"/>
      <c r="D2279" s="209"/>
      <c r="E2279" s="215"/>
    </row>
    <row r="2280" hidden="1">
      <c r="A2280" s="136"/>
      <c r="B2280" s="96"/>
      <c r="C2280" s="86"/>
      <c r="D2280" s="211"/>
      <c r="E2280" s="171"/>
    </row>
    <row r="2281" hidden="1">
      <c r="A2281" s="136"/>
      <c r="B2281" s="96"/>
      <c r="C2281" s="86"/>
      <c r="D2281" s="209"/>
      <c r="E2281" s="215"/>
    </row>
    <row r="2282" hidden="1">
      <c r="A2282" s="136"/>
      <c r="B2282" s="96"/>
      <c r="C2282" s="86"/>
      <c r="D2282" s="211"/>
      <c r="E2282" s="171"/>
    </row>
    <row r="2283" hidden="1">
      <c r="A2283" s="136"/>
      <c r="B2283" s="96"/>
      <c r="C2283" s="86"/>
      <c r="D2283" s="209"/>
      <c r="E2283" s="215"/>
    </row>
    <row r="2284" hidden="1">
      <c r="A2284" s="136"/>
      <c r="B2284" s="96"/>
      <c r="C2284" s="86"/>
      <c r="D2284" s="211"/>
      <c r="E2284" s="171"/>
    </row>
    <row r="2285" hidden="1">
      <c r="A2285" s="136"/>
      <c r="B2285" s="96"/>
      <c r="C2285" s="86"/>
      <c r="D2285" s="209"/>
      <c r="E2285" s="215"/>
    </row>
    <row r="2286" hidden="1">
      <c r="A2286" s="136"/>
      <c r="B2286" s="96"/>
      <c r="C2286" s="86"/>
      <c r="D2286" s="211"/>
      <c r="E2286" s="171"/>
    </row>
    <row r="2287" hidden="1">
      <c r="A2287" s="136"/>
      <c r="B2287" s="96"/>
      <c r="C2287" s="86"/>
      <c r="D2287" s="209"/>
      <c r="E2287" s="215"/>
    </row>
    <row r="2288" hidden="1">
      <c r="A2288" s="136"/>
      <c r="B2288" s="96"/>
      <c r="C2288" s="86"/>
      <c r="D2288" s="211"/>
      <c r="E2288" s="171"/>
    </row>
    <row r="2289" hidden="1">
      <c r="A2289" s="136"/>
      <c r="B2289" s="96"/>
      <c r="C2289" s="86"/>
      <c r="D2289" s="209"/>
      <c r="E2289" s="215"/>
    </row>
    <row r="2290" hidden="1">
      <c r="A2290" s="136"/>
      <c r="B2290" s="96"/>
      <c r="C2290" s="86"/>
      <c r="D2290" s="211"/>
      <c r="E2290" s="171"/>
    </row>
    <row r="2291" hidden="1">
      <c r="A2291" s="136"/>
      <c r="B2291" s="96"/>
      <c r="C2291" s="86"/>
      <c r="D2291" s="209"/>
      <c r="E2291" s="215"/>
    </row>
    <row r="2292" hidden="1">
      <c r="A2292" s="136"/>
      <c r="B2292" s="96"/>
      <c r="C2292" s="86"/>
      <c r="D2292" s="211"/>
      <c r="E2292" s="171"/>
    </row>
    <row r="2293" hidden="1">
      <c r="A2293" s="136"/>
      <c r="B2293" s="96"/>
      <c r="C2293" s="86"/>
      <c r="D2293" s="209"/>
      <c r="E2293" s="215"/>
    </row>
    <row r="2294" hidden="1">
      <c r="A2294" s="136"/>
      <c r="B2294" s="96"/>
      <c r="C2294" s="86"/>
      <c r="D2294" s="211"/>
      <c r="E2294" s="171"/>
    </row>
    <row r="2295" hidden="1">
      <c r="A2295" s="136"/>
      <c r="B2295" s="96"/>
      <c r="C2295" s="86"/>
      <c r="D2295" s="209"/>
      <c r="E2295" s="215"/>
    </row>
    <row r="2296" hidden="1">
      <c r="A2296" s="136"/>
      <c r="B2296" s="96"/>
      <c r="C2296" s="86"/>
      <c r="D2296" s="211"/>
      <c r="E2296" s="171"/>
    </row>
    <row r="2297" hidden="1">
      <c r="A2297" s="136"/>
      <c r="B2297" s="96"/>
      <c r="C2297" s="86"/>
      <c r="D2297" s="209"/>
      <c r="E2297" s="215"/>
    </row>
    <row r="2298" hidden="1">
      <c r="A2298" s="136"/>
      <c r="B2298" s="96"/>
      <c r="C2298" s="86"/>
      <c r="D2298" s="211"/>
      <c r="E2298" s="171"/>
    </row>
    <row r="2299" hidden="1">
      <c r="A2299" s="136"/>
      <c r="B2299" s="96"/>
      <c r="C2299" s="86"/>
      <c r="D2299" s="209"/>
      <c r="E2299" s="215"/>
    </row>
    <row r="2300" hidden="1">
      <c r="A2300" s="136"/>
      <c r="B2300" s="96"/>
      <c r="C2300" s="86"/>
      <c r="D2300" s="211"/>
      <c r="E2300" s="171"/>
    </row>
    <row r="2301" hidden="1">
      <c r="A2301" s="136"/>
      <c r="B2301" s="96"/>
      <c r="C2301" s="86"/>
      <c r="D2301" s="209"/>
      <c r="E2301" s="215"/>
    </row>
    <row r="2302" hidden="1">
      <c r="A2302" s="136"/>
      <c r="B2302" s="96"/>
      <c r="C2302" s="86"/>
      <c r="D2302" s="211"/>
      <c r="E2302" s="171"/>
    </row>
    <row r="2303" hidden="1">
      <c r="A2303" s="136"/>
      <c r="B2303" s="96"/>
      <c r="C2303" s="86"/>
      <c r="D2303" s="209"/>
      <c r="E2303" s="215"/>
    </row>
    <row r="2304" hidden="1">
      <c r="A2304" s="136"/>
      <c r="B2304" s="96"/>
      <c r="C2304" s="86"/>
      <c r="D2304" s="211"/>
      <c r="E2304" s="171"/>
    </row>
    <row r="2305" hidden="1">
      <c r="A2305" s="136"/>
      <c r="B2305" s="96"/>
      <c r="C2305" s="86"/>
      <c r="D2305" s="209"/>
      <c r="E2305" s="215"/>
    </row>
    <row r="2306" hidden="1">
      <c r="A2306" s="136"/>
      <c r="B2306" s="96"/>
      <c r="C2306" s="86"/>
      <c r="D2306" s="211"/>
      <c r="E2306" s="171"/>
    </row>
    <row r="2307" hidden="1">
      <c r="A2307" s="136"/>
      <c r="B2307" s="96"/>
      <c r="C2307" s="86"/>
      <c r="D2307" s="209"/>
      <c r="E2307" s="215"/>
    </row>
    <row r="2308" hidden="1">
      <c r="A2308" s="136"/>
      <c r="B2308" s="96"/>
      <c r="C2308" s="86"/>
      <c r="D2308" s="211"/>
      <c r="E2308" s="171"/>
    </row>
    <row r="2309" hidden="1">
      <c r="A2309" s="136"/>
      <c r="B2309" s="96"/>
      <c r="C2309" s="86"/>
      <c r="D2309" s="209"/>
      <c r="E2309" s="215"/>
    </row>
    <row r="2310" hidden="1">
      <c r="A2310" s="136"/>
      <c r="B2310" s="96"/>
      <c r="C2310" s="86"/>
      <c r="D2310" s="211"/>
      <c r="E2310" s="171"/>
    </row>
    <row r="2311" hidden="1">
      <c r="A2311" s="136"/>
      <c r="B2311" s="96"/>
      <c r="C2311" s="86"/>
      <c r="D2311" s="209"/>
      <c r="E2311" s="215"/>
    </row>
    <row r="2312" hidden="1">
      <c r="A2312" s="136"/>
      <c r="B2312" s="96"/>
      <c r="C2312" s="86"/>
      <c r="D2312" s="211"/>
      <c r="E2312" s="171"/>
    </row>
    <row r="2313" hidden="1">
      <c r="A2313" s="136"/>
      <c r="B2313" s="96"/>
      <c r="C2313" s="86"/>
      <c r="D2313" s="209"/>
      <c r="E2313" s="215"/>
    </row>
    <row r="2314" hidden="1">
      <c r="A2314" s="136"/>
      <c r="B2314" s="96"/>
      <c r="C2314" s="86"/>
      <c r="D2314" s="211"/>
      <c r="E2314" s="171"/>
    </row>
    <row r="2315" hidden="1">
      <c r="A2315" s="136"/>
      <c r="B2315" s="96"/>
      <c r="C2315" s="86"/>
      <c r="D2315" s="209"/>
      <c r="E2315" s="215"/>
    </row>
    <row r="2316" hidden="1">
      <c r="A2316" s="136"/>
      <c r="B2316" s="96"/>
      <c r="C2316" s="86"/>
      <c r="D2316" s="211"/>
      <c r="E2316" s="171"/>
    </row>
    <row r="2317" hidden="1">
      <c r="A2317" s="136"/>
      <c r="B2317" s="96"/>
      <c r="C2317" s="86"/>
      <c r="D2317" s="209"/>
      <c r="E2317" s="215"/>
    </row>
    <row r="2318" hidden="1">
      <c r="A2318" s="136"/>
      <c r="B2318" s="96"/>
      <c r="C2318" s="86"/>
      <c r="D2318" s="211"/>
      <c r="E2318" s="171"/>
    </row>
    <row r="2319" hidden="1">
      <c r="A2319" s="136"/>
      <c r="B2319" s="96"/>
      <c r="C2319" s="86"/>
      <c r="D2319" s="209"/>
      <c r="E2319" s="215"/>
    </row>
    <row r="2320" hidden="1">
      <c r="A2320" s="136"/>
      <c r="B2320" s="96"/>
      <c r="C2320" s="86"/>
      <c r="D2320" s="211"/>
      <c r="E2320" s="171"/>
    </row>
    <row r="2321" hidden="1">
      <c r="A2321" s="136"/>
      <c r="B2321" s="96"/>
      <c r="C2321" s="86"/>
      <c r="D2321" s="209"/>
      <c r="E2321" s="215"/>
    </row>
    <row r="2322" hidden="1">
      <c r="A2322" s="136"/>
      <c r="B2322" s="96"/>
      <c r="C2322" s="86"/>
      <c r="D2322" s="211"/>
      <c r="E2322" s="171"/>
    </row>
    <row r="2323" hidden="1">
      <c r="A2323" s="136"/>
      <c r="B2323" s="96"/>
      <c r="C2323" s="86"/>
      <c r="D2323" s="209"/>
      <c r="E2323" s="215"/>
    </row>
    <row r="2324" hidden="1">
      <c r="A2324" s="136"/>
      <c r="B2324" s="96"/>
      <c r="C2324" s="86"/>
      <c r="D2324" s="211"/>
      <c r="E2324" s="171"/>
    </row>
    <row r="2325" hidden="1">
      <c r="A2325" s="136"/>
      <c r="B2325" s="96"/>
      <c r="C2325" s="86"/>
      <c r="D2325" s="209"/>
      <c r="E2325" s="215"/>
    </row>
    <row r="2326" hidden="1">
      <c r="A2326" s="136"/>
      <c r="B2326" s="96"/>
      <c r="C2326" s="86"/>
      <c r="D2326" s="211"/>
      <c r="E2326" s="171"/>
    </row>
    <row r="2327" hidden="1">
      <c r="A2327" s="136"/>
      <c r="B2327" s="96"/>
      <c r="C2327" s="86"/>
      <c r="D2327" s="209"/>
      <c r="E2327" s="215"/>
    </row>
    <row r="2328" hidden="1">
      <c r="A2328" s="136"/>
      <c r="B2328" s="96"/>
      <c r="C2328" s="86"/>
      <c r="D2328" s="211"/>
      <c r="E2328" s="171"/>
    </row>
    <row r="2329" hidden="1">
      <c r="A2329" s="136"/>
      <c r="B2329" s="96"/>
      <c r="C2329" s="86"/>
      <c r="D2329" s="209"/>
      <c r="E2329" s="215"/>
    </row>
    <row r="2330" hidden="1">
      <c r="A2330" s="136"/>
      <c r="B2330" s="96"/>
      <c r="C2330" s="86"/>
      <c r="D2330" s="211"/>
      <c r="E2330" s="171"/>
    </row>
    <row r="2331" hidden="1">
      <c r="A2331" s="136"/>
      <c r="B2331" s="96"/>
      <c r="C2331" s="86"/>
      <c r="D2331" s="209"/>
      <c r="E2331" s="215"/>
    </row>
    <row r="2332" hidden="1">
      <c r="A2332" s="136"/>
      <c r="B2332" s="96"/>
      <c r="C2332" s="86"/>
      <c r="D2332" s="211"/>
      <c r="E2332" s="171"/>
    </row>
    <row r="2333" hidden="1">
      <c r="A2333" s="136"/>
      <c r="B2333" s="96"/>
      <c r="C2333" s="86"/>
      <c r="D2333" s="209"/>
      <c r="E2333" s="215"/>
    </row>
    <row r="2334" hidden="1">
      <c r="A2334" s="136"/>
      <c r="B2334" s="96"/>
      <c r="C2334" s="86"/>
      <c r="D2334" s="211"/>
      <c r="E2334" s="171"/>
    </row>
    <row r="2335" hidden="1">
      <c r="A2335" s="136"/>
      <c r="B2335" s="96"/>
      <c r="C2335" s="86"/>
      <c r="D2335" s="209"/>
      <c r="E2335" s="215"/>
    </row>
    <row r="2336" hidden="1">
      <c r="A2336" s="136"/>
      <c r="B2336" s="96"/>
      <c r="C2336" s="86"/>
      <c r="D2336" s="211"/>
      <c r="E2336" s="171"/>
    </row>
    <row r="2337" hidden="1">
      <c r="A2337" s="136"/>
      <c r="B2337" s="96"/>
      <c r="C2337" s="86"/>
      <c r="D2337" s="209"/>
      <c r="E2337" s="215"/>
    </row>
    <row r="2338" hidden="1">
      <c r="A2338" s="136"/>
      <c r="B2338" s="96"/>
      <c r="C2338" s="86"/>
      <c r="D2338" s="211"/>
      <c r="E2338" s="171"/>
    </row>
    <row r="2339" hidden="1">
      <c r="A2339" s="136"/>
      <c r="B2339" s="96"/>
      <c r="C2339" s="86"/>
      <c r="D2339" s="209"/>
      <c r="E2339" s="215"/>
    </row>
    <row r="2340" hidden="1">
      <c r="A2340" s="136"/>
      <c r="B2340" s="96"/>
      <c r="C2340" s="86"/>
      <c r="D2340" s="211"/>
      <c r="E2340" s="171"/>
    </row>
    <row r="2341" hidden="1">
      <c r="A2341" s="136"/>
      <c r="B2341" s="96"/>
      <c r="C2341" s="86"/>
      <c r="D2341" s="209"/>
      <c r="E2341" s="215"/>
    </row>
    <row r="2342" hidden="1">
      <c r="A2342" s="136"/>
      <c r="B2342" s="96"/>
      <c r="C2342" s="86"/>
      <c r="D2342" s="211"/>
      <c r="E2342" s="171"/>
    </row>
    <row r="2343" hidden="1">
      <c r="A2343" s="136"/>
      <c r="B2343" s="96"/>
      <c r="C2343" s="86"/>
      <c r="D2343" s="209"/>
      <c r="E2343" s="215"/>
    </row>
    <row r="2344" hidden="1">
      <c r="A2344" s="136"/>
      <c r="B2344" s="96"/>
      <c r="C2344" s="86"/>
      <c r="D2344" s="211"/>
      <c r="E2344" s="171"/>
    </row>
    <row r="2345" hidden="1">
      <c r="A2345" s="136"/>
      <c r="B2345" s="96"/>
      <c r="C2345" s="86"/>
      <c r="D2345" s="209"/>
      <c r="E2345" s="215"/>
    </row>
    <row r="2346" hidden="1">
      <c r="A2346" s="136"/>
      <c r="B2346" s="96"/>
      <c r="C2346" s="86"/>
      <c r="D2346" s="211"/>
      <c r="E2346" s="171"/>
    </row>
    <row r="2347" hidden="1">
      <c r="A2347" s="136"/>
      <c r="B2347" s="96"/>
      <c r="C2347" s="86"/>
      <c r="D2347" s="209"/>
      <c r="E2347" s="215"/>
    </row>
    <row r="2348" hidden="1">
      <c r="A2348" s="136"/>
      <c r="B2348" s="96"/>
      <c r="C2348" s="86"/>
      <c r="D2348" s="211"/>
      <c r="E2348" s="171"/>
    </row>
    <row r="2349" hidden="1">
      <c r="A2349" s="136"/>
      <c r="B2349" s="96"/>
      <c r="C2349" s="86"/>
      <c r="D2349" s="209"/>
      <c r="E2349" s="215"/>
    </row>
    <row r="2350" hidden="1">
      <c r="A2350" s="136"/>
      <c r="B2350" s="96"/>
      <c r="C2350" s="86"/>
      <c r="D2350" s="211"/>
      <c r="E2350" s="171"/>
    </row>
    <row r="2351" hidden="1">
      <c r="A2351" s="136"/>
      <c r="B2351" s="96"/>
      <c r="C2351" s="86"/>
      <c r="D2351" s="209"/>
      <c r="E2351" s="215"/>
    </row>
    <row r="2352" hidden="1">
      <c r="A2352" s="136"/>
      <c r="B2352" s="96"/>
      <c r="C2352" s="86"/>
      <c r="D2352" s="211"/>
      <c r="E2352" s="171"/>
    </row>
    <row r="2353" hidden="1">
      <c r="A2353" s="136"/>
      <c r="B2353" s="96"/>
      <c r="C2353" s="86"/>
      <c r="D2353" s="209"/>
      <c r="E2353" s="215"/>
    </row>
    <row r="2354" hidden="1">
      <c r="A2354" s="136"/>
      <c r="B2354" s="96"/>
      <c r="C2354" s="86"/>
      <c r="D2354" s="211"/>
      <c r="E2354" s="171"/>
    </row>
    <row r="2355" hidden="1">
      <c r="A2355" s="136"/>
      <c r="B2355" s="96"/>
      <c r="C2355" s="86"/>
      <c r="D2355" s="209"/>
      <c r="E2355" s="215"/>
    </row>
    <row r="2356" hidden="1">
      <c r="A2356" s="136"/>
      <c r="B2356" s="96"/>
      <c r="C2356" s="86"/>
      <c r="D2356" s="211"/>
      <c r="E2356" s="171"/>
    </row>
    <row r="2357" hidden="1">
      <c r="A2357" s="136"/>
      <c r="B2357" s="96"/>
      <c r="C2357" s="86"/>
      <c r="D2357" s="209"/>
      <c r="E2357" s="215"/>
    </row>
    <row r="2358" hidden="1">
      <c r="A2358" s="136"/>
      <c r="B2358" s="96"/>
      <c r="C2358" s="86"/>
      <c r="D2358" s="211"/>
      <c r="E2358" s="171"/>
    </row>
    <row r="2359" hidden="1">
      <c r="A2359" s="136"/>
      <c r="B2359" s="96"/>
      <c r="C2359" s="86"/>
      <c r="D2359" s="209"/>
      <c r="E2359" s="215"/>
    </row>
    <row r="2360" hidden="1">
      <c r="A2360" s="136"/>
      <c r="B2360" s="96"/>
      <c r="C2360" s="86"/>
      <c r="D2360" s="211"/>
      <c r="E2360" s="171"/>
    </row>
    <row r="2361" hidden="1">
      <c r="A2361" s="136"/>
      <c r="B2361" s="96"/>
      <c r="C2361" s="86"/>
      <c r="D2361" s="209"/>
      <c r="E2361" s="215"/>
    </row>
    <row r="2362" hidden="1">
      <c r="A2362" s="136"/>
      <c r="B2362" s="96"/>
      <c r="C2362" s="86"/>
      <c r="D2362" s="211"/>
      <c r="E2362" s="171"/>
    </row>
    <row r="2363" hidden="1">
      <c r="A2363" s="136"/>
      <c r="B2363" s="96"/>
      <c r="C2363" s="86"/>
      <c r="D2363" s="209"/>
      <c r="E2363" s="215"/>
    </row>
    <row r="2364" hidden="1">
      <c r="A2364" s="136"/>
      <c r="B2364" s="96"/>
      <c r="C2364" s="86"/>
      <c r="D2364" s="211"/>
      <c r="E2364" s="171"/>
    </row>
    <row r="2365" hidden="1">
      <c r="A2365" s="136"/>
      <c r="B2365" s="96"/>
      <c r="C2365" s="86"/>
      <c r="D2365" s="209"/>
      <c r="E2365" s="215"/>
    </row>
    <row r="2366" hidden="1">
      <c r="A2366" s="136"/>
      <c r="B2366" s="96"/>
      <c r="C2366" s="86"/>
      <c r="D2366" s="211"/>
      <c r="E2366" s="171"/>
    </row>
    <row r="2367" hidden="1">
      <c r="A2367" s="136"/>
      <c r="B2367" s="96"/>
      <c r="C2367" s="86"/>
      <c r="D2367" s="209"/>
      <c r="E2367" s="215"/>
    </row>
    <row r="2368" hidden="1">
      <c r="A2368" s="136"/>
      <c r="B2368" s="96"/>
      <c r="C2368" s="86"/>
      <c r="D2368" s="211"/>
      <c r="E2368" s="171"/>
    </row>
    <row r="2369" hidden="1">
      <c r="A2369" s="136"/>
      <c r="B2369" s="96"/>
      <c r="C2369" s="86"/>
      <c r="D2369" s="209"/>
      <c r="E2369" s="215"/>
    </row>
    <row r="2370" hidden="1">
      <c r="A2370" s="136"/>
      <c r="B2370" s="96"/>
      <c r="C2370" s="86"/>
      <c r="D2370" s="211"/>
      <c r="E2370" s="171"/>
    </row>
    <row r="2371" hidden="1">
      <c r="A2371" s="136"/>
      <c r="B2371" s="96"/>
      <c r="C2371" s="86"/>
      <c r="D2371" s="209"/>
      <c r="E2371" s="215"/>
    </row>
    <row r="2372" hidden="1">
      <c r="A2372" s="136"/>
      <c r="B2372" s="96"/>
      <c r="C2372" s="86"/>
      <c r="D2372" s="211"/>
      <c r="E2372" s="171"/>
    </row>
    <row r="2373" hidden="1">
      <c r="A2373" s="136"/>
      <c r="B2373" s="96"/>
      <c r="C2373" s="86"/>
      <c r="D2373" s="209"/>
      <c r="E2373" s="215"/>
    </row>
    <row r="2374" hidden="1">
      <c r="A2374" s="136"/>
      <c r="B2374" s="96"/>
      <c r="C2374" s="86"/>
      <c r="D2374" s="211"/>
      <c r="E2374" s="171"/>
    </row>
    <row r="2375" hidden="1">
      <c r="A2375" s="136"/>
      <c r="B2375" s="96"/>
      <c r="C2375" s="86"/>
      <c r="D2375" s="209"/>
      <c r="E2375" s="215"/>
    </row>
    <row r="2376" hidden="1">
      <c r="A2376" s="136"/>
      <c r="B2376" s="96"/>
      <c r="C2376" s="86"/>
      <c r="D2376" s="211"/>
      <c r="E2376" s="171"/>
    </row>
    <row r="2377" hidden="1">
      <c r="A2377" s="136"/>
      <c r="B2377" s="96"/>
      <c r="C2377" s="86"/>
      <c r="D2377" s="209"/>
      <c r="E2377" s="215"/>
    </row>
    <row r="2378" hidden="1">
      <c r="A2378" s="136"/>
      <c r="B2378" s="96"/>
      <c r="C2378" s="86"/>
      <c r="D2378" s="211"/>
      <c r="E2378" s="171"/>
    </row>
    <row r="2379" hidden="1">
      <c r="A2379" s="136"/>
      <c r="B2379" s="96"/>
      <c r="C2379" s="86"/>
      <c r="D2379" s="209"/>
      <c r="E2379" s="215"/>
    </row>
    <row r="2380" hidden="1">
      <c r="A2380" s="136"/>
      <c r="B2380" s="96"/>
      <c r="C2380" s="86"/>
      <c r="D2380" s="211"/>
      <c r="E2380" s="171"/>
    </row>
    <row r="2381" hidden="1">
      <c r="A2381" s="136"/>
      <c r="B2381" s="96"/>
      <c r="C2381" s="86"/>
      <c r="D2381" s="209"/>
      <c r="E2381" s="215"/>
    </row>
    <row r="2382" hidden="1">
      <c r="A2382" s="136"/>
      <c r="B2382" s="96"/>
      <c r="C2382" s="86"/>
      <c r="D2382" s="211"/>
      <c r="E2382" s="171"/>
    </row>
    <row r="2383" hidden="1">
      <c r="A2383" s="136"/>
      <c r="B2383" s="96"/>
      <c r="C2383" s="86"/>
      <c r="D2383" s="209"/>
      <c r="E2383" s="215"/>
    </row>
    <row r="2384" hidden="1">
      <c r="A2384" s="136"/>
      <c r="B2384" s="96"/>
      <c r="C2384" s="86"/>
      <c r="D2384" s="211"/>
      <c r="E2384" s="171"/>
    </row>
    <row r="2385" hidden="1">
      <c r="A2385" s="136"/>
      <c r="B2385" s="96"/>
      <c r="C2385" s="86"/>
      <c r="D2385" s="209"/>
      <c r="E2385" s="215"/>
    </row>
    <row r="2386" hidden="1">
      <c r="A2386" s="136"/>
      <c r="B2386" s="96"/>
      <c r="C2386" s="86"/>
      <c r="D2386" s="211"/>
      <c r="E2386" s="171"/>
    </row>
    <row r="2387" hidden="1">
      <c r="A2387" s="136"/>
      <c r="B2387" s="96"/>
      <c r="C2387" s="86"/>
      <c r="D2387" s="209"/>
      <c r="E2387" s="215"/>
    </row>
    <row r="2388" hidden="1">
      <c r="A2388" s="136"/>
      <c r="B2388" s="96"/>
      <c r="C2388" s="86"/>
      <c r="D2388" s="211"/>
      <c r="E2388" s="171"/>
    </row>
    <row r="2389" hidden="1">
      <c r="A2389" s="136"/>
      <c r="B2389" s="96"/>
      <c r="C2389" s="86"/>
      <c r="D2389" s="209"/>
      <c r="E2389" s="215"/>
    </row>
    <row r="2390" hidden="1">
      <c r="A2390" s="136"/>
      <c r="B2390" s="96"/>
      <c r="C2390" s="86"/>
      <c r="D2390" s="211"/>
      <c r="E2390" s="171"/>
    </row>
    <row r="2391" hidden="1">
      <c r="A2391" s="136"/>
      <c r="B2391" s="96"/>
      <c r="C2391" s="86"/>
      <c r="D2391" s="209"/>
      <c r="E2391" s="215"/>
    </row>
    <row r="2392" hidden="1">
      <c r="A2392" s="136"/>
      <c r="B2392" s="96"/>
      <c r="C2392" s="86"/>
      <c r="D2392" s="211"/>
      <c r="E2392" s="171"/>
    </row>
    <row r="2393" hidden="1">
      <c r="A2393" s="136"/>
      <c r="B2393" s="96"/>
      <c r="C2393" s="86"/>
      <c r="D2393" s="209"/>
      <c r="E2393" s="215"/>
    </row>
    <row r="2394" hidden="1">
      <c r="A2394" s="136"/>
      <c r="B2394" s="96"/>
      <c r="C2394" s="86"/>
      <c r="D2394" s="211"/>
      <c r="E2394" s="171"/>
    </row>
    <row r="2395" hidden="1">
      <c r="A2395" s="136"/>
      <c r="B2395" s="96"/>
      <c r="C2395" s="86"/>
      <c r="D2395" s="209"/>
      <c r="E2395" s="215"/>
    </row>
    <row r="2396" hidden="1">
      <c r="A2396" s="136"/>
      <c r="B2396" s="96"/>
      <c r="C2396" s="86"/>
      <c r="D2396" s="211"/>
      <c r="E2396" s="171"/>
    </row>
    <row r="2397" hidden="1">
      <c r="A2397" s="136"/>
      <c r="B2397" s="96"/>
      <c r="C2397" s="86"/>
      <c r="D2397" s="209"/>
      <c r="E2397" s="215"/>
    </row>
    <row r="2398" hidden="1">
      <c r="A2398" s="136"/>
      <c r="B2398" s="96"/>
      <c r="C2398" s="86"/>
      <c r="D2398" s="211"/>
      <c r="E2398" s="171"/>
    </row>
    <row r="2399" hidden="1">
      <c r="A2399" s="136"/>
      <c r="B2399" s="96"/>
      <c r="C2399" s="86"/>
      <c r="D2399" s="209"/>
      <c r="E2399" s="215"/>
    </row>
    <row r="2400" hidden="1">
      <c r="A2400" s="136"/>
      <c r="B2400" s="96"/>
      <c r="C2400" s="86"/>
      <c r="D2400" s="211"/>
      <c r="E2400" s="171"/>
    </row>
    <row r="2401" hidden="1">
      <c r="A2401" s="136"/>
      <c r="B2401" s="96"/>
      <c r="C2401" s="86"/>
      <c r="D2401" s="209"/>
      <c r="E2401" s="215"/>
    </row>
    <row r="2402" hidden="1">
      <c r="A2402" s="136"/>
      <c r="B2402" s="96"/>
      <c r="C2402" s="86"/>
      <c r="D2402" s="211"/>
      <c r="E2402" s="171"/>
    </row>
    <row r="2403" hidden="1">
      <c r="A2403" s="136"/>
      <c r="B2403" s="96"/>
      <c r="C2403" s="86"/>
      <c r="D2403" s="209"/>
      <c r="E2403" s="215"/>
    </row>
    <row r="2404" hidden="1">
      <c r="A2404" s="136"/>
      <c r="B2404" s="96"/>
      <c r="C2404" s="86"/>
      <c r="D2404" s="211"/>
      <c r="E2404" s="171"/>
    </row>
    <row r="2405" hidden="1">
      <c r="A2405" s="136"/>
      <c r="B2405" s="96"/>
      <c r="C2405" s="86"/>
      <c r="D2405" s="209"/>
      <c r="E2405" s="215"/>
    </row>
    <row r="2406" hidden="1">
      <c r="A2406" s="136"/>
      <c r="B2406" s="96"/>
      <c r="C2406" s="86"/>
      <c r="D2406" s="211"/>
      <c r="E2406" s="171"/>
    </row>
    <row r="2407" hidden="1">
      <c r="A2407" s="136"/>
      <c r="B2407" s="96"/>
      <c r="C2407" s="86"/>
      <c r="D2407" s="209"/>
      <c r="E2407" s="215"/>
    </row>
    <row r="2408" hidden="1">
      <c r="A2408" s="136"/>
      <c r="B2408" s="96"/>
      <c r="C2408" s="86"/>
      <c r="D2408" s="211"/>
      <c r="E2408" s="171"/>
    </row>
    <row r="2409" hidden="1">
      <c r="A2409" s="136"/>
      <c r="B2409" s="96"/>
      <c r="C2409" s="86"/>
      <c r="D2409" s="209"/>
      <c r="E2409" s="215"/>
    </row>
    <row r="2410" hidden="1">
      <c r="A2410" s="136"/>
      <c r="B2410" s="96"/>
      <c r="C2410" s="86"/>
      <c r="D2410" s="211"/>
      <c r="E2410" s="171"/>
    </row>
    <row r="2411" hidden="1">
      <c r="A2411" s="136"/>
      <c r="B2411" s="96"/>
      <c r="C2411" s="86"/>
      <c r="D2411" s="209"/>
      <c r="E2411" s="215"/>
    </row>
    <row r="2412" hidden="1">
      <c r="A2412" s="136"/>
      <c r="B2412" s="96"/>
      <c r="C2412" s="86"/>
      <c r="D2412" s="211"/>
      <c r="E2412" s="171"/>
    </row>
    <row r="2413" hidden="1">
      <c r="A2413" s="136"/>
      <c r="B2413" s="96"/>
      <c r="C2413" s="86"/>
      <c r="D2413" s="209"/>
      <c r="E2413" s="215"/>
    </row>
    <row r="2414" hidden="1">
      <c r="A2414" s="136"/>
      <c r="B2414" s="96"/>
      <c r="C2414" s="86"/>
      <c r="D2414" s="211"/>
      <c r="E2414" s="171"/>
    </row>
    <row r="2415" hidden="1">
      <c r="A2415" s="136"/>
      <c r="B2415" s="96"/>
      <c r="C2415" s="86"/>
      <c r="D2415" s="209"/>
      <c r="E2415" s="215"/>
    </row>
    <row r="2416" hidden="1">
      <c r="A2416" s="136"/>
      <c r="B2416" s="96"/>
      <c r="C2416" s="86"/>
      <c r="D2416" s="211"/>
      <c r="E2416" s="171"/>
    </row>
    <row r="2417" hidden="1">
      <c r="A2417" s="136"/>
      <c r="B2417" s="96"/>
      <c r="C2417" s="86"/>
      <c r="D2417" s="209"/>
      <c r="E2417" s="215"/>
    </row>
    <row r="2418" hidden="1">
      <c r="A2418" s="136"/>
      <c r="B2418" s="96"/>
      <c r="C2418" s="86"/>
      <c r="D2418" s="211"/>
      <c r="E2418" s="171"/>
    </row>
    <row r="2419" hidden="1">
      <c r="A2419" s="136"/>
      <c r="B2419" s="96"/>
      <c r="C2419" s="86"/>
      <c r="D2419" s="209"/>
      <c r="E2419" s="215"/>
    </row>
    <row r="2420" hidden="1">
      <c r="A2420" s="136"/>
      <c r="B2420" s="96"/>
      <c r="C2420" s="86"/>
      <c r="D2420" s="211"/>
      <c r="E2420" s="171"/>
    </row>
    <row r="2421" hidden="1">
      <c r="A2421" s="136"/>
      <c r="B2421" s="96"/>
      <c r="C2421" s="86"/>
      <c r="D2421" s="209"/>
      <c r="E2421" s="215"/>
    </row>
    <row r="2422" hidden="1">
      <c r="A2422" s="136"/>
      <c r="B2422" s="96"/>
      <c r="C2422" s="86"/>
      <c r="D2422" s="211"/>
      <c r="E2422" s="171"/>
    </row>
    <row r="2423" hidden="1">
      <c r="A2423" s="136"/>
      <c r="B2423" s="96"/>
      <c r="C2423" s="86"/>
      <c r="D2423" s="209"/>
      <c r="E2423" s="215"/>
    </row>
    <row r="2424" hidden="1">
      <c r="A2424" s="136"/>
      <c r="B2424" s="96"/>
      <c r="C2424" s="86"/>
      <c r="D2424" s="211"/>
      <c r="E2424" s="171"/>
    </row>
    <row r="2425" hidden="1">
      <c r="A2425" s="136"/>
      <c r="B2425" s="96"/>
      <c r="C2425" s="86"/>
      <c r="D2425" s="209"/>
      <c r="E2425" s="215"/>
    </row>
    <row r="2426" hidden="1">
      <c r="A2426" s="136"/>
      <c r="B2426" s="96"/>
      <c r="C2426" s="86"/>
      <c r="D2426" s="211"/>
      <c r="E2426" s="171"/>
    </row>
    <row r="2427" hidden="1">
      <c r="A2427" s="136"/>
      <c r="B2427" s="96"/>
      <c r="C2427" s="86"/>
      <c r="D2427" s="209"/>
      <c r="E2427" s="215"/>
    </row>
    <row r="2428" hidden="1">
      <c r="A2428" s="136"/>
      <c r="B2428" s="96"/>
      <c r="C2428" s="86"/>
      <c r="D2428" s="211"/>
      <c r="E2428" s="171"/>
    </row>
    <row r="2429" hidden="1">
      <c r="A2429" s="136"/>
      <c r="B2429" s="96"/>
      <c r="C2429" s="86"/>
      <c r="D2429" s="209"/>
      <c r="E2429" s="215"/>
    </row>
    <row r="2430" hidden="1">
      <c r="A2430" s="136"/>
      <c r="B2430" s="96"/>
      <c r="C2430" s="86"/>
      <c r="D2430" s="211"/>
      <c r="E2430" s="171"/>
    </row>
    <row r="2431" hidden="1">
      <c r="A2431" s="136"/>
      <c r="B2431" s="96"/>
      <c r="C2431" s="86"/>
      <c r="D2431" s="209"/>
      <c r="E2431" s="215"/>
    </row>
    <row r="2432" hidden="1">
      <c r="A2432" s="136"/>
      <c r="B2432" s="96"/>
      <c r="C2432" s="86"/>
      <c r="D2432" s="211"/>
      <c r="E2432" s="171"/>
    </row>
    <row r="2433" hidden="1">
      <c r="A2433" s="136"/>
      <c r="B2433" s="96"/>
      <c r="C2433" s="86"/>
      <c r="D2433" s="209"/>
      <c r="E2433" s="215"/>
    </row>
    <row r="2434" hidden="1">
      <c r="A2434" s="136"/>
      <c r="B2434" s="96"/>
      <c r="C2434" s="86"/>
      <c r="D2434" s="211"/>
      <c r="E2434" s="171"/>
    </row>
    <row r="2435" hidden="1">
      <c r="A2435" s="136"/>
      <c r="B2435" s="96"/>
      <c r="C2435" s="86"/>
      <c r="D2435" s="209"/>
      <c r="E2435" s="215"/>
    </row>
    <row r="2436" hidden="1">
      <c r="A2436" s="136"/>
      <c r="B2436" s="96"/>
      <c r="C2436" s="86"/>
      <c r="D2436" s="211"/>
      <c r="E2436" s="171"/>
    </row>
    <row r="2437" hidden="1">
      <c r="A2437" s="136"/>
      <c r="B2437" s="96"/>
      <c r="C2437" s="86"/>
      <c r="D2437" s="209"/>
      <c r="E2437" s="215"/>
    </row>
    <row r="2438" hidden="1">
      <c r="A2438" s="136"/>
      <c r="B2438" s="96"/>
      <c r="C2438" s="86"/>
      <c r="D2438" s="211"/>
      <c r="E2438" s="171"/>
    </row>
    <row r="2439" hidden="1">
      <c r="A2439" s="136"/>
      <c r="B2439" s="96"/>
      <c r="C2439" s="86"/>
      <c r="D2439" s="209"/>
      <c r="E2439" s="215"/>
    </row>
    <row r="2440" hidden="1">
      <c r="A2440" s="136"/>
      <c r="B2440" s="96"/>
      <c r="C2440" s="86"/>
      <c r="D2440" s="211"/>
      <c r="E2440" s="171"/>
    </row>
    <row r="2441" hidden="1">
      <c r="A2441" s="136"/>
      <c r="B2441" s="96"/>
      <c r="C2441" s="86"/>
      <c r="D2441" s="209"/>
      <c r="E2441" s="215"/>
    </row>
    <row r="2442" hidden="1">
      <c r="A2442" s="136"/>
      <c r="B2442" s="96"/>
      <c r="C2442" s="86"/>
      <c r="D2442" s="211"/>
      <c r="E2442" s="171"/>
    </row>
    <row r="2443" hidden="1">
      <c r="A2443" s="136"/>
      <c r="B2443" s="96"/>
      <c r="C2443" s="86"/>
      <c r="D2443" s="209"/>
      <c r="E2443" s="215"/>
    </row>
    <row r="2444" hidden="1">
      <c r="A2444" s="136"/>
      <c r="B2444" s="96"/>
      <c r="C2444" s="86"/>
      <c r="D2444" s="211"/>
      <c r="E2444" s="171"/>
    </row>
    <row r="2445" hidden="1">
      <c r="A2445" s="136"/>
      <c r="B2445" s="96"/>
      <c r="C2445" s="86"/>
      <c r="D2445" s="209"/>
      <c r="E2445" s="215"/>
    </row>
    <row r="2446" hidden="1">
      <c r="A2446" s="136"/>
      <c r="B2446" s="96"/>
      <c r="C2446" s="86"/>
      <c r="D2446" s="211"/>
      <c r="E2446" s="171"/>
    </row>
    <row r="2447" hidden="1">
      <c r="A2447" s="136"/>
      <c r="B2447" s="96"/>
      <c r="C2447" s="86"/>
      <c r="D2447" s="209"/>
      <c r="E2447" s="215"/>
    </row>
    <row r="2448" hidden="1">
      <c r="A2448" s="136"/>
      <c r="B2448" s="96"/>
      <c r="C2448" s="86"/>
      <c r="D2448" s="211"/>
      <c r="E2448" s="171"/>
    </row>
    <row r="2449" hidden="1">
      <c r="A2449" s="136"/>
      <c r="B2449" s="96"/>
      <c r="C2449" s="86"/>
      <c r="D2449" s="209"/>
      <c r="E2449" s="215"/>
    </row>
    <row r="2450" hidden="1">
      <c r="A2450" s="136"/>
      <c r="B2450" s="96"/>
      <c r="C2450" s="86"/>
      <c r="D2450" s="211"/>
      <c r="E2450" s="171"/>
    </row>
    <row r="2451" hidden="1">
      <c r="A2451" s="136"/>
      <c r="B2451" s="96"/>
      <c r="C2451" s="86"/>
      <c r="D2451" s="209"/>
      <c r="E2451" s="215"/>
    </row>
    <row r="2452" hidden="1">
      <c r="A2452" s="136"/>
      <c r="B2452" s="96"/>
      <c r="C2452" s="86"/>
      <c r="D2452" s="211"/>
      <c r="E2452" s="171"/>
    </row>
    <row r="2453" hidden="1">
      <c r="A2453" s="136"/>
      <c r="B2453" s="96"/>
      <c r="C2453" s="86"/>
      <c r="D2453" s="209"/>
      <c r="E2453" s="215"/>
    </row>
    <row r="2454" hidden="1">
      <c r="A2454" s="136"/>
      <c r="B2454" s="96"/>
      <c r="C2454" s="86"/>
      <c r="D2454" s="211"/>
      <c r="E2454" s="171"/>
    </row>
    <row r="2455" hidden="1">
      <c r="A2455" s="136"/>
      <c r="B2455" s="96"/>
      <c r="C2455" s="86"/>
      <c r="D2455" s="209"/>
      <c r="E2455" s="215"/>
    </row>
    <row r="2456" hidden="1">
      <c r="A2456" s="136"/>
      <c r="B2456" s="96"/>
      <c r="C2456" s="86"/>
      <c r="D2456" s="211"/>
      <c r="E2456" s="171"/>
    </row>
    <row r="2457" hidden="1">
      <c r="A2457" s="136"/>
      <c r="B2457" s="96"/>
      <c r="C2457" s="86"/>
      <c r="D2457" s="209"/>
      <c r="E2457" s="215"/>
    </row>
    <row r="2458" hidden="1">
      <c r="A2458" s="136"/>
      <c r="B2458" s="96"/>
      <c r="C2458" s="86"/>
      <c r="D2458" s="211"/>
      <c r="E2458" s="171"/>
    </row>
    <row r="2459" hidden="1">
      <c r="A2459" s="136"/>
      <c r="B2459" s="96"/>
      <c r="C2459" s="86"/>
      <c r="D2459" s="209"/>
      <c r="E2459" s="215"/>
    </row>
    <row r="2460" hidden="1">
      <c r="A2460" s="136"/>
      <c r="B2460" s="96"/>
      <c r="C2460" s="86"/>
      <c r="D2460" s="211"/>
      <c r="E2460" s="171"/>
    </row>
    <row r="2461" hidden="1">
      <c r="A2461" s="136"/>
      <c r="B2461" s="96"/>
      <c r="C2461" s="86"/>
      <c r="D2461" s="209"/>
      <c r="E2461" s="215"/>
    </row>
    <row r="2462" hidden="1">
      <c r="A2462" s="136"/>
      <c r="B2462" s="96"/>
      <c r="C2462" s="86"/>
      <c r="D2462" s="211"/>
      <c r="E2462" s="171"/>
    </row>
    <row r="2463" hidden="1">
      <c r="A2463" s="136"/>
      <c r="B2463" s="96"/>
      <c r="C2463" s="86"/>
      <c r="D2463" s="209"/>
      <c r="E2463" s="215"/>
    </row>
    <row r="2464" hidden="1">
      <c r="A2464" s="136"/>
      <c r="B2464" s="96"/>
      <c r="C2464" s="86"/>
      <c r="D2464" s="211"/>
      <c r="E2464" s="171"/>
    </row>
    <row r="2465" hidden="1">
      <c r="A2465" s="136"/>
      <c r="B2465" s="96"/>
      <c r="C2465" s="86"/>
      <c r="D2465" s="209"/>
      <c r="E2465" s="215"/>
    </row>
    <row r="2466" hidden="1">
      <c r="A2466" s="136"/>
      <c r="B2466" s="96"/>
      <c r="C2466" s="86"/>
      <c r="D2466" s="211"/>
      <c r="E2466" s="171"/>
    </row>
    <row r="2467" hidden="1">
      <c r="A2467" s="136"/>
      <c r="B2467" s="96"/>
      <c r="C2467" s="86"/>
      <c r="D2467" s="209"/>
      <c r="E2467" s="215"/>
    </row>
    <row r="2468" hidden="1">
      <c r="A2468" s="136"/>
      <c r="B2468" s="96"/>
      <c r="C2468" s="86"/>
      <c r="D2468" s="211"/>
      <c r="E2468" s="171"/>
    </row>
    <row r="2469" hidden="1">
      <c r="A2469" s="136"/>
      <c r="B2469" s="96"/>
      <c r="C2469" s="86"/>
      <c r="D2469" s="209"/>
      <c r="E2469" s="215"/>
    </row>
    <row r="2470" hidden="1">
      <c r="A2470" s="136"/>
      <c r="B2470" s="96"/>
      <c r="C2470" s="86"/>
      <c r="D2470" s="211"/>
      <c r="E2470" s="171"/>
    </row>
    <row r="2471" hidden="1">
      <c r="A2471" s="136"/>
      <c r="B2471" s="96"/>
      <c r="C2471" s="86"/>
      <c r="D2471" s="209"/>
      <c r="E2471" s="215"/>
    </row>
    <row r="2472" hidden="1">
      <c r="A2472" s="136"/>
      <c r="B2472" s="96"/>
      <c r="C2472" s="86"/>
      <c r="D2472" s="211"/>
      <c r="E2472" s="171"/>
    </row>
    <row r="2473" hidden="1">
      <c r="A2473" s="136"/>
      <c r="B2473" s="96"/>
      <c r="C2473" s="86"/>
      <c r="D2473" s="209"/>
      <c r="E2473" s="215"/>
    </row>
    <row r="2474" hidden="1">
      <c r="A2474" s="136"/>
      <c r="B2474" s="96"/>
      <c r="C2474" s="86"/>
      <c r="D2474" s="211"/>
      <c r="E2474" s="171"/>
    </row>
    <row r="2475" hidden="1">
      <c r="A2475" s="136"/>
      <c r="B2475" s="96"/>
      <c r="C2475" s="86"/>
      <c r="D2475" s="209"/>
      <c r="E2475" s="215"/>
    </row>
    <row r="2476" hidden="1">
      <c r="A2476" s="136"/>
      <c r="B2476" s="96"/>
      <c r="C2476" s="86"/>
      <c r="D2476" s="211"/>
      <c r="E2476" s="171"/>
    </row>
    <row r="2477" hidden="1">
      <c r="A2477" s="136"/>
      <c r="B2477" s="96"/>
      <c r="C2477" s="86"/>
      <c r="D2477" s="209"/>
      <c r="E2477" s="215"/>
    </row>
    <row r="2478" hidden="1">
      <c r="A2478" s="136"/>
      <c r="B2478" s="96"/>
      <c r="C2478" s="86"/>
      <c r="D2478" s="211"/>
      <c r="E2478" s="171"/>
    </row>
    <row r="2479" hidden="1">
      <c r="A2479" s="136"/>
      <c r="B2479" s="96"/>
      <c r="C2479" s="86"/>
      <c r="D2479" s="209"/>
      <c r="E2479" s="215"/>
    </row>
    <row r="2480" hidden="1">
      <c r="A2480" s="136"/>
      <c r="B2480" s="96"/>
      <c r="C2480" s="86"/>
      <c r="D2480" s="211"/>
      <c r="E2480" s="171"/>
    </row>
    <row r="2481" hidden="1">
      <c r="A2481" s="136"/>
      <c r="B2481" s="96"/>
      <c r="C2481" s="86"/>
      <c r="D2481" s="209"/>
      <c r="E2481" s="215"/>
    </row>
    <row r="2482" hidden="1">
      <c r="A2482" s="136"/>
      <c r="B2482" s="96"/>
      <c r="C2482" s="86"/>
      <c r="D2482" s="211"/>
      <c r="E2482" s="171"/>
    </row>
    <row r="2483" hidden="1">
      <c r="A2483" s="136"/>
      <c r="B2483" s="96"/>
      <c r="C2483" s="86"/>
      <c r="D2483" s="209"/>
      <c r="E2483" s="215"/>
    </row>
    <row r="2484" hidden="1">
      <c r="A2484" s="136"/>
      <c r="B2484" s="96"/>
      <c r="C2484" s="86"/>
      <c r="D2484" s="211"/>
      <c r="E2484" s="171"/>
    </row>
    <row r="2485" hidden="1">
      <c r="A2485" s="136"/>
      <c r="B2485" s="96"/>
      <c r="C2485" s="86"/>
      <c r="D2485" s="209"/>
      <c r="E2485" s="215"/>
    </row>
    <row r="2486" hidden="1">
      <c r="A2486" s="136"/>
      <c r="B2486" s="96"/>
      <c r="C2486" s="86"/>
      <c r="D2486" s="211"/>
      <c r="E2486" s="171"/>
    </row>
    <row r="2487" hidden="1">
      <c r="A2487" s="136"/>
      <c r="B2487" s="96"/>
      <c r="C2487" s="86"/>
      <c r="D2487" s="209"/>
      <c r="E2487" s="215"/>
    </row>
    <row r="2488" hidden="1">
      <c r="A2488" s="136"/>
      <c r="B2488" s="96"/>
      <c r="C2488" s="86"/>
      <c r="D2488" s="211"/>
      <c r="E2488" s="171"/>
    </row>
    <row r="2489" hidden="1">
      <c r="A2489" s="136"/>
      <c r="B2489" s="96"/>
      <c r="C2489" s="86"/>
      <c r="D2489" s="209"/>
      <c r="E2489" s="215"/>
    </row>
    <row r="2490" hidden="1">
      <c r="A2490" s="136"/>
      <c r="B2490" s="96"/>
      <c r="C2490" s="86"/>
      <c r="D2490" s="211"/>
      <c r="E2490" s="171"/>
    </row>
    <row r="2491" hidden="1">
      <c r="A2491" s="136"/>
      <c r="B2491" s="96"/>
      <c r="C2491" s="86"/>
      <c r="D2491" s="209"/>
      <c r="E2491" s="215"/>
    </row>
    <row r="2492" hidden="1">
      <c r="A2492" s="136"/>
      <c r="B2492" s="96"/>
      <c r="C2492" s="86"/>
      <c r="D2492" s="211"/>
      <c r="E2492" s="171"/>
    </row>
    <row r="2493" hidden="1">
      <c r="A2493" s="136"/>
      <c r="B2493" s="96"/>
      <c r="C2493" s="86"/>
      <c r="D2493" s="209"/>
      <c r="E2493" s="215"/>
    </row>
    <row r="2494" hidden="1">
      <c r="A2494" s="136"/>
      <c r="B2494" s="96"/>
      <c r="C2494" s="86"/>
      <c r="D2494" s="211"/>
      <c r="E2494" s="171"/>
    </row>
    <row r="2495" hidden="1">
      <c r="A2495" s="136"/>
      <c r="B2495" s="96"/>
      <c r="C2495" s="86"/>
      <c r="D2495" s="209"/>
      <c r="E2495" s="215"/>
    </row>
    <row r="2496" hidden="1">
      <c r="A2496" s="136"/>
      <c r="B2496" s="96"/>
      <c r="C2496" s="86"/>
      <c r="D2496" s="211"/>
      <c r="E2496" s="171"/>
    </row>
    <row r="2497" hidden="1">
      <c r="A2497" s="136"/>
      <c r="B2497" s="96"/>
      <c r="C2497" s="86"/>
      <c r="D2497" s="209"/>
      <c r="E2497" s="215"/>
    </row>
    <row r="2498" hidden="1">
      <c r="A2498" s="136"/>
      <c r="B2498" s="96"/>
      <c r="C2498" s="86"/>
      <c r="D2498" s="211"/>
      <c r="E2498" s="171"/>
    </row>
    <row r="2499" hidden="1">
      <c r="A2499" s="136"/>
      <c r="B2499" s="96"/>
      <c r="C2499" s="86"/>
      <c r="D2499" s="209"/>
      <c r="E2499" s="215"/>
    </row>
    <row r="2500" hidden="1">
      <c r="A2500" s="136"/>
      <c r="B2500" s="96"/>
      <c r="C2500" s="86"/>
      <c r="D2500" s="211"/>
      <c r="E2500" s="171"/>
    </row>
    <row r="2501" hidden="1">
      <c r="A2501" s="136"/>
      <c r="B2501" s="96"/>
      <c r="C2501" s="86"/>
      <c r="D2501" s="209"/>
      <c r="E2501" s="215"/>
    </row>
    <row r="2502" hidden="1">
      <c r="A2502" s="136"/>
      <c r="B2502" s="96"/>
      <c r="C2502" s="86"/>
      <c r="D2502" s="211"/>
      <c r="E2502" s="171"/>
    </row>
    <row r="2503" hidden="1">
      <c r="A2503" s="136"/>
      <c r="B2503" s="96"/>
      <c r="C2503" s="86"/>
      <c r="D2503" s="209"/>
      <c r="E2503" s="215"/>
    </row>
    <row r="2504" hidden="1">
      <c r="A2504" s="136"/>
      <c r="B2504" s="96"/>
      <c r="C2504" s="86"/>
      <c r="D2504" s="211"/>
      <c r="E2504" s="171"/>
    </row>
    <row r="2505" hidden="1">
      <c r="A2505" s="136"/>
      <c r="B2505" s="96"/>
      <c r="C2505" s="86"/>
      <c r="D2505" s="209"/>
      <c r="E2505" s="215"/>
    </row>
    <row r="2506" hidden="1">
      <c r="A2506" s="136"/>
      <c r="B2506" s="96"/>
      <c r="C2506" s="86"/>
      <c r="D2506" s="211"/>
      <c r="E2506" s="171"/>
    </row>
    <row r="2507" hidden="1">
      <c r="A2507" s="136"/>
      <c r="B2507" s="96"/>
      <c r="C2507" s="86"/>
      <c r="D2507" s="209"/>
      <c r="E2507" s="215"/>
    </row>
    <row r="2508" hidden="1">
      <c r="A2508" s="136"/>
      <c r="B2508" s="96"/>
      <c r="C2508" s="86"/>
      <c r="D2508" s="211"/>
      <c r="E2508" s="171"/>
    </row>
    <row r="2509" hidden="1">
      <c r="A2509" s="136"/>
      <c r="B2509" s="96"/>
      <c r="C2509" s="86"/>
      <c r="D2509" s="209"/>
      <c r="E2509" s="215"/>
    </row>
    <row r="2510" hidden="1">
      <c r="A2510" s="136"/>
      <c r="B2510" s="96"/>
      <c r="C2510" s="86"/>
      <c r="D2510" s="211"/>
      <c r="E2510" s="171"/>
    </row>
    <row r="2511" hidden="1">
      <c r="A2511" s="136"/>
      <c r="B2511" s="96"/>
      <c r="C2511" s="86"/>
      <c r="D2511" s="209"/>
      <c r="E2511" s="215"/>
    </row>
    <row r="2512" hidden="1">
      <c r="A2512" s="136"/>
      <c r="B2512" s="96"/>
      <c r="C2512" s="86"/>
      <c r="D2512" s="211"/>
      <c r="E2512" s="171"/>
    </row>
    <row r="2513" hidden="1">
      <c r="A2513" s="136"/>
      <c r="B2513" s="96"/>
      <c r="C2513" s="86"/>
      <c r="D2513" s="209"/>
      <c r="E2513" s="215"/>
    </row>
    <row r="2514" hidden="1">
      <c r="A2514" s="136"/>
      <c r="B2514" s="96"/>
      <c r="C2514" s="86"/>
      <c r="D2514" s="211"/>
      <c r="E2514" s="171"/>
    </row>
    <row r="2515" hidden="1">
      <c r="A2515" s="136"/>
      <c r="B2515" s="96"/>
      <c r="C2515" s="86"/>
      <c r="D2515" s="209"/>
      <c r="E2515" s="215"/>
    </row>
    <row r="2516" hidden="1">
      <c r="A2516" s="136"/>
      <c r="B2516" s="96"/>
      <c r="C2516" s="86"/>
      <c r="D2516" s="211"/>
      <c r="E2516" s="171"/>
    </row>
    <row r="2517" hidden="1">
      <c r="A2517" s="136"/>
      <c r="B2517" s="96"/>
      <c r="C2517" s="86"/>
      <c r="D2517" s="209"/>
      <c r="E2517" s="215"/>
    </row>
    <row r="2518" hidden="1">
      <c r="A2518" s="136"/>
      <c r="B2518" s="96"/>
      <c r="C2518" s="86"/>
      <c r="D2518" s="211"/>
      <c r="E2518" s="171"/>
    </row>
    <row r="2519" hidden="1">
      <c r="A2519" s="136"/>
      <c r="B2519" s="96"/>
      <c r="C2519" s="86"/>
      <c r="D2519" s="209"/>
      <c r="E2519" s="215"/>
    </row>
    <row r="2520" hidden="1">
      <c r="A2520" s="136"/>
      <c r="B2520" s="96"/>
      <c r="C2520" s="86"/>
      <c r="D2520" s="211"/>
      <c r="E2520" s="171"/>
    </row>
    <row r="2521" hidden="1">
      <c r="A2521" s="136"/>
      <c r="B2521" s="96"/>
      <c r="C2521" s="86"/>
      <c r="D2521" s="209"/>
      <c r="E2521" s="215"/>
    </row>
    <row r="2522" hidden="1">
      <c r="A2522" s="136"/>
      <c r="B2522" s="96"/>
      <c r="C2522" s="86"/>
      <c r="D2522" s="211"/>
      <c r="E2522" s="171"/>
    </row>
    <row r="2523" hidden="1">
      <c r="A2523" s="136"/>
      <c r="B2523" s="96"/>
      <c r="C2523" s="86"/>
      <c r="D2523" s="209"/>
      <c r="E2523" s="215"/>
    </row>
    <row r="2524" hidden="1">
      <c r="A2524" s="136"/>
      <c r="B2524" s="96"/>
      <c r="C2524" s="86"/>
      <c r="D2524" s="211"/>
      <c r="E2524" s="171"/>
    </row>
    <row r="2525" hidden="1">
      <c r="A2525" s="136"/>
      <c r="B2525" s="96"/>
      <c r="C2525" s="86"/>
      <c r="D2525" s="209"/>
      <c r="E2525" s="215"/>
    </row>
    <row r="2526" hidden="1">
      <c r="A2526" s="136"/>
      <c r="B2526" s="96"/>
      <c r="C2526" s="86"/>
      <c r="D2526" s="211"/>
      <c r="E2526" s="171"/>
    </row>
    <row r="2527" hidden="1">
      <c r="A2527" s="136"/>
      <c r="B2527" s="96"/>
      <c r="C2527" s="86"/>
      <c r="D2527" s="209"/>
      <c r="E2527" s="215"/>
    </row>
    <row r="2528" hidden="1">
      <c r="A2528" s="136"/>
      <c r="B2528" s="96"/>
      <c r="C2528" s="86"/>
      <c r="D2528" s="211"/>
      <c r="E2528" s="171"/>
    </row>
    <row r="2529" hidden="1">
      <c r="A2529" s="136"/>
      <c r="B2529" s="96"/>
      <c r="C2529" s="86"/>
      <c r="D2529" s="209"/>
      <c r="E2529" s="215"/>
    </row>
    <row r="2530" hidden="1">
      <c r="A2530" s="136"/>
      <c r="B2530" s="96"/>
      <c r="C2530" s="86"/>
      <c r="D2530" s="211"/>
      <c r="E2530" s="171"/>
    </row>
    <row r="2531" hidden="1">
      <c r="A2531" s="136"/>
      <c r="B2531" s="96"/>
      <c r="C2531" s="86"/>
      <c r="D2531" s="209"/>
      <c r="E2531" s="215"/>
    </row>
    <row r="2532" hidden="1">
      <c r="A2532" s="136"/>
      <c r="B2532" s="96"/>
      <c r="C2532" s="86"/>
      <c r="D2532" s="211"/>
      <c r="E2532" s="171"/>
    </row>
    <row r="2533" hidden="1">
      <c r="A2533" s="136"/>
      <c r="B2533" s="96"/>
      <c r="C2533" s="86"/>
      <c r="D2533" s="209"/>
      <c r="E2533" s="215"/>
    </row>
    <row r="2534" hidden="1">
      <c r="A2534" s="136"/>
      <c r="B2534" s="96"/>
      <c r="C2534" s="86"/>
      <c r="D2534" s="211"/>
      <c r="E2534" s="171"/>
    </row>
    <row r="2535" hidden="1">
      <c r="A2535" s="136"/>
      <c r="B2535" s="96"/>
      <c r="C2535" s="86"/>
      <c r="D2535" s="209"/>
      <c r="E2535" s="215"/>
    </row>
    <row r="2536" hidden="1">
      <c r="A2536" s="136"/>
      <c r="B2536" s="96"/>
      <c r="C2536" s="86"/>
      <c r="D2536" s="211"/>
      <c r="E2536" s="171"/>
    </row>
    <row r="2537" hidden="1">
      <c r="A2537" s="136"/>
      <c r="B2537" s="96"/>
      <c r="C2537" s="86"/>
      <c r="D2537" s="209"/>
      <c r="E2537" s="215"/>
    </row>
    <row r="2538" hidden="1">
      <c r="A2538" s="136"/>
      <c r="B2538" s="96"/>
      <c r="C2538" s="86"/>
      <c r="D2538" s="211"/>
      <c r="E2538" s="171"/>
    </row>
    <row r="2539" hidden="1">
      <c r="A2539" s="136"/>
      <c r="B2539" s="96"/>
      <c r="C2539" s="86"/>
      <c r="D2539" s="209"/>
      <c r="E2539" s="215"/>
    </row>
    <row r="2540" hidden="1">
      <c r="A2540" s="136"/>
      <c r="B2540" s="96"/>
      <c r="C2540" s="86"/>
      <c r="D2540" s="211"/>
      <c r="E2540" s="171"/>
    </row>
    <row r="2541" hidden="1">
      <c r="A2541" s="136"/>
      <c r="B2541" s="96"/>
      <c r="C2541" s="86"/>
      <c r="D2541" s="209"/>
      <c r="E2541" s="215"/>
    </row>
    <row r="2542" hidden="1">
      <c r="A2542" s="136"/>
      <c r="B2542" s="96"/>
      <c r="C2542" s="86"/>
      <c r="D2542" s="211"/>
      <c r="E2542" s="171"/>
    </row>
    <row r="2543" hidden="1">
      <c r="A2543" s="136"/>
      <c r="B2543" s="96"/>
      <c r="C2543" s="86"/>
      <c r="D2543" s="209"/>
      <c r="E2543" s="215"/>
    </row>
    <row r="2544" hidden="1">
      <c r="A2544" s="136"/>
      <c r="B2544" s="96"/>
      <c r="C2544" s="86"/>
      <c r="D2544" s="211"/>
      <c r="E2544" s="171"/>
    </row>
    <row r="2545" hidden="1">
      <c r="A2545" s="136"/>
      <c r="B2545" s="96"/>
      <c r="C2545" s="86"/>
      <c r="D2545" s="209"/>
      <c r="E2545" s="215"/>
    </row>
    <row r="2546" hidden="1">
      <c r="A2546" s="136"/>
      <c r="B2546" s="96"/>
      <c r="C2546" s="86"/>
      <c r="D2546" s="211"/>
      <c r="E2546" s="171"/>
    </row>
    <row r="2547" hidden="1">
      <c r="A2547" s="136"/>
      <c r="B2547" s="96"/>
      <c r="C2547" s="86"/>
      <c r="D2547" s="209"/>
      <c r="E2547" s="215"/>
    </row>
    <row r="2548" hidden="1">
      <c r="A2548" s="136"/>
      <c r="B2548" s="96"/>
      <c r="C2548" s="86"/>
      <c r="D2548" s="211"/>
      <c r="E2548" s="171"/>
    </row>
    <row r="2549" hidden="1">
      <c r="A2549" s="136"/>
      <c r="B2549" s="96"/>
      <c r="C2549" s="86"/>
      <c r="D2549" s="209"/>
      <c r="E2549" s="215"/>
    </row>
    <row r="2550" hidden="1">
      <c r="A2550" s="136"/>
      <c r="B2550" s="96"/>
      <c r="C2550" s="86"/>
      <c r="D2550" s="211"/>
      <c r="E2550" s="171"/>
    </row>
    <row r="2551" hidden="1">
      <c r="A2551" s="136"/>
      <c r="B2551" s="96"/>
      <c r="C2551" s="86"/>
      <c r="D2551" s="209"/>
      <c r="E2551" s="215"/>
    </row>
    <row r="2552" hidden="1">
      <c r="A2552" s="136"/>
      <c r="B2552" s="96"/>
      <c r="C2552" s="86"/>
      <c r="D2552" s="211"/>
      <c r="E2552" s="171"/>
    </row>
    <row r="2553" hidden="1">
      <c r="A2553" s="136"/>
      <c r="B2553" s="96"/>
      <c r="C2553" s="86"/>
      <c r="D2553" s="209"/>
      <c r="E2553" s="215"/>
    </row>
    <row r="2554" hidden="1">
      <c r="A2554" s="136"/>
      <c r="B2554" s="96"/>
      <c r="C2554" s="86"/>
      <c r="D2554" s="211"/>
      <c r="E2554" s="171"/>
    </row>
    <row r="2555" hidden="1">
      <c r="A2555" s="136"/>
      <c r="B2555" s="96"/>
      <c r="C2555" s="86"/>
      <c r="D2555" s="209"/>
      <c r="E2555" s="215"/>
    </row>
    <row r="2556" hidden="1">
      <c r="A2556" s="136"/>
      <c r="B2556" s="96"/>
      <c r="C2556" s="86"/>
      <c r="D2556" s="211"/>
      <c r="E2556" s="171"/>
    </row>
    <row r="2557" hidden="1">
      <c r="A2557" s="136"/>
      <c r="B2557" s="96"/>
      <c r="C2557" s="86"/>
      <c r="D2557" s="209"/>
      <c r="E2557" s="215"/>
    </row>
    <row r="2558" hidden="1">
      <c r="A2558" s="136"/>
      <c r="B2558" s="96"/>
      <c r="C2558" s="86"/>
      <c r="D2558" s="211"/>
      <c r="E2558" s="171"/>
    </row>
    <row r="2559" hidden="1">
      <c r="A2559" s="136"/>
      <c r="B2559" s="96"/>
      <c r="C2559" s="86"/>
      <c r="D2559" s="209"/>
      <c r="E2559" s="215"/>
    </row>
    <row r="2560" hidden="1">
      <c r="A2560" s="136"/>
      <c r="B2560" s="96"/>
      <c r="C2560" s="86"/>
      <c r="D2560" s="211"/>
      <c r="E2560" s="171"/>
    </row>
    <row r="2561" hidden="1">
      <c r="A2561" s="136"/>
      <c r="B2561" s="96"/>
      <c r="C2561" s="86"/>
      <c r="D2561" s="209"/>
      <c r="E2561" s="215"/>
    </row>
    <row r="2562" hidden="1">
      <c r="A2562" s="136"/>
      <c r="B2562" s="96"/>
      <c r="C2562" s="86"/>
      <c r="D2562" s="211"/>
      <c r="E2562" s="171"/>
    </row>
    <row r="2563" hidden="1">
      <c r="A2563" s="136"/>
      <c r="B2563" s="96"/>
      <c r="C2563" s="86"/>
      <c r="D2563" s="209"/>
      <c r="E2563" s="215"/>
    </row>
    <row r="2564" hidden="1">
      <c r="A2564" s="136"/>
      <c r="B2564" s="96"/>
      <c r="C2564" s="86"/>
      <c r="D2564" s="211"/>
      <c r="E2564" s="171"/>
    </row>
    <row r="2565" hidden="1">
      <c r="A2565" s="136"/>
      <c r="B2565" s="96"/>
      <c r="C2565" s="86"/>
      <c r="D2565" s="209"/>
      <c r="E2565" s="215"/>
    </row>
    <row r="2566" hidden="1">
      <c r="A2566" s="136"/>
      <c r="B2566" s="96"/>
      <c r="C2566" s="86"/>
      <c r="D2566" s="211"/>
      <c r="E2566" s="171"/>
    </row>
    <row r="2567" hidden="1">
      <c r="A2567" s="136"/>
      <c r="B2567" s="96"/>
      <c r="C2567" s="86"/>
      <c r="D2567" s="209"/>
      <c r="E2567" s="215"/>
    </row>
    <row r="2568" hidden="1">
      <c r="A2568" s="136"/>
      <c r="B2568" s="96"/>
      <c r="C2568" s="86"/>
      <c r="D2568" s="211"/>
      <c r="E2568" s="171"/>
    </row>
    <row r="2569" hidden="1">
      <c r="A2569" s="136"/>
      <c r="B2569" s="96"/>
      <c r="C2569" s="86"/>
      <c r="D2569" s="209"/>
      <c r="E2569" s="215"/>
    </row>
    <row r="2570" hidden="1">
      <c r="A2570" s="136"/>
      <c r="B2570" s="96"/>
      <c r="C2570" s="86"/>
      <c r="D2570" s="211"/>
      <c r="E2570" s="171"/>
    </row>
    <row r="2571" hidden="1">
      <c r="A2571" s="136"/>
      <c r="B2571" s="96"/>
      <c r="C2571" s="86"/>
      <c r="D2571" s="209"/>
      <c r="E2571" s="215"/>
    </row>
    <row r="2572" hidden="1">
      <c r="A2572" s="136"/>
      <c r="B2572" s="96"/>
      <c r="C2572" s="86"/>
      <c r="D2572" s="211"/>
      <c r="E2572" s="171"/>
    </row>
    <row r="2573" hidden="1">
      <c r="A2573" s="136"/>
      <c r="B2573" s="96"/>
      <c r="C2573" s="86"/>
      <c r="D2573" s="209"/>
      <c r="E2573" s="215"/>
    </row>
    <row r="2574" hidden="1">
      <c r="A2574" s="136"/>
      <c r="B2574" s="96"/>
      <c r="C2574" s="86"/>
      <c r="D2574" s="211"/>
      <c r="E2574" s="171"/>
    </row>
    <row r="2575" hidden="1">
      <c r="A2575" s="136"/>
      <c r="B2575" s="96"/>
      <c r="C2575" s="86"/>
      <c r="D2575" s="209"/>
      <c r="E2575" s="215"/>
    </row>
    <row r="2576" hidden="1">
      <c r="A2576" s="136"/>
      <c r="B2576" s="96"/>
      <c r="C2576" s="86"/>
      <c r="D2576" s="211"/>
      <c r="E2576" s="171"/>
    </row>
    <row r="2577" hidden="1">
      <c r="A2577" s="136"/>
      <c r="B2577" s="96"/>
      <c r="C2577" s="86"/>
      <c r="D2577" s="209"/>
      <c r="E2577" s="215"/>
    </row>
    <row r="2578" hidden="1">
      <c r="A2578" s="136"/>
      <c r="B2578" s="96"/>
      <c r="C2578" s="86"/>
      <c r="D2578" s="211"/>
      <c r="E2578" s="171"/>
    </row>
    <row r="2579" hidden="1">
      <c r="A2579" s="136"/>
      <c r="B2579" s="96"/>
      <c r="C2579" s="86"/>
      <c r="D2579" s="209"/>
      <c r="E2579" s="215"/>
    </row>
    <row r="2580" hidden="1">
      <c r="A2580" s="136"/>
      <c r="B2580" s="96"/>
      <c r="C2580" s="86"/>
      <c r="D2580" s="211"/>
      <c r="E2580" s="171"/>
    </row>
    <row r="2581" hidden="1">
      <c r="A2581" s="136"/>
      <c r="B2581" s="96"/>
      <c r="C2581" s="86"/>
      <c r="D2581" s="209"/>
      <c r="E2581" s="215"/>
    </row>
    <row r="2582" hidden="1">
      <c r="A2582" s="136"/>
      <c r="B2582" s="96"/>
      <c r="C2582" s="86"/>
      <c r="D2582" s="211"/>
      <c r="E2582" s="171"/>
    </row>
    <row r="2583" hidden="1">
      <c r="A2583" s="136"/>
      <c r="B2583" s="96"/>
      <c r="C2583" s="86"/>
      <c r="D2583" s="209"/>
      <c r="E2583" s="215"/>
    </row>
    <row r="2584" hidden="1">
      <c r="A2584" s="136"/>
      <c r="B2584" s="96"/>
      <c r="C2584" s="86"/>
      <c r="D2584" s="211"/>
      <c r="E2584" s="171"/>
    </row>
    <row r="2585" hidden="1">
      <c r="A2585" s="136"/>
      <c r="B2585" s="96"/>
      <c r="C2585" s="86"/>
      <c r="D2585" s="209"/>
      <c r="E2585" s="215"/>
    </row>
    <row r="2586" hidden="1">
      <c r="A2586" s="136"/>
      <c r="B2586" s="96"/>
      <c r="C2586" s="86"/>
      <c r="D2586" s="211"/>
      <c r="E2586" s="171"/>
    </row>
    <row r="2587" hidden="1">
      <c r="A2587" s="136"/>
      <c r="B2587" s="96"/>
      <c r="C2587" s="86"/>
      <c r="D2587" s="209"/>
      <c r="E2587" s="215"/>
    </row>
    <row r="2588" hidden="1">
      <c r="A2588" s="136"/>
      <c r="B2588" s="96"/>
      <c r="C2588" s="86"/>
      <c r="D2588" s="211"/>
      <c r="E2588" s="171"/>
    </row>
    <row r="2589" hidden="1">
      <c r="A2589" s="136"/>
      <c r="B2589" s="96"/>
      <c r="C2589" s="86"/>
      <c r="D2589" s="209"/>
      <c r="E2589" s="215"/>
    </row>
    <row r="2590" hidden="1">
      <c r="A2590" s="136"/>
      <c r="B2590" s="96"/>
      <c r="C2590" s="86"/>
      <c r="D2590" s="211"/>
      <c r="E2590" s="171"/>
    </row>
    <row r="2591" hidden="1">
      <c r="A2591" s="136"/>
      <c r="B2591" s="96"/>
      <c r="C2591" s="86"/>
      <c r="D2591" s="209"/>
      <c r="E2591" s="215"/>
    </row>
    <row r="2592" hidden="1">
      <c r="A2592" s="136"/>
      <c r="B2592" s="96"/>
      <c r="C2592" s="86"/>
      <c r="D2592" s="211"/>
      <c r="E2592" s="171"/>
    </row>
    <row r="2593" hidden="1">
      <c r="A2593" s="136"/>
      <c r="B2593" s="96"/>
      <c r="C2593" s="86"/>
      <c r="D2593" s="209"/>
      <c r="E2593" s="215"/>
    </row>
    <row r="2594" hidden="1">
      <c r="A2594" s="136"/>
      <c r="B2594" s="96"/>
      <c r="C2594" s="86"/>
      <c r="D2594" s="211"/>
      <c r="E2594" s="171"/>
    </row>
    <row r="2595" hidden="1">
      <c r="A2595" s="136"/>
      <c r="B2595" s="96"/>
      <c r="C2595" s="86"/>
      <c r="D2595" s="209"/>
      <c r="E2595" s="215"/>
    </row>
    <row r="2596" hidden="1">
      <c r="A2596" s="136"/>
      <c r="B2596" s="96"/>
      <c r="C2596" s="86"/>
      <c r="D2596" s="211"/>
      <c r="E2596" s="171"/>
    </row>
    <row r="2597" hidden="1">
      <c r="A2597" s="136"/>
      <c r="B2597" s="96"/>
      <c r="C2597" s="86"/>
      <c r="D2597" s="209"/>
      <c r="E2597" s="215"/>
    </row>
    <row r="2598" hidden="1">
      <c r="A2598" s="136"/>
      <c r="B2598" s="96"/>
      <c r="C2598" s="86"/>
      <c r="D2598" s="211"/>
      <c r="E2598" s="171"/>
    </row>
    <row r="2599" hidden="1">
      <c r="A2599" s="136"/>
      <c r="B2599" s="96"/>
      <c r="C2599" s="86"/>
      <c r="D2599" s="209"/>
      <c r="E2599" s="215"/>
    </row>
    <row r="2600" hidden="1">
      <c r="A2600" s="136"/>
      <c r="B2600" s="96"/>
      <c r="C2600" s="86"/>
      <c r="D2600" s="211"/>
      <c r="E2600" s="171"/>
    </row>
    <row r="2601" hidden="1">
      <c r="A2601" s="136"/>
      <c r="B2601" s="96"/>
      <c r="C2601" s="86"/>
      <c r="D2601" s="209"/>
      <c r="E2601" s="215"/>
    </row>
    <row r="2602" hidden="1">
      <c r="A2602" s="136"/>
      <c r="B2602" s="96"/>
      <c r="C2602" s="86"/>
      <c r="D2602" s="211"/>
      <c r="E2602" s="171"/>
    </row>
    <row r="2603" hidden="1">
      <c r="A2603" s="136"/>
      <c r="B2603" s="96"/>
      <c r="C2603" s="86"/>
      <c r="D2603" s="209"/>
      <c r="E2603" s="215"/>
    </row>
    <row r="2604" hidden="1">
      <c r="A2604" s="136"/>
      <c r="B2604" s="96"/>
      <c r="C2604" s="86"/>
      <c r="D2604" s="211"/>
      <c r="E2604" s="171"/>
    </row>
    <row r="2605" hidden="1">
      <c r="A2605" s="136"/>
      <c r="B2605" s="96"/>
      <c r="C2605" s="86"/>
      <c r="D2605" s="209"/>
      <c r="E2605" s="215"/>
    </row>
    <row r="2606" hidden="1">
      <c r="A2606" s="136"/>
      <c r="B2606" s="96"/>
      <c r="C2606" s="86"/>
      <c r="D2606" s="211"/>
      <c r="E2606" s="171"/>
    </row>
    <row r="2607" hidden="1">
      <c r="A2607" s="136"/>
      <c r="B2607" s="96"/>
      <c r="C2607" s="86"/>
      <c r="D2607" s="209"/>
      <c r="E2607" s="215"/>
    </row>
    <row r="2608" hidden="1">
      <c r="A2608" s="136"/>
      <c r="B2608" s="96"/>
      <c r="C2608" s="86"/>
      <c r="D2608" s="211"/>
      <c r="E2608" s="171"/>
    </row>
    <row r="2609" hidden="1">
      <c r="A2609" s="136"/>
      <c r="B2609" s="96"/>
      <c r="C2609" s="86"/>
      <c r="D2609" s="209"/>
      <c r="E2609" s="215"/>
    </row>
    <row r="2610" hidden="1">
      <c r="A2610" s="136"/>
      <c r="B2610" s="96"/>
      <c r="C2610" s="86"/>
      <c r="D2610" s="211"/>
      <c r="E2610" s="171"/>
    </row>
    <row r="2611" hidden="1">
      <c r="A2611" s="136"/>
      <c r="B2611" s="96"/>
      <c r="C2611" s="86"/>
      <c r="D2611" s="209"/>
      <c r="E2611" s="215"/>
    </row>
    <row r="2612" hidden="1">
      <c r="A2612" s="136"/>
      <c r="B2612" s="96"/>
      <c r="C2612" s="86"/>
      <c r="D2612" s="211"/>
      <c r="E2612" s="171"/>
    </row>
    <row r="2613" hidden="1">
      <c r="A2613" s="136"/>
      <c r="B2613" s="96"/>
      <c r="C2613" s="86"/>
      <c r="D2613" s="209"/>
      <c r="E2613" s="215"/>
    </row>
    <row r="2614" hidden="1">
      <c r="A2614" s="136"/>
      <c r="B2614" s="96"/>
      <c r="C2614" s="86"/>
      <c r="D2614" s="211"/>
      <c r="E2614" s="171"/>
    </row>
    <row r="2615" hidden="1">
      <c r="A2615" s="136"/>
      <c r="B2615" s="96"/>
      <c r="C2615" s="86"/>
      <c r="D2615" s="209"/>
      <c r="E2615" s="215"/>
    </row>
    <row r="2616" hidden="1">
      <c r="A2616" s="136"/>
      <c r="B2616" s="96"/>
      <c r="C2616" s="86"/>
      <c r="D2616" s="211"/>
      <c r="E2616" s="171"/>
    </row>
    <row r="2617" hidden="1">
      <c r="A2617" s="136"/>
      <c r="B2617" s="96"/>
      <c r="C2617" s="86"/>
      <c r="D2617" s="209"/>
      <c r="E2617" s="215"/>
    </row>
    <row r="2618" hidden="1">
      <c r="A2618" s="136"/>
      <c r="B2618" s="96"/>
      <c r="C2618" s="86"/>
      <c r="D2618" s="211"/>
      <c r="E2618" s="171"/>
    </row>
    <row r="2619" hidden="1">
      <c r="A2619" s="136"/>
      <c r="B2619" s="96"/>
      <c r="C2619" s="86"/>
      <c r="D2619" s="209"/>
      <c r="E2619" s="215"/>
    </row>
    <row r="2620" hidden="1">
      <c r="A2620" s="136"/>
      <c r="B2620" s="96"/>
      <c r="C2620" s="86"/>
      <c r="D2620" s="211"/>
      <c r="E2620" s="171"/>
    </row>
    <row r="2621" hidden="1">
      <c r="A2621" s="136"/>
      <c r="B2621" s="96"/>
      <c r="C2621" s="86"/>
      <c r="D2621" s="209"/>
      <c r="E2621" s="215"/>
    </row>
    <row r="2622" hidden="1">
      <c r="A2622" s="136"/>
      <c r="B2622" s="96"/>
      <c r="C2622" s="86"/>
      <c r="D2622" s="211"/>
      <c r="E2622" s="171"/>
    </row>
    <row r="2623" hidden="1">
      <c r="A2623" s="136"/>
      <c r="B2623" s="96"/>
      <c r="C2623" s="86"/>
      <c r="D2623" s="209"/>
      <c r="E2623" s="215"/>
    </row>
    <row r="2624" hidden="1">
      <c r="A2624" s="136"/>
      <c r="B2624" s="96"/>
      <c r="C2624" s="86"/>
      <c r="D2624" s="211"/>
      <c r="E2624" s="171"/>
    </row>
    <row r="2625" hidden="1">
      <c r="A2625" s="136"/>
      <c r="B2625" s="96"/>
      <c r="C2625" s="86"/>
      <c r="D2625" s="209"/>
      <c r="E2625" s="215"/>
    </row>
    <row r="2626" hidden="1">
      <c r="A2626" s="136"/>
      <c r="B2626" s="96"/>
      <c r="C2626" s="86"/>
      <c r="D2626" s="211"/>
      <c r="E2626" s="171"/>
    </row>
    <row r="2627" hidden="1">
      <c r="A2627" s="136"/>
      <c r="B2627" s="96"/>
      <c r="C2627" s="86"/>
      <c r="D2627" s="209"/>
      <c r="E2627" s="215"/>
    </row>
    <row r="2628" hidden="1">
      <c r="A2628" s="136"/>
      <c r="B2628" s="96"/>
      <c r="C2628" s="86"/>
      <c r="D2628" s="211"/>
      <c r="E2628" s="171"/>
    </row>
    <row r="2629" hidden="1">
      <c r="A2629" s="136"/>
      <c r="B2629" s="96"/>
      <c r="C2629" s="86"/>
      <c r="D2629" s="209"/>
      <c r="E2629" s="215"/>
    </row>
    <row r="2630" hidden="1">
      <c r="A2630" s="136"/>
      <c r="B2630" s="96"/>
      <c r="C2630" s="86"/>
      <c r="D2630" s="211"/>
      <c r="E2630" s="171"/>
    </row>
    <row r="2631" hidden="1">
      <c r="A2631" s="136"/>
      <c r="B2631" s="96"/>
      <c r="C2631" s="86"/>
      <c r="D2631" s="209"/>
      <c r="E2631" s="215"/>
    </row>
    <row r="2632" hidden="1">
      <c r="A2632" s="136"/>
      <c r="B2632" s="96"/>
      <c r="C2632" s="86"/>
      <c r="D2632" s="211"/>
      <c r="E2632" s="171"/>
    </row>
    <row r="2633" hidden="1">
      <c r="A2633" s="136"/>
      <c r="B2633" s="96"/>
      <c r="C2633" s="86"/>
      <c r="D2633" s="209"/>
      <c r="E2633" s="215"/>
    </row>
    <row r="2634" hidden="1">
      <c r="A2634" s="136"/>
      <c r="B2634" s="96"/>
      <c r="C2634" s="86"/>
      <c r="D2634" s="211"/>
      <c r="E2634" s="171"/>
    </row>
    <row r="2635" hidden="1">
      <c r="A2635" s="136"/>
      <c r="B2635" s="96"/>
      <c r="C2635" s="86"/>
      <c r="D2635" s="209"/>
      <c r="E2635" s="215"/>
    </row>
    <row r="2636" hidden="1">
      <c r="A2636" s="136"/>
      <c r="B2636" s="96"/>
      <c r="C2636" s="86"/>
      <c r="D2636" s="211"/>
      <c r="E2636" s="171"/>
    </row>
    <row r="2637" hidden="1">
      <c r="A2637" s="136"/>
      <c r="B2637" s="96"/>
      <c r="C2637" s="86"/>
      <c r="D2637" s="209"/>
      <c r="E2637" s="215"/>
    </row>
    <row r="2638" hidden="1">
      <c r="A2638" s="136"/>
      <c r="B2638" s="96"/>
      <c r="C2638" s="86"/>
      <c r="D2638" s="211"/>
      <c r="E2638" s="171"/>
    </row>
    <row r="2639" hidden="1">
      <c r="A2639" s="136"/>
      <c r="B2639" s="96"/>
      <c r="C2639" s="86"/>
      <c r="D2639" s="209"/>
      <c r="E2639" s="215"/>
    </row>
    <row r="2640" hidden="1">
      <c r="A2640" s="136"/>
      <c r="B2640" s="96"/>
      <c r="C2640" s="86"/>
      <c r="D2640" s="211"/>
      <c r="E2640" s="171"/>
    </row>
    <row r="2641" hidden="1">
      <c r="A2641" s="136"/>
      <c r="B2641" s="96"/>
      <c r="C2641" s="86"/>
      <c r="D2641" s="209"/>
      <c r="E2641" s="215"/>
    </row>
    <row r="2642" hidden="1">
      <c r="A2642" s="136"/>
      <c r="B2642" s="96"/>
      <c r="C2642" s="86"/>
      <c r="D2642" s="211"/>
      <c r="E2642" s="171"/>
    </row>
    <row r="2643" hidden="1">
      <c r="A2643" s="136"/>
      <c r="B2643" s="96"/>
      <c r="C2643" s="86"/>
      <c r="D2643" s="209"/>
      <c r="E2643" s="215"/>
    </row>
    <row r="2644" hidden="1">
      <c r="A2644" s="136"/>
      <c r="B2644" s="96"/>
      <c r="C2644" s="86"/>
      <c r="D2644" s="211"/>
      <c r="E2644" s="171"/>
    </row>
    <row r="2645" hidden="1">
      <c r="A2645" s="136"/>
      <c r="B2645" s="96"/>
      <c r="C2645" s="86"/>
      <c r="D2645" s="209"/>
      <c r="E2645" s="215"/>
    </row>
    <row r="2646" hidden="1">
      <c r="A2646" s="136"/>
      <c r="B2646" s="96"/>
      <c r="C2646" s="86"/>
      <c r="D2646" s="211"/>
      <c r="E2646" s="171"/>
    </row>
    <row r="2647" hidden="1">
      <c r="A2647" s="136"/>
      <c r="B2647" s="96"/>
      <c r="C2647" s="86"/>
      <c r="D2647" s="209"/>
      <c r="E2647" s="215"/>
    </row>
    <row r="2648" hidden="1">
      <c r="A2648" s="136"/>
      <c r="B2648" s="96"/>
      <c r="C2648" s="86"/>
      <c r="D2648" s="211"/>
      <c r="E2648" s="171"/>
    </row>
    <row r="2649" hidden="1">
      <c r="A2649" s="136"/>
      <c r="B2649" s="96"/>
      <c r="C2649" s="86"/>
      <c r="D2649" s="209"/>
      <c r="E2649" s="215"/>
    </row>
    <row r="2650" hidden="1">
      <c r="A2650" s="136"/>
      <c r="B2650" s="96"/>
      <c r="C2650" s="86"/>
      <c r="D2650" s="211"/>
      <c r="E2650" s="171"/>
    </row>
    <row r="2651" hidden="1">
      <c r="A2651" s="136"/>
      <c r="B2651" s="96"/>
      <c r="C2651" s="86"/>
      <c r="D2651" s="209"/>
      <c r="E2651" s="215"/>
    </row>
    <row r="2652" hidden="1">
      <c r="A2652" s="136"/>
      <c r="B2652" s="96"/>
      <c r="C2652" s="86"/>
      <c r="D2652" s="211"/>
      <c r="E2652" s="171"/>
    </row>
    <row r="2653" hidden="1">
      <c r="A2653" s="136"/>
      <c r="B2653" s="96"/>
      <c r="C2653" s="86"/>
      <c r="D2653" s="209"/>
      <c r="E2653" s="215"/>
    </row>
    <row r="2654" hidden="1">
      <c r="A2654" s="136"/>
      <c r="B2654" s="96"/>
      <c r="C2654" s="86"/>
      <c r="D2654" s="211"/>
      <c r="E2654" s="171"/>
    </row>
    <row r="2655" hidden="1">
      <c r="A2655" s="136"/>
      <c r="B2655" s="96"/>
      <c r="C2655" s="86"/>
      <c r="D2655" s="209"/>
      <c r="E2655" s="215"/>
    </row>
    <row r="2656" hidden="1">
      <c r="A2656" s="136"/>
      <c r="B2656" s="96"/>
      <c r="C2656" s="86"/>
      <c r="D2656" s="211"/>
      <c r="E2656" s="171"/>
    </row>
    <row r="2657" hidden="1">
      <c r="A2657" s="136"/>
      <c r="B2657" s="96"/>
      <c r="C2657" s="86"/>
      <c r="D2657" s="209"/>
      <c r="E2657" s="215"/>
    </row>
    <row r="2658" hidden="1">
      <c r="A2658" s="136"/>
      <c r="B2658" s="96"/>
      <c r="C2658" s="86"/>
      <c r="D2658" s="211"/>
      <c r="E2658" s="171"/>
    </row>
    <row r="2659" hidden="1">
      <c r="A2659" s="136"/>
      <c r="B2659" s="96"/>
      <c r="C2659" s="86"/>
      <c r="D2659" s="209"/>
      <c r="E2659" s="215"/>
    </row>
    <row r="2660" hidden="1">
      <c r="A2660" s="136"/>
      <c r="B2660" s="96"/>
      <c r="C2660" s="86"/>
      <c r="D2660" s="211"/>
      <c r="E2660" s="171"/>
    </row>
    <row r="2661" hidden="1">
      <c r="A2661" s="136"/>
      <c r="B2661" s="96"/>
      <c r="C2661" s="86"/>
      <c r="D2661" s="209"/>
      <c r="E2661" s="215"/>
    </row>
    <row r="2662" hidden="1">
      <c r="A2662" s="136"/>
      <c r="B2662" s="96"/>
      <c r="C2662" s="86"/>
      <c r="D2662" s="211"/>
      <c r="E2662" s="171"/>
    </row>
    <row r="2663" hidden="1">
      <c r="A2663" s="136"/>
      <c r="B2663" s="96"/>
      <c r="C2663" s="86"/>
      <c r="D2663" s="209"/>
      <c r="E2663" s="215"/>
    </row>
    <row r="2664" hidden="1">
      <c r="A2664" s="136"/>
      <c r="B2664" s="96"/>
      <c r="C2664" s="86"/>
      <c r="D2664" s="211"/>
      <c r="E2664" s="171"/>
    </row>
    <row r="2665" hidden="1">
      <c r="A2665" s="136"/>
      <c r="B2665" s="96"/>
      <c r="C2665" s="86"/>
      <c r="D2665" s="209"/>
      <c r="E2665" s="215"/>
    </row>
    <row r="2666" hidden="1">
      <c r="A2666" s="136"/>
      <c r="B2666" s="96"/>
      <c r="C2666" s="86"/>
      <c r="D2666" s="211"/>
      <c r="E2666" s="171"/>
    </row>
    <row r="2667" hidden="1">
      <c r="A2667" s="136"/>
      <c r="B2667" s="96"/>
      <c r="C2667" s="86"/>
      <c r="D2667" s="209"/>
      <c r="E2667" s="215"/>
    </row>
    <row r="2668" hidden="1">
      <c r="A2668" s="136"/>
      <c r="B2668" s="96"/>
      <c r="C2668" s="86"/>
      <c r="D2668" s="211"/>
      <c r="E2668" s="171"/>
    </row>
    <row r="2669" hidden="1">
      <c r="A2669" s="136"/>
      <c r="B2669" s="96"/>
      <c r="C2669" s="86"/>
      <c r="D2669" s="209"/>
      <c r="E2669" s="215"/>
    </row>
    <row r="2670" hidden="1">
      <c r="A2670" s="136"/>
      <c r="B2670" s="96"/>
      <c r="C2670" s="86"/>
      <c r="D2670" s="211"/>
      <c r="E2670" s="171"/>
    </row>
    <row r="2671" hidden="1">
      <c r="A2671" s="136"/>
      <c r="B2671" s="96"/>
      <c r="C2671" s="86"/>
      <c r="D2671" s="209"/>
      <c r="E2671" s="215"/>
    </row>
    <row r="2672" hidden="1">
      <c r="A2672" s="136"/>
      <c r="B2672" s="96"/>
      <c r="C2672" s="86"/>
      <c r="D2672" s="211"/>
      <c r="E2672" s="171"/>
    </row>
    <row r="2673" hidden="1">
      <c r="A2673" s="136"/>
      <c r="B2673" s="96"/>
      <c r="C2673" s="86"/>
      <c r="D2673" s="209"/>
      <c r="E2673" s="215"/>
    </row>
    <row r="2674" hidden="1">
      <c r="A2674" s="136"/>
      <c r="B2674" s="96"/>
      <c r="C2674" s="86"/>
      <c r="D2674" s="211"/>
      <c r="E2674" s="171"/>
    </row>
    <row r="2675" hidden="1">
      <c r="A2675" s="136"/>
      <c r="B2675" s="96"/>
      <c r="C2675" s="86"/>
      <c r="D2675" s="209"/>
      <c r="E2675" s="215"/>
    </row>
    <row r="2676" hidden="1">
      <c r="A2676" s="136"/>
      <c r="B2676" s="96"/>
      <c r="C2676" s="86"/>
      <c r="D2676" s="211"/>
      <c r="E2676" s="171"/>
    </row>
    <row r="2677" hidden="1">
      <c r="A2677" s="136"/>
      <c r="B2677" s="96"/>
      <c r="C2677" s="86"/>
      <c r="D2677" s="209"/>
      <c r="E2677" s="215"/>
    </row>
    <row r="2678" hidden="1">
      <c r="A2678" s="136"/>
      <c r="B2678" s="96"/>
      <c r="C2678" s="86"/>
      <c r="D2678" s="211"/>
      <c r="E2678" s="171"/>
    </row>
    <row r="2679" hidden="1">
      <c r="A2679" s="136"/>
      <c r="B2679" s="96"/>
      <c r="C2679" s="86"/>
      <c r="D2679" s="209"/>
      <c r="E2679" s="215"/>
    </row>
    <row r="2680" hidden="1">
      <c r="A2680" s="136"/>
      <c r="B2680" s="96"/>
      <c r="C2680" s="86"/>
      <c r="D2680" s="211"/>
      <c r="E2680" s="171"/>
    </row>
    <row r="2681" hidden="1">
      <c r="A2681" s="136"/>
      <c r="B2681" s="96"/>
      <c r="C2681" s="86"/>
      <c r="D2681" s="209"/>
      <c r="E2681" s="215"/>
    </row>
    <row r="2682" hidden="1">
      <c r="A2682" s="136"/>
      <c r="B2682" s="96"/>
      <c r="C2682" s="86"/>
      <c r="D2682" s="211"/>
      <c r="E2682" s="171"/>
    </row>
    <row r="2683" hidden="1">
      <c r="A2683" s="136"/>
      <c r="B2683" s="96"/>
      <c r="C2683" s="86"/>
      <c r="D2683" s="209"/>
      <c r="E2683" s="215"/>
    </row>
    <row r="2684" hidden="1">
      <c r="A2684" s="136"/>
      <c r="B2684" s="96"/>
      <c r="C2684" s="86"/>
      <c r="D2684" s="211"/>
      <c r="E2684" s="171"/>
    </row>
    <row r="2685" hidden="1">
      <c r="A2685" s="136"/>
      <c r="B2685" s="96"/>
      <c r="C2685" s="86"/>
      <c r="D2685" s="209"/>
      <c r="E2685" s="215"/>
    </row>
    <row r="2686" hidden="1">
      <c r="A2686" s="136"/>
      <c r="B2686" s="96"/>
      <c r="C2686" s="86"/>
      <c r="D2686" s="211"/>
      <c r="E2686" s="171"/>
    </row>
    <row r="2687" hidden="1">
      <c r="A2687" s="136"/>
      <c r="B2687" s="96"/>
      <c r="C2687" s="86"/>
      <c r="D2687" s="209"/>
      <c r="E2687" s="215"/>
    </row>
    <row r="2688" hidden="1">
      <c r="A2688" s="136"/>
      <c r="B2688" s="96"/>
      <c r="C2688" s="86"/>
      <c r="D2688" s="211"/>
      <c r="E2688" s="171"/>
    </row>
    <row r="2689" hidden="1">
      <c r="A2689" s="136"/>
      <c r="B2689" s="96"/>
      <c r="C2689" s="86"/>
      <c r="D2689" s="209"/>
      <c r="E2689" s="215"/>
    </row>
    <row r="2690" hidden="1">
      <c r="A2690" s="136"/>
      <c r="B2690" s="96"/>
      <c r="C2690" s="86"/>
      <c r="D2690" s="211"/>
      <c r="E2690" s="171"/>
    </row>
    <row r="2691" hidden="1">
      <c r="A2691" s="136"/>
      <c r="B2691" s="96"/>
      <c r="C2691" s="86"/>
      <c r="D2691" s="209"/>
      <c r="E2691" s="215"/>
    </row>
    <row r="2692" hidden="1">
      <c r="A2692" s="136"/>
      <c r="B2692" s="96"/>
      <c r="C2692" s="86"/>
      <c r="D2692" s="211"/>
      <c r="E2692" s="171"/>
    </row>
    <row r="2693" hidden="1">
      <c r="A2693" s="136"/>
      <c r="B2693" s="96"/>
      <c r="C2693" s="86"/>
      <c r="D2693" s="209"/>
      <c r="E2693" s="215"/>
    </row>
    <row r="2694" hidden="1">
      <c r="A2694" s="136"/>
      <c r="B2694" s="96"/>
      <c r="C2694" s="86"/>
      <c r="D2694" s="211"/>
      <c r="E2694" s="171"/>
    </row>
    <row r="2695" hidden="1">
      <c r="A2695" s="136"/>
      <c r="B2695" s="96"/>
      <c r="C2695" s="86"/>
      <c r="D2695" s="209"/>
      <c r="E2695" s="215"/>
    </row>
    <row r="2696" hidden="1">
      <c r="A2696" s="136"/>
      <c r="B2696" s="96"/>
      <c r="C2696" s="86"/>
      <c r="D2696" s="211"/>
      <c r="E2696" s="171"/>
    </row>
    <row r="2697" hidden="1">
      <c r="A2697" s="136"/>
      <c r="B2697" s="96"/>
      <c r="C2697" s="86"/>
      <c r="D2697" s="209"/>
      <c r="E2697" s="215"/>
    </row>
    <row r="2698" hidden="1">
      <c r="A2698" s="136"/>
      <c r="B2698" s="96"/>
      <c r="C2698" s="86"/>
      <c r="D2698" s="211"/>
      <c r="E2698" s="171"/>
    </row>
    <row r="2699" hidden="1">
      <c r="A2699" s="136"/>
      <c r="B2699" s="96"/>
      <c r="C2699" s="86"/>
      <c r="D2699" s="209"/>
      <c r="E2699" s="215"/>
    </row>
    <row r="2700" hidden="1">
      <c r="A2700" s="136"/>
      <c r="B2700" s="96"/>
      <c r="C2700" s="86"/>
      <c r="D2700" s="211"/>
      <c r="E2700" s="171"/>
    </row>
    <row r="2701" hidden="1">
      <c r="A2701" s="136"/>
      <c r="B2701" s="96"/>
      <c r="C2701" s="86"/>
      <c r="D2701" s="209"/>
      <c r="E2701" s="215"/>
    </row>
    <row r="2702" hidden="1">
      <c r="A2702" s="136"/>
      <c r="B2702" s="96"/>
      <c r="C2702" s="86"/>
      <c r="D2702" s="211"/>
      <c r="E2702" s="171"/>
    </row>
    <row r="2703" hidden="1">
      <c r="A2703" s="136"/>
      <c r="B2703" s="96"/>
      <c r="C2703" s="86"/>
      <c r="D2703" s="209"/>
      <c r="E2703" s="215"/>
    </row>
    <row r="2704" hidden="1">
      <c r="A2704" s="136"/>
      <c r="B2704" s="96"/>
      <c r="C2704" s="86"/>
      <c r="D2704" s="211"/>
      <c r="E2704" s="171"/>
    </row>
    <row r="2705" hidden="1">
      <c r="A2705" s="136"/>
      <c r="B2705" s="96"/>
      <c r="C2705" s="86"/>
      <c r="D2705" s="209"/>
      <c r="E2705" s="215"/>
    </row>
    <row r="2706" hidden="1">
      <c r="A2706" s="136"/>
      <c r="B2706" s="96"/>
      <c r="C2706" s="86"/>
      <c r="D2706" s="211"/>
      <c r="E2706" s="171"/>
    </row>
    <row r="2707" hidden="1">
      <c r="A2707" s="136"/>
      <c r="B2707" s="96"/>
      <c r="C2707" s="86"/>
      <c r="D2707" s="209"/>
      <c r="E2707" s="215"/>
    </row>
    <row r="2708" hidden="1">
      <c r="A2708" s="136"/>
      <c r="B2708" s="96"/>
      <c r="C2708" s="86"/>
      <c r="D2708" s="211"/>
      <c r="E2708" s="171"/>
    </row>
    <row r="2709" hidden="1">
      <c r="A2709" s="136"/>
      <c r="B2709" s="96"/>
      <c r="C2709" s="86"/>
      <c r="D2709" s="209"/>
      <c r="E2709" s="215"/>
    </row>
    <row r="2710" hidden="1">
      <c r="A2710" s="136"/>
      <c r="B2710" s="96"/>
      <c r="C2710" s="86"/>
      <c r="D2710" s="211"/>
      <c r="E2710" s="171"/>
    </row>
    <row r="2711" hidden="1">
      <c r="A2711" s="136"/>
      <c r="B2711" s="96"/>
      <c r="C2711" s="86"/>
      <c r="D2711" s="209"/>
      <c r="E2711" s="215"/>
    </row>
    <row r="2712" hidden="1">
      <c r="A2712" s="136"/>
      <c r="B2712" s="96"/>
      <c r="C2712" s="86"/>
      <c r="D2712" s="211"/>
      <c r="E2712" s="171"/>
    </row>
    <row r="2713" hidden="1">
      <c r="A2713" s="136"/>
      <c r="B2713" s="96"/>
      <c r="C2713" s="86"/>
      <c r="D2713" s="209"/>
      <c r="E2713" s="215"/>
    </row>
    <row r="2714" hidden="1">
      <c r="A2714" s="136"/>
      <c r="B2714" s="96"/>
      <c r="C2714" s="86"/>
      <c r="D2714" s="211"/>
      <c r="E2714" s="171"/>
    </row>
    <row r="2715" hidden="1">
      <c r="A2715" s="136"/>
      <c r="B2715" s="96"/>
      <c r="C2715" s="86"/>
      <c r="D2715" s="209"/>
      <c r="E2715" s="215"/>
    </row>
    <row r="2716" hidden="1">
      <c r="A2716" s="136"/>
      <c r="B2716" s="96"/>
      <c r="C2716" s="86"/>
      <c r="D2716" s="211"/>
      <c r="E2716" s="171"/>
    </row>
    <row r="2717" hidden="1">
      <c r="A2717" s="136"/>
      <c r="B2717" s="96"/>
      <c r="C2717" s="86"/>
      <c r="D2717" s="209"/>
      <c r="E2717" s="215"/>
    </row>
    <row r="2718" hidden="1">
      <c r="A2718" s="136"/>
      <c r="B2718" s="96"/>
      <c r="C2718" s="86"/>
      <c r="D2718" s="211"/>
      <c r="E2718" s="171"/>
    </row>
    <row r="2719" hidden="1">
      <c r="A2719" s="136"/>
      <c r="B2719" s="96"/>
      <c r="C2719" s="86"/>
      <c r="D2719" s="209"/>
      <c r="E2719" s="215"/>
    </row>
    <row r="2720" hidden="1">
      <c r="A2720" s="136"/>
      <c r="B2720" s="96"/>
      <c r="C2720" s="86"/>
      <c r="D2720" s="211"/>
      <c r="E2720" s="171"/>
    </row>
    <row r="2721" hidden="1">
      <c r="A2721" s="136"/>
      <c r="B2721" s="96"/>
      <c r="C2721" s="86"/>
      <c r="D2721" s="209"/>
      <c r="E2721" s="215"/>
    </row>
    <row r="2722" hidden="1">
      <c r="A2722" s="136"/>
      <c r="B2722" s="96"/>
      <c r="C2722" s="86"/>
      <c r="D2722" s="211"/>
      <c r="E2722" s="171"/>
    </row>
    <row r="2723" hidden="1">
      <c r="A2723" s="136"/>
      <c r="B2723" s="96"/>
      <c r="C2723" s="86"/>
      <c r="D2723" s="209"/>
      <c r="E2723" s="215"/>
    </row>
    <row r="2724" hidden="1">
      <c r="A2724" s="136"/>
      <c r="B2724" s="96"/>
      <c r="C2724" s="86"/>
      <c r="D2724" s="211"/>
      <c r="E2724" s="171"/>
    </row>
    <row r="2725" hidden="1">
      <c r="A2725" s="136"/>
      <c r="B2725" s="96"/>
      <c r="C2725" s="86"/>
      <c r="D2725" s="209"/>
      <c r="E2725" s="215"/>
    </row>
    <row r="2726" hidden="1">
      <c r="A2726" s="136"/>
      <c r="B2726" s="96"/>
      <c r="C2726" s="86"/>
      <c r="D2726" s="211"/>
      <c r="E2726" s="171"/>
    </row>
    <row r="2727" hidden="1">
      <c r="A2727" s="136"/>
      <c r="B2727" s="96"/>
      <c r="C2727" s="86"/>
      <c r="D2727" s="209"/>
      <c r="E2727" s="215"/>
    </row>
    <row r="2728" hidden="1">
      <c r="A2728" s="136"/>
      <c r="B2728" s="96"/>
      <c r="C2728" s="86"/>
      <c r="D2728" s="211"/>
      <c r="E2728" s="171"/>
    </row>
    <row r="2729" hidden="1">
      <c r="A2729" s="136"/>
      <c r="B2729" s="96"/>
      <c r="C2729" s="86"/>
      <c r="D2729" s="209"/>
      <c r="E2729" s="215"/>
    </row>
    <row r="2730" hidden="1">
      <c r="A2730" s="136"/>
      <c r="B2730" s="96"/>
      <c r="C2730" s="86"/>
      <c r="D2730" s="211"/>
      <c r="E2730" s="171"/>
    </row>
    <row r="2731" hidden="1">
      <c r="A2731" s="136"/>
      <c r="B2731" s="96"/>
      <c r="C2731" s="86"/>
      <c r="D2731" s="209"/>
      <c r="E2731" s="215"/>
    </row>
    <row r="2732" hidden="1">
      <c r="A2732" s="136"/>
      <c r="B2732" s="96"/>
      <c r="C2732" s="86"/>
      <c r="D2732" s="211"/>
      <c r="E2732" s="171"/>
    </row>
    <row r="2733" hidden="1">
      <c r="A2733" s="136"/>
      <c r="B2733" s="96"/>
      <c r="C2733" s="86"/>
      <c r="D2733" s="209"/>
      <c r="E2733" s="215"/>
    </row>
    <row r="2734" hidden="1">
      <c r="A2734" s="136"/>
      <c r="B2734" s="96"/>
      <c r="C2734" s="86"/>
      <c r="D2734" s="211"/>
      <c r="E2734" s="171"/>
    </row>
    <row r="2735" hidden="1">
      <c r="A2735" s="136"/>
      <c r="B2735" s="96"/>
      <c r="C2735" s="86"/>
      <c r="D2735" s="209"/>
      <c r="E2735" s="215"/>
    </row>
    <row r="2736" hidden="1">
      <c r="A2736" s="136"/>
      <c r="B2736" s="96"/>
      <c r="C2736" s="86"/>
      <c r="D2736" s="211"/>
      <c r="E2736" s="171"/>
    </row>
    <row r="2737" hidden="1">
      <c r="A2737" s="136"/>
      <c r="B2737" s="96"/>
      <c r="C2737" s="86"/>
      <c r="D2737" s="209"/>
      <c r="E2737" s="215"/>
    </row>
    <row r="2738" hidden="1">
      <c r="A2738" s="136"/>
      <c r="B2738" s="96"/>
      <c r="C2738" s="86"/>
      <c r="D2738" s="211"/>
      <c r="E2738" s="171"/>
    </row>
    <row r="2739" hidden="1">
      <c r="A2739" s="136"/>
      <c r="B2739" s="96"/>
      <c r="C2739" s="86"/>
      <c r="D2739" s="209"/>
      <c r="E2739" s="215"/>
    </row>
    <row r="2740" hidden="1">
      <c r="A2740" s="136"/>
      <c r="B2740" s="96"/>
      <c r="C2740" s="86"/>
      <c r="D2740" s="211"/>
      <c r="E2740" s="171"/>
    </row>
    <row r="2741" hidden="1">
      <c r="A2741" s="136"/>
      <c r="B2741" s="96"/>
      <c r="C2741" s="86"/>
      <c r="D2741" s="209"/>
      <c r="E2741" s="215"/>
    </row>
    <row r="2742" hidden="1">
      <c r="A2742" s="136"/>
      <c r="B2742" s="96"/>
      <c r="C2742" s="86"/>
      <c r="D2742" s="211"/>
      <c r="E2742" s="171"/>
    </row>
    <row r="2743" hidden="1">
      <c r="A2743" s="136"/>
      <c r="B2743" s="96"/>
      <c r="C2743" s="86"/>
      <c r="D2743" s="209"/>
      <c r="E2743" s="215"/>
    </row>
    <row r="2744" hidden="1">
      <c r="A2744" s="136"/>
      <c r="B2744" s="96"/>
      <c r="C2744" s="86"/>
      <c r="D2744" s="211"/>
      <c r="E2744" s="171"/>
    </row>
    <row r="2745" hidden="1">
      <c r="A2745" s="136"/>
      <c r="B2745" s="96"/>
      <c r="C2745" s="86"/>
      <c r="D2745" s="209"/>
      <c r="E2745" s="215"/>
    </row>
    <row r="2746" hidden="1">
      <c r="A2746" s="136"/>
      <c r="B2746" s="96"/>
      <c r="C2746" s="86"/>
      <c r="D2746" s="211"/>
      <c r="E2746" s="171"/>
    </row>
    <row r="2747" hidden="1">
      <c r="A2747" s="136"/>
      <c r="B2747" s="96"/>
      <c r="C2747" s="86"/>
      <c r="D2747" s="209"/>
      <c r="E2747" s="215"/>
    </row>
    <row r="2748" hidden="1">
      <c r="A2748" s="136"/>
      <c r="B2748" s="96"/>
      <c r="C2748" s="86"/>
      <c r="D2748" s="211"/>
      <c r="E2748" s="171"/>
    </row>
    <row r="2749" hidden="1">
      <c r="A2749" s="136"/>
      <c r="B2749" s="96"/>
      <c r="C2749" s="86"/>
      <c r="D2749" s="209"/>
      <c r="E2749" s="215"/>
    </row>
    <row r="2750" hidden="1">
      <c r="A2750" s="136"/>
      <c r="B2750" s="96"/>
      <c r="C2750" s="86"/>
      <c r="D2750" s="211"/>
      <c r="E2750" s="171"/>
    </row>
    <row r="2751" hidden="1">
      <c r="A2751" s="136"/>
      <c r="B2751" s="96"/>
      <c r="C2751" s="86"/>
      <c r="D2751" s="209"/>
      <c r="E2751" s="215"/>
    </row>
    <row r="2752" hidden="1">
      <c r="A2752" s="136"/>
      <c r="B2752" s="96"/>
      <c r="C2752" s="86"/>
      <c r="D2752" s="211"/>
      <c r="E2752" s="171"/>
    </row>
    <row r="2753" hidden="1">
      <c r="A2753" s="136"/>
      <c r="B2753" s="96"/>
      <c r="C2753" s="86"/>
      <c r="D2753" s="209"/>
      <c r="E2753" s="215"/>
    </row>
    <row r="2754" hidden="1">
      <c r="A2754" s="136"/>
      <c r="B2754" s="96"/>
      <c r="C2754" s="86"/>
      <c r="D2754" s="211"/>
      <c r="E2754" s="171"/>
    </row>
    <row r="2755" hidden="1">
      <c r="A2755" s="136"/>
      <c r="B2755" s="96"/>
      <c r="C2755" s="86"/>
      <c r="D2755" s="209"/>
      <c r="E2755" s="215"/>
    </row>
    <row r="2756" hidden="1">
      <c r="A2756" s="136"/>
      <c r="B2756" s="96"/>
      <c r="C2756" s="86"/>
      <c r="D2756" s="211"/>
      <c r="E2756" s="171"/>
    </row>
    <row r="2757" hidden="1">
      <c r="A2757" s="136"/>
      <c r="B2757" s="96"/>
      <c r="C2757" s="86"/>
      <c r="D2757" s="209"/>
      <c r="E2757" s="215"/>
    </row>
    <row r="2758" hidden="1">
      <c r="A2758" s="136"/>
      <c r="B2758" s="96"/>
      <c r="C2758" s="86"/>
      <c r="D2758" s="211"/>
      <c r="E2758" s="171"/>
    </row>
    <row r="2759" hidden="1">
      <c r="A2759" s="136"/>
      <c r="B2759" s="96"/>
      <c r="C2759" s="86"/>
      <c r="D2759" s="209"/>
      <c r="E2759" s="215"/>
    </row>
    <row r="2760" hidden="1">
      <c r="A2760" s="136"/>
      <c r="B2760" s="96"/>
      <c r="C2760" s="86"/>
      <c r="D2760" s="211"/>
      <c r="E2760" s="171"/>
    </row>
    <row r="2761" hidden="1">
      <c r="A2761" s="136"/>
      <c r="B2761" s="96"/>
      <c r="C2761" s="86"/>
      <c r="D2761" s="209"/>
      <c r="E2761" s="215"/>
    </row>
    <row r="2762" hidden="1">
      <c r="A2762" s="136"/>
      <c r="B2762" s="96"/>
      <c r="C2762" s="86"/>
      <c r="D2762" s="211"/>
      <c r="E2762" s="171"/>
    </row>
    <row r="2763" hidden="1">
      <c r="A2763" s="136"/>
      <c r="B2763" s="96"/>
      <c r="C2763" s="86"/>
      <c r="D2763" s="209"/>
      <c r="E2763" s="215"/>
    </row>
    <row r="2764" hidden="1">
      <c r="A2764" s="136"/>
      <c r="B2764" s="96"/>
      <c r="C2764" s="86"/>
      <c r="D2764" s="211"/>
      <c r="E2764" s="171"/>
    </row>
    <row r="2765" hidden="1">
      <c r="A2765" s="136"/>
      <c r="B2765" s="96"/>
      <c r="C2765" s="86"/>
      <c r="D2765" s="209"/>
      <c r="E2765" s="215"/>
    </row>
    <row r="2766" hidden="1">
      <c r="A2766" s="136"/>
      <c r="B2766" s="96"/>
      <c r="C2766" s="86"/>
      <c r="D2766" s="211"/>
      <c r="E2766" s="171"/>
    </row>
    <row r="2767" hidden="1">
      <c r="A2767" s="136"/>
      <c r="B2767" s="96"/>
      <c r="C2767" s="86"/>
      <c r="D2767" s="209"/>
      <c r="E2767" s="215"/>
    </row>
    <row r="2768" hidden="1">
      <c r="A2768" s="136"/>
      <c r="B2768" s="96"/>
      <c r="C2768" s="86"/>
      <c r="D2768" s="211"/>
      <c r="E2768" s="171"/>
    </row>
    <row r="2769" hidden="1">
      <c r="A2769" s="136"/>
      <c r="B2769" s="96"/>
      <c r="C2769" s="86"/>
      <c r="D2769" s="209"/>
      <c r="E2769" s="215"/>
    </row>
    <row r="2770" hidden="1">
      <c r="A2770" s="136"/>
      <c r="B2770" s="96"/>
      <c r="C2770" s="86"/>
      <c r="D2770" s="211"/>
      <c r="E2770" s="171"/>
    </row>
    <row r="2771" hidden="1">
      <c r="A2771" s="136"/>
      <c r="B2771" s="96"/>
      <c r="C2771" s="86"/>
      <c r="D2771" s="209"/>
      <c r="E2771" s="215"/>
    </row>
    <row r="2772" hidden="1">
      <c r="A2772" s="136"/>
      <c r="B2772" s="96"/>
      <c r="C2772" s="86"/>
      <c r="D2772" s="211"/>
      <c r="E2772" s="171"/>
    </row>
    <row r="2773" hidden="1">
      <c r="A2773" s="136"/>
      <c r="B2773" s="96"/>
      <c r="C2773" s="86"/>
      <c r="D2773" s="209"/>
      <c r="E2773" s="215"/>
    </row>
    <row r="2774" hidden="1">
      <c r="A2774" s="136"/>
      <c r="B2774" s="96"/>
      <c r="C2774" s="86"/>
      <c r="D2774" s="211"/>
      <c r="E2774" s="171"/>
    </row>
    <row r="2775" hidden="1">
      <c r="A2775" s="136"/>
      <c r="B2775" s="96"/>
      <c r="C2775" s="86"/>
      <c r="D2775" s="209"/>
      <c r="E2775" s="215"/>
    </row>
    <row r="2776" hidden="1">
      <c r="A2776" s="136"/>
      <c r="B2776" s="96"/>
      <c r="C2776" s="86"/>
      <c r="D2776" s="211"/>
      <c r="E2776" s="171"/>
    </row>
    <row r="2777" hidden="1">
      <c r="A2777" s="136"/>
      <c r="B2777" s="96"/>
      <c r="C2777" s="86"/>
      <c r="D2777" s="209"/>
      <c r="E2777" s="215"/>
    </row>
    <row r="2778" hidden="1">
      <c r="A2778" s="136"/>
      <c r="B2778" s="96"/>
      <c r="C2778" s="86"/>
      <c r="D2778" s="211"/>
      <c r="E2778" s="171"/>
    </row>
    <row r="2779" hidden="1">
      <c r="A2779" s="136"/>
      <c r="B2779" s="96"/>
      <c r="C2779" s="86"/>
      <c r="D2779" s="209"/>
      <c r="E2779" s="215"/>
    </row>
    <row r="2780" hidden="1">
      <c r="A2780" s="136"/>
      <c r="B2780" s="96"/>
      <c r="C2780" s="86"/>
      <c r="D2780" s="211"/>
      <c r="E2780" s="171"/>
    </row>
    <row r="2781" hidden="1">
      <c r="A2781" s="136"/>
      <c r="B2781" s="96"/>
      <c r="C2781" s="86"/>
      <c r="D2781" s="209"/>
      <c r="E2781" s="215"/>
    </row>
    <row r="2782" hidden="1">
      <c r="A2782" s="136"/>
      <c r="B2782" s="96"/>
      <c r="C2782" s="86"/>
      <c r="D2782" s="211"/>
      <c r="E2782" s="171"/>
    </row>
    <row r="2783" hidden="1">
      <c r="A2783" s="136"/>
      <c r="B2783" s="96"/>
      <c r="C2783" s="86"/>
      <c r="D2783" s="209"/>
      <c r="E2783" s="215"/>
    </row>
    <row r="2784" hidden="1">
      <c r="A2784" s="136"/>
      <c r="B2784" s="96"/>
      <c r="C2784" s="86"/>
      <c r="D2784" s="211"/>
      <c r="E2784" s="171"/>
    </row>
    <row r="2785" hidden="1">
      <c r="A2785" s="136"/>
      <c r="B2785" s="96"/>
      <c r="C2785" s="86"/>
      <c r="D2785" s="209"/>
      <c r="E2785" s="215"/>
    </row>
    <row r="2786" hidden="1">
      <c r="A2786" s="136"/>
      <c r="B2786" s="96"/>
      <c r="C2786" s="86"/>
      <c r="D2786" s="211"/>
      <c r="E2786" s="171"/>
    </row>
    <row r="2787" hidden="1">
      <c r="A2787" s="136"/>
      <c r="B2787" s="96"/>
      <c r="C2787" s="86"/>
      <c r="D2787" s="209"/>
      <c r="E2787" s="215"/>
    </row>
    <row r="2788" hidden="1">
      <c r="A2788" s="136"/>
      <c r="B2788" s="96"/>
      <c r="C2788" s="86"/>
      <c r="D2788" s="211"/>
      <c r="E2788" s="171"/>
    </row>
    <row r="2789" hidden="1">
      <c r="A2789" s="136"/>
      <c r="B2789" s="96"/>
      <c r="C2789" s="86"/>
      <c r="D2789" s="209"/>
      <c r="E2789" s="215"/>
    </row>
    <row r="2790" hidden="1">
      <c r="A2790" s="136"/>
      <c r="B2790" s="96"/>
      <c r="C2790" s="86"/>
      <c r="D2790" s="211"/>
      <c r="E2790" s="171"/>
    </row>
    <row r="2791" hidden="1">
      <c r="A2791" s="136"/>
      <c r="B2791" s="96"/>
      <c r="C2791" s="86"/>
      <c r="D2791" s="209"/>
      <c r="E2791" s="215"/>
    </row>
    <row r="2792" hidden="1">
      <c r="A2792" s="136"/>
      <c r="B2792" s="96"/>
      <c r="C2792" s="86"/>
      <c r="D2792" s="211"/>
      <c r="E2792" s="171"/>
    </row>
    <row r="2793" hidden="1">
      <c r="A2793" s="136"/>
      <c r="B2793" s="96"/>
      <c r="C2793" s="86"/>
      <c r="D2793" s="209"/>
      <c r="E2793" s="215"/>
    </row>
    <row r="2794" hidden="1">
      <c r="A2794" s="136"/>
      <c r="B2794" s="96"/>
      <c r="C2794" s="86"/>
      <c r="D2794" s="211"/>
      <c r="E2794" s="171"/>
    </row>
    <row r="2795" hidden="1">
      <c r="A2795" s="136"/>
      <c r="B2795" s="96"/>
      <c r="C2795" s="86"/>
      <c r="D2795" s="209"/>
      <c r="E2795" s="215"/>
    </row>
    <row r="2796" hidden="1">
      <c r="A2796" s="136"/>
      <c r="B2796" s="96"/>
      <c r="C2796" s="86"/>
      <c r="D2796" s="211"/>
      <c r="E2796" s="171"/>
    </row>
    <row r="2797" hidden="1">
      <c r="A2797" s="136"/>
      <c r="B2797" s="96"/>
      <c r="C2797" s="86"/>
      <c r="D2797" s="209"/>
      <c r="E2797" s="215"/>
    </row>
    <row r="2798" hidden="1">
      <c r="A2798" s="136"/>
      <c r="B2798" s="96"/>
      <c r="C2798" s="86"/>
      <c r="D2798" s="211"/>
      <c r="E2798" s="171"/>
    </row>
    <row r="2799" hidden="1">
      <c r="A2799" s="136"/>
      <c r="B2799" s="96"/>
      <c r="C2799" s="86"/>
      <c r="D2799" s="209"/>
      <c r="E2799" s="215"/>
    </row>
    <row r="2800" hidden="1">
      <c r="A2800" s="136"/>
      <c r="B2800" s="96"/>
      <c r="C2800" s="86"/>
      <c r="D2800" s="211"/>
      <c r="E2800" s="171"/>
    </row>
    <row r="2801" hidden="1">
      <c r="A2801" s="136"/>
      <c r="B2801" s="96"/>
      <c r="C2801" s="86"/>
      <c r="D2801" s="209"/>
      <c r="E2801" s="215"/>
    </row>
    <row r="2802" hidden="1">
      <c r="A2802" s="136"/>
      <c r="B2802" s="96"/>
      <c r="C2802" s="86"/>
      <c r="D2802" s="211"/>
      <c r="E2802" s="171"/>
    </row>
    <row r="2803" hidden="1">
      <c r="A2803" s="136"/>
      <c r="B2803" s="96"/>
      <c r="C2803" s="86"/>
      <c r="D2803" s="209"/>
      <c r="E2803" s="215"/>
    </row>
    <row r="2804" hidden="1">
      <c r="A2804" s="136"/>
      <c r="B2804" s="96"/>
      <c r="C2804" s="86"/>
      <c r="D2804" s="211"/>
      <c r="E2804" s="171"/>
    </row>
    <row r="2805" hidden="1">
      <c r="A2805" s="136"/>
      <c r="B2805" s="96"/>
      <c r="C2805" s="86"/>
      <c r="D2805" s="209"/>
      <c r="E2805" s="215"/>
    </row>
    <row r="2806" hidden="1">
      <c r="A2806" s="136"/>
      <c r="B2806" s="96"/>
      <c r="C2806" s="86"/>
      <c r="D2806" s="211"/>
      <c r="E2806" s="171"/>
    </row>
    <row r="2807" hidden="1">
      <c r="A2807" s="136"/>
      <c r="B2807" s="96"/>
      <c r="C2807" s="86"/>
      <c r="D2807" s="209"/>
      <c r="E2807" s="215"/>
    </row>
    <row r="2808" hidden="1">
      <c r="A2808" s="136"/>
      <c r="B2808" s="96"/>
      <c r="C2808" s="86"/>
      <c r="D2808" s="211"/>
      <c r="E2808" s="171"/>
    </row>
    <row r="2809" hidden="1">
      <c r="A2809" s="136"/>
      <c r="B2809" s="96"/>
      <c r="C2809" s="86"/>
      <c r="D2809" s="209"/>
      <c r="E2809" s="215"/>
    </row>
    <row r="2810" hidden="1">
      <c r="A2810" s="136"/>
      <c r="B2810" s="96"/>
      <c r="C2810" s="86"/>
      <c r="D2810" s="211"/>
      <c r="E2810" s="171"/>
    </row>
    <row r="2811" hidden="1">
      <c r="A2811" s="136"/>
      <c r="B2811" s="96"/>
      <c r="C2811" s="86"/>
      <c r="D2811" s="209"/>
      <c r="E2811" s="215"/>
    </row>
    <row r="2812" hidden="1">
      <c r="A2812" s="136"/>
      <c r="B2812" s="96"/>
      <c r="C2812" s="86"/>
      <c r="D2812" s="211"/>
      <c r="E2812" s="171"/>
    </row>
    <row r="2813" hidden="1">
      <c r="A2813" s="136"/>
      <c r="B2813" s="96"/>
      <c r="C2813" s="86"/>
      <c r="D2813" s="209"/>
      <c r="E2813" s="215"/>
    </row>
    <row r="2814" hidden="1">
      <c r="A2814" s="136"/>
      <c r="B2814" s="96"/>
      <c r="C2814" s="86"/>
      <c r="D2814" s="211"/>
      <c r="E2814" s="171"/>
    </row>
    <row r="2815" hidden="1">
      <c r="A2815" s="136"/>
      <c r="B2815" s="96"/>
      <c r="C2815" s="86"/>
      <c r="D2815" s="209"/>
      <c r="E2815" s="215"/>
    </row>
    <row r="2816" hidden="1">
      <c r="A2816" s="136"/>
      <c r="B2816" s="96"/>
      <c r="C2816" s="86"/>
      <c r="D2816" s="211"/>
      <c r="E2816" s="171"/>
    </row>
    <row r="2817" hidden="1">
      <c r="A2817" s="136"/>
      <c r="B2817" s="96"/>
      <c r="C2817" s="86"/>
      <c r="D2817" s="209"/>
      <c r="E2817" s="215"/>
    </row>
    <row r="2818" hidden="1">
      <c r="A2818" s="136"/>
      <c r="B2818" s="96"/>
      <c r="C2818" s="86"/>
      <c r="D2818" s="211"/>
      <c r="E2818" s="171"/>
    </row>
    <row r="2819" hidden="1">
      <c r="A2819" s="136"/>
      <c r="B2819" s="96"/>
      <c r="C2819" s="86"/>
      <c r="D2819" s="209"/>
      <c r="E2819" s="215"/>
    </row>
    <row r="2820" hidden="1">
      <c r="A2820" s="136"/>
      <c r="B2820" s="96"/>
      <c r="C2820" s="86"/>
      <c r="D2820" s="211"/>
      <c r="E2820" s="171"/>
    </row>
    <row r="2821" hidden="1">
      <c r="A2821" s="136"/>
      <c r="B2821" s="96"/>
      <c r="C2821" s="86"/>
      <c r="D2821" s="209"/>
      <c r="E2821" s="215"/>
    </row>
    <row r="2822" hidden="1">
      <c r="A2822" s="136"/>
      <c r="B2822" s="96"/>
      <c r="C2822" s="86"/>
      <c r="D2822" s="211"/>
      <c r="E2822" s="171"/>
    </row>
    <row r="2823" hidden="1">
      <c r="A2823" s="136"/>
      <c r="B2823" s="96"/>
      <c r="C2823" s="86"/>
      <c r="D2823" s="209"/>
      <c r="E2823" s="215"/>
    </row>
    <row r="2824" hidden="1">
      <c r="A2824" s="136"/>
      <c r="B2824" s="96"/>
      <c r="C2824" s="86"/>
      <c r="D2824" s="211"/>
      <c r="E2824" s="171"/>
    </row>
    <row r="2825" hidden="1">
      <c r="A2825" s="136"/>
      <c r="B2825" s="96"/>
      <c r="C2825" s="86"/>
      <c r="D2825" s="209"/>
      <c r="E2825" s="215"/>
    </row>
    <row r="2826" hidden="1">
      <c r="A2826" s="136"/>
      <c r="B2826" s="96"/>
      <c r="C2826" s="86"/>
      <c r="D2826" s="211"/>
      <c r="E2826" s="171"/>
    </row>
    <row r="2827" hidden="1">
      <c r="A2827" s="136"/>
      <c r="B2827" s="96"/>
      <c r="C2827" s="86"/>
      <c r="D2827" s="209"/>
      <c r="E2827" s="215"/>
    </row>
    <row r="2828" hidden="1">
      <c r="A2828" s="136"/>
      <c r="B2828" s="96"/>
      <c r="C2828" s="86"/>
      <c r="D2828" s="211"/>
      <c r="E2828" s="171"/>
    </row>
    <row r="2829" hidden="1">
      <c r="A2829" s="136"/>
      <c r="B2829" s="96"/>
      <c r="C2829" s="86"/>
      <c r="D2829" s="209"/>
      <c r="E2829" s="215"/>
    </row>
    <row r="2830" hidden="1">
      <c r="A2830" s="136"/>
      <c r="B2830" s="96"/>
      <c r="C2830" s="86"/>
      <c r="D2830" s="211"/>
      <c r="E2830" s="171"/>
    </row>
    <row r="2831" hidden="1">
      <c r="A2831" s="136"/>
      <c r="B2831" s="96"/>
      <c r="C2831" s="86"/>
      <c r="D2831" s="209"/>
      <c r="E2831" s="215"/>
    </row>
    <row r="2832" hidden="1">
      <c r="A2832" s="136"/>
      <c r="B2832" s="96"/>
      <c r="C2832" s="86"/>
      <c r="D2832" s="211"/>
      <c r="E2832" s="171"/>
    </row>
    <row r="2833" hidden="1">
      <c r="A2833" s="136"/>
      <c r="B2833" s="96"/>
      <c r="C2833" s="86"/>
      <c r="D2833" s="209"/>
      <c r="E2833" s="215"/>
    </row>
    <row r="2834" hidden="1">
      <c r="A2834" s="136"/>
      <c r="B2834" s="96"/>
      <c r="C2834" s="86"/>
      <c r="D2834" s="211"/>
      <c r="E2834" s="171"/>
    </row>
    <row r="2835" hidden="1">
      <c r="A2835" s="136"/>
      <c r="B2835" s="96"/>
      <c r="C2835" s="86"/>
      <c r="D2835" s="209"/>
      <c r="E2835" s="215"/>
    </row>
    <row r="2836" hidden="1">
      <c r="A2836" s="136"/>
      <c r="B2836" s="96"/>
      <c r="C2836" s="86"/>
      <c r="D2836" s="211"/>
      <c r="E2836" s="171"/>
    </row>
    <row r="2837" hidden="1">
      <c r="A2837" s="136"/>
      <c r="B2837" s="96"/>
      <c r="C2837" s="86"/>
      <c r="D2837" s="209"/>
      <c r="E2837" s="215"/>
    </row>
    <row r="2838" hidden="1">
      <c r="A2838" s="136"/>
      <c r="B2838" s="96"/>
      <c r="C2838" s="86"/>
      <c r="D2838" s="211"/>
      <c r="E2838" s="171"/>
    </row>
    <row r="2839" hidden="1">
      <c r="A2839" s="136"/>
      <c r="B2839" s="96"/>
      <c r="C2839" s="86"/>
      <c r="D2839" s="209"/>
      <c r="E2839" s="215"/>
    </row>
    <row r="2840" hidden="1">
      <c r="A2840" s="136"/>
      <c r="B2840" s="96"/>
      <c r="C2840" s="86"/>
      <c r="D2840" s="211"/>
      <c r="E2840" s="171"/>
    </row>
    <row r="2841" hidden="1">
      <c r="A2841" s="136"/>
      <c r="B2841" s="96"/>
      <c r="C2841" s="86"/>
      <c r="D2841" s="209"/>
      <c r="E2841" s="215"/>
    </row>
    <row r="2842" hidden="1">
      <c r="A2842" s="136"/>
      <c r="B2842" s="96"/>
      <c r="C2842" s="86"/>
      <c r="D2842" s="211"/>
      <c r="E2842" s="171"/>
    </row>
    <row r="2843" hidden="1">
      <c r="A2843" s="136"/>
      <c r="B2843" s="96"/>
      <c r="C2843" s="86"/>
      <c r="D2843" s="209"/>
      <c r="E2843" s="215"/>
    </row>
    <row r="2844" hidden="1">
      <c r="A2844" s="136"/>
      <c r="B2844" s="96"/>
      <c r="C2844" s="86"/>
      <c r="D2844" s="211"/>
      <c r="E2844" s="171"/>
    </row>
    <row r="2845" hidden="1">
      <c r="A2845" s="136"/>
      <c r="B2845" s="96"/>
      <c r="C2845" s="86"/>
      <c r="D2845" s="209"/>
      <c r="E2845" s="215"/>
    </row>
    <row r="2846" hidden="1">
      <c r="A2846" s="136"/>
      <c r="B2846" s="96"/>
      <c r="C2846" s="86"/>
      <c r="D2846" s="211"/>
      <c r="E2846" s="171"/>
    </row>
    <row r="2847" hidden="1">
      <c r="A2847" s="136"/>
      <c r="B2847" s="96"/>
      <c r="C2847" s="86"/>
      <c r="D2847" s="209"/>
      <c r="E2847" s="215"/>
    </row>
    <row r="2848" hidden="1">
      <c r="A2848" s="136"/>
      <c r="B2848" s="96"/>
      <c r="C2848" s="86"/>
      <c r="D2848" s="211"/>
      <c r="E2848" s="171"/>
    </row>
    <row r="2849" hidden="1">
      <c r="A2849" s="136"/>
      <c r="B2849" s="96"/>
      <c r="C2849" s="86"/>
      <c r="D2849" s="209"/>
      <c r="E2849" s="215"/>
    </row>
    <row r="2850" hidden="1">
      <c r="A2850" s="136"/>
      <c r="B2850" s="96"/>
      <c r="C2850" s="86"/>
      <c r="D2850" s="211"/>
      <c r="E2850" s="171"/>
    </row>
    <row r="2851" hidden="1">
      <c r="A2851" s="136"/>
      <c r="B2851" s="96"/>
      <c r="C2851" s="86"/>
      <c r="D2851" s="209"/>
      <c r="E2851" s="215"/>
    </row>
    <row r="2852" hidden="1">
      <c r="A2852" s="136"/>
      <c r="B2852" s="96"/>
      <c r="C2852" s="86"/>
      <c r="D2852" s="211"/>
      <c r="E2852" s="171"/>
    </row>
    <row r="2853" hidden="1">
      <c r="A2853" s="136"/>
      <c r="B2853" s="96"/>
      <c r="C2853" s="86"/>
      <c r="D2853" s="209"/>
      <c r="E2853" s="215"/>
    </row>
    <row r="2854" hidden="1">
      <c r="A2854" s="136"/>
      <c r="B2854" s="96"/>
      <c r="C2854" s="86"/>
      <c r="D2854" s="211"/>
      <c r="E2854" s="171"/>
    </row>
    <row r="2855" hidden="1">
      <c r="A2855" s="136"/>
      <c r="B2855" s="96"/>
      <c r="C2855" s="86"/>
      <c r="D2855" s="209"/>
      <c r="E2855" s="215"/>
    </row>
    <row r="2856" hidden="1">
      <c r="A2856" s="136"/>
      <c r="B2856" s="96"/>
      <c r="C2856" s="86"/>
      <c r="D2856" s="211"/>
      <c r="E2856" s="171"/>
    </row>
    <row r="2857" hidden="1">
      <c r="A2857" s="136"/>
      <c r="B2857" s="96"/>
      <c r="C2857" s="86"/>
      <c r="D2857" s="209"/>
      <c r="E2857" s="215"/>
    </row>
    <row r="2858" hidden="1">
      <c r="A2858" s="136"/>
      <c r="B2858" s="96"/>
      <c r="C2858" s="86"/>
      <c r="D2858" s="211"/>
      <c r="E2858" s="171"/>
    </row>
    <row r="2859" hidden="1">
      <c r="A2859" s="136"/>
      <c r="B2859" s="96"/>
      <c r="C2859" s="86"/>
      <c r="D2859" s="209"/>
      <c r="E2859" s="215"/>
    </row>
    <row r="2860" hidden="1">
      <c r="A2860" s="136"/>
      <c r="B2860" s="96"/>
      <c r="C2860" s="86"/>
      <c r="D2860" s="211"/>
      <c r="E2860" s="171"/>
    </row>
    <row r="2861" hidden="1">
      <c r="A2861" s="136"/>
      <c r="B2861" s="96"/>
      <c r="C2861" s="86"/>
      <c r="D2861" s="209"/>
      <c r="E2861" s="215"/>
    </row>
    <row r="2862" hidden="1">
      <c r="A2862" s="136"/>
      <c r="B2862" s="96"/>
      <c r="C2862" s="86"/>
      <c r="D2862" s="211"/>
      <c r="E2862" s="171"/>
    </row>
    <row r="2863" hidden="1">
      <c r="A2863" s="136"/>
      <c r="B2863" s="96"/>
      <c r="C2863" s="86"/>
      <c r="D2863" s="209"/>
      <c r="E2863" s="215"/>
    </row>
    <row r="2864" hidden="1">
      <c r="A2864" s="136"/>
      <c r="B2864" s="96"/>
      <c r="C2864" s="86"/>
      <c r="D2864" s="211"/>
      <c r="E2864" s="171"/>
    </row>
    <row r="2865" hidden="1">
      <c r="A2865" s="136"/>
      <c r="B2865" s="96"/>
      <c r="C2865" s="86"/>
      <c r="D2865" s="209"/>
      <c r="E2865" s="215"/>
    </row>
    <row r="2866" hidden="1">
      <c r="A2866" s="136"/>
      <c r="B2866" s="96"/>
      <c r="C2866" s="86"/>
      <c r="D2866" s="211"/>
      <c r="E2866" s="171"/>
    </row>
    <row r="2867" hidden="1">
      <c r="A2867" s="136"/>
      <c r="B2867" s="96"/>
      <c r="C2867" s="86"/>
      <c r="D2867" s="209"/>
      <c r="E2867" s="215"/>
    </row>
    <row r="2868" hidden="1">
      <c r="A2868" s="136"/>
      <c r="B2868" s="96"/>
      <c r="C2868" s="86"/>
      <c r="D2868" s="211"/>
      <c r="E2868" s="171"/>
    </row>
    <row r="2869" hidden="1">
      <c r="A2869" s="136"/>
      <c r="B2869" s="96"/>
      <c r="C2869" s="86"/>
      <c r="D2869" s="209"/>
      <c r="E2869" s="215"/>
    </row>
    <row r="2870" hidden="1">
      <c r="A2870" s="136"/>
      <c r="B2870" s="96"/>
      <c r="C2870" s="86"/>
      <c r="D2870" s="211"/>
      <c r="E2870" s="171"/>
    </row>
    <row r="2871" hidden="1">
      <c r="A2871" s="136"/>
      <c r="B2871" s="96"/>
      <c r="C2871" s="86"/>
      <c r="D2871" s="209"/>
      <c r="E2871" s="215"/>
    </row>
    <row r="2872" hidden="1">
      <c r="A2872" s="136"/>
      <c r="B2872" s="96"/>
      <c r="C2872" s="86"/>
      <c r="D2872" s="211"/>
      <c r="E2872" s="171"/>
    </row>
    <row r="2873" hidden="1">
      <c r="A2873" s="136"/>
      <c r="B2873" s="96"/>
      <c r="C2873" s="86"/>
      <c r="D2873" s="209"/>
      <c r="E2873" s="215"/>
    </row>
    <row r="2874" hidden="1">
      <c r="A2874" s="136"/>
      <c r="B2874" s="96"/>
      <c r="C2874" s="86"/>
      <c r="D2874" s="211"/>
      <c r="E2874" s="171"/>
    </row>
    <row r="2875" hidden="1">
      <c r="A2875" s="136"/>
      <c r="B2875" s="96"/>
      <c r="C2875" s="86"/>
      <c r="D2875" s="209"/>
      <c r="E2875" s="215"/>
    </row>
    <row r="2876" hidden="1">
      <c r="A2876" s="136"/>
      <c r="B2876" s="96"/>
      <c r="C2876" s="86"/>
      <c r="D2876" s="211"/>
      <c r="E2876" s="171"/>
    </row>
    <row r="2877" hidden="1">
      <c r="A2877" s="136"/>
      <c r="B2877" s="96"/>
      <c r="C2877" s="86"/>
      <c r="D2877" s="209"/>
      <c r="E2877" s="215"/>
    </row>
    <row r="2878" hidden="1">
      <c r="A2878" s="136"/>
      <c r="B2878" s="96"/>
      <c r="C2878" s="86"/>
      <c r="D2878" s="211"/>
      <c r="E2878" s="171"/>
    </row>
    <row r="2879" hidden="1">
      <c r="A2879" s="136"/>
      <c r="B2879" s="96"/>
      <c r="C2879" s="86"/>
      <c r="D2879" s="209"/>
      <c r="E2879" s="215"/>
    </row>
    <row r="2880" hidden="1">
      <c r="A2880" s="136"/>
      <c r="B2880" s="96"/>
      <c r="C2880" s="86"/>
      <c r="D2880" s="211"/>
      <c r="E2880" s="171"/>
    </row>
    <row r="2881" hidden="1">
      <c r="A2881" s="136"/>
      <c r="B2881" s="96"/>
      <c r="C2881" s="86"/>
      <c r="D2881" s="209"/>
      <c r="E2881" s="215"/>
    </row>
    <row r="2882" hidden="1">
      <c r="A2882" s="136"/>
      <c r="B2882" s="96"/>
      <c r="C2882" s="86"/>
      <c r="D2882" s="211"/>
      <c r="E2882" s="171"/>
    </row>
    <row r="2883" hidden="1">
      <c r="A2883" s="136"/>
      <c r="B2883" s="96"/>
      <c r="C2883" s="86"/>
      <c r="D2883" s="209"/>
      <c r="E2883" s="215"/>
    </row>
    <row r="2884" hidden="1">
      <c r="A2884" s="136"/>
      <c r="B2884" s="96"/>
      <c r="C2884" s="86"/>
      <c r="D2884" s="211"/>
      <c r="E2884" s="171"/>
    </row>
    <row r="2885" hidden="1">
      <c r="A2885" s="136"/>
      <c r="B2885" s="96"/>
      <c r="C2885" s="86"/>
      <c r="D2885" s="209"/>
      <c r="E2885" s="215"/>
    </row>
    <row r="2886" hidden="1">
      <c r="A2886" s="136"/>
      <c r="B2886" s="96"/>
      <c r="C2886" s="86"/>
      <c r="D2886" s="211"/>
      <c r="E2886" s="171"/>
    </row>
    <row r="2887" hidden="1">
      <c r="A2887" s="136"/>
      <c r="B2887" s="96"/>
      <c r="C2887" s="86"/>
      <c r="D2887" s="209"/>
      <c r="E2887" s="215"/>
    </row>
    <row r="2888" hidden="1">
      <c r="A2888" s="136"/>
      <c r="B2888" s="96"/>
      <c r="C2888" s="86"/>
      <c r="D2888" s="211"/>
      <c r="E2888" s="171"/>
    </row>
    <row r="2889" hidden="1">
      <c r="A2889" s="136"/>
      <c r="B2889" s="96"/>
      <c r="C2889" s="86"/>
      <c r="D2889" s="209"/>
      <c r="E2889" s="215"/>
    </row>
    <row r="2890" hidden="1">
      <c r="A2890" s="136"/>
      <c r="B2890" s="96"/>
      <c r="C2890" s="86"/>
      <c r="D2890" s="211"/>
      <c r="E2890" s="171"/>
    </row>
    <row r="2891" hidden="1">
      <c r="A2891" s="136"/>
      <c r="B2891" s="96"/>
      <c r="C2891" s="86"/>
      <c r="D2891" s="209"/>
      <c r="E2891" s="215"/>
    </row>
    <row r="2892" hidden="1">
      <c r="A2892" s="136"/>
      <c r="B2892" s="96"/>
      <c r="C2892" s="86"/>
      <c r="D2892" s="211"/>
      <c r="E2892" s="171"/>
    </row>
    <row r="2893" hidden="1">
      <c r="A2893" s="136"/>
      <c r="B2893" s="96"/>
      <c r="C2893" s="86"/>
      <c r="D2893" s="209"/>
      <c r="E2893" s="215"/>
    </row>
    <row r="2894" hidden="1">
      <c r="A2894" s="136"/>
      <c r="B2894" s="96"/>
      <c r="C2894" s="86"/>
      <c r="D2894" s="211"/>
      <c r="E2894" s="171"/>
    </row>
    <row r="2895" hidden="1">
      <c r="A2895" s="136"/>
      <c r="B2895" s="96"/>
      <c r="C2895" s="86"/>
      <c r="D2895" s="209"/>
      <c r="E2895" s="215"/>
    </row>
    <row r="2896" hidden="1">
      <c r="A2896" s="136"/>
      <c r="B2896" s="96"/>
      <c r="C2896" s="86"/>
      <c r="D2896" s="211"/>
      <c r="E2896" s="171"/>
    </row>
    <row r="2897" hidden="1">
      <c r="A2897" s="136"/>
      <c r="B2897" s="96"/>
      <c r="C2897" s="86"/>
      <c r="D2897" s="209"/>
      <c r="E2897" s="215"/>
    </row>
    <row r="2898" hidden="1">
      <c r="A2898" s="136"/>
      <c r="B2898" s="96"/>
      <c r="C2898" s="86"/>
      <c r="D2898" s="211"/>
      <c r="E2898" s="171"/>
    </row>
    <row r="2899" hidden="1">
      <c r="A2899" s="136"/>
      <c r="B2899" s="96"/>
      <c r="C2899" s="86"/>
      <c r="D2899" s="209"/>
      <c r="E2899" s="215"/>
    </row>
    <row r="2900" hidden="1">
      <c r="A2900" s="136"/>
      <c r="B2900" s="96"/>
      <c r="C2900" s="86"/>
      <c r="D2900" s="211"/>
      <c r="E2900" s="171"/>
    </row>
    <row r="2901" hidden="1">
      <c r="A2901" s="136"/>
      <c r="B2901" s="96"/>
      <c r="C2901" s="86"/>
      <c r="D2901" s="209"/>
      <c r="E2901" s="215"/>
    </row>
    <row r="2902" hidden="1">
      <c r="A2902" s="136"/>
      <c r="B2902" s="96"/>
      <c r="C2902" s="86"/>
      <c r="D2902" s="211"/>
      <c r="E2902" s="171"/>
    </row>
    <row r="2903" hidden="1">
      <c r="A2903" s="136"/>
      <c r="B2903" s="96"/>
      <c r="C2903" s="86"/>
      <c r="D2903" s="209"/>
      <c r="E2903" s="215"/>
    </row>
    <row r="2904" hidden="1">
      <c r="A2904" s="136"/>
      <c r="B2904" s="96"/>
      <c r="C2904" s="86"/>
      <c r="D2904" s="211"/>
      <c r="E2904" s="171"/>
    </row>
    <row r="2905" hidden="1">
      <c r="A2905" s="136"/>
      <c r="B2905" s="96"/>
      <c r="C2905" s="86"/>
      <c r="D2905" s="209"/>
      <c r="E2905" s="215"/>
    </row>
    <row r="2906" hidden="1">
      <c r="A2906" s="136"/>
      <c r="B2906" s="96"/>
      <c r="C2906" s="86"/>
      <c r="D2906" s="211"/>
      <c r="E2906" s="171"/>
    </row>
    <row r="2907" hidden="1">
      <c r="A2907" s="136"/>
      <c r="B2907" s="96"/>
      <c r="C2907" s="86"/>
      <c r="D2907" s="209"/>
      <c r="E2907" s="215"/>
    </row>
    <row r="2908" hidden="1">
      <c r="A2908" s="136"/>
      <c r="B2908" s="96"/>
      <c r="C2908" s="86"/>
      <c r="D2908" s="211"/>
      <c r="E2908" s="171"/>
    </row>
    <row r="2909" hidden="1">
      <c r="A2909" s="136"/>
      <c r="B2909" s="96"/>
      <c r="C2909" s="86"/>
      <c r="D2909" s="209"/>
      <c r="E2909" s="215"/>
    </row>
    <row r="2910" hidden="1">
      <c r="A2910" s="136"/>
      <c r="B2910" s="96"/>
      <c r="C2910" s="86"/>
      <c r="D2910" s="211"/>
      <c r="E2910" s="171"/>
    </row>
    <row r="2911" hidden="1">
      <c r="A2911" s="136"/>
      <c r="B2911" s="96"/>
      <c r="C2911" s="86"/>
      <c r="D2911" s="209"/>
      <c r="E2911" s="215"/>
    </row>
    <row r="2912" hidden="1">
      <c r="A2912" s="136"/>
      <c r="B2912" s="96"/>
      <c r="C2912" s="86"/>
      <c r="D2912" s="211"/>
      <c r="E2912" s="171"/>
    </row>
    <row r="2913" hidden="1">
      <c r="A2913" s="136"/>
      <c r="B2913" s="96"/>
      <c r="C2913" s="86"/>
      <c r="D2913" s="209"/>
      <c r="E2913" s="215"/>
    </row>
    <row r="2914" hidden="1">
      <c r="A2914" s="136"/>
      <c r="B2914" s="96"/>
      <c r="C2914" s="86"/>
      <c r="D2914" s="211"/>
      <c r="E2914" s="171"/>
    </row>
    <row r="2915" hidden="1">
      <c r="A2915" s="136"/>
      <c r="B2915" s="96"/>
      <c r="C2915" s="86"/>
      <c r="D2915" s="209"/>
      <c r="E2915" s="215"/>
    </row>
    <row r="2916" hidden="1">
      <c r="A2916" s="136"/>
      <c r="B2916" s="96"/>
      <c r="C2916" s="86"/>
      <c r="D2916" s="211"/>
      <c r="E2916" s="171"/>
    </row>
    <row r="2917" hidden="1">
      <c r="A2917" s="136"/>
      <c r="B2917" s="96"/>
      <c r="C2917" s="86"/>
      <c r="D2917" s="209"/>
      <c r="E2917" s="215"/>
    </row>
    <row r="2918" hidden="1">
      <c r="A2918" s="136"/>
      <c r="B2918" s="96"/>
      <c r="C2918" s="86"/>
      <c r="D2918" s="211"/>
      <c r="E2918" s="171"/>
    </row>
    <row r="2919" hidden="1">
      <c r="A2919" s="136"/>
      <c r="B2919" s="96"/>
      <c r="C2919" s="86"/>
      <c r="D2919" s="209"/>
      <c r="E2919" s="215"/>
    </row>
    <row r="2920" hidden="1">
      <c r="A2920" s="136"/>
      <c r="B2920" s="96"/>
      <c r="C2920" s="86"/>
      <c r="D2920" s="211"/>
      <c r="E2920" s="171"/>
    </row>
    <row r="2921" hidden="1">
      <c r="A2921" s="136"/>
      <c r="B2921" s="96"/>
      <c r="C2921" s="86"/>
      <c r="D2921" s="209"/>
      <c r="E2921" s="215"/>
    </row>
    <row r="2922" hidden="1">
      <c r="A2922" s="136"/>
      <c r="B2922" s="96"/>
      <c r="C2922" s="86"/>
      <c r="D2922" s="211"/>
      <c r="E2922" s="171"/>
    </row>
    <row r="2923" hidden="1">
      <c r="A2923" s="136"/>
      <c r="B2923" s="96"/>
      <c r="C2923" s="86"/>
      <c r="D2923" s="209"/>
      <c r="E2923" s="215"/>
    </row>
    <row r="2924" hidden="1">
      <c r="A2924" s="136"/>
      <c r="B2924" s="96"/>
      <c r="C2924" s="86"/>
      <c r="D2924" s="211"/>
      <c r="E2924" s="171"/>
    </row>
    <row r="2925" hidden="1">
      <c r="A2925" s="136"/>
      <c r="B2925" s="96"/>
      <c r="C2925" s="86"/>
      <c r="D2925" s="209"/>
      <c r="E2925" s="215"/>
    </row>
    <row r="2926" hidden="1">
      <c r="A2926" s="136"/>
      <c r="B2926" s="96"/>
      <c r="C2926" s="86"/>
      <c r="D2926" s="211"/>
      <c r="E2926" s="171"/>
    </row>
    <row r="2927" hidden="1">
      <c r="A2927" s="136"/>
      <c r="B2927" s="96"/>
      <c r="C2927" s="86"/>
      <c r="D2927" s="209"/>
      <c r="E2927" s="215"/>
    </row>
    <row r="2928" hidden="1">
      <c r="A2928" s="136"/>
      <c r="B2928" s="96"/>
      <c r="C2928" s="86"/>
      <c r="D2928" s="211"/>
      <c r="E2928" s="171"/>
    </row>
    <row r="2929" hidden="1">
      <c r="A2929" s="136"/>
      <c r="B2929" s="96"/>
      <c r="C2929" s="86"/>
      <c r="D2929" s="209"/>
      <c r="E2929" s="215"/>
    </row>
    <row r="2930" hidden="1">
      <c r="A2930" s="136"/>
      <c r="B2930" s="96"/>
      <c r="C2930" s="86"/>
      <c r="D2930" s="211"/>
      <c r="E2930" s="171"/>
    </row>
    <row r="2931" hidden="1">
      <c r="A2931" s="136"/>
      <c r="B2931" s="96"/>
      <c r="C2931" s="86"/>
      <c r="D2931" s="209"/>
      <c r="E2931" s="215"/>
    </row>
    <row r="2932" hidden="1">
      <c r="A2932" s="136"/>
      <c r="B2932" s="96"/>
      <c r="C2932" s="86"/>
      <c r="D2932" s="211"/>
      <c r="E2932" s="171"/>
    </row>
    <row r="2933" hidden="1">
      <c r="A2933" s="136"/>
      <c r="B2933" s="96"/>
      <c r="C2933" s="86"/>
      <c r="D2933" s="209"/>
      <c r="E2933" s="215"/>
    </row>
    <row r="2934" hidden="1">
      <c r="A2934" s="136"/>
      <c r="B2934" s="96"/>
      <c r="C2934" s="86"/>
      <c r="D2934" s="211"/>
      <c r="E2934" s="171"/>
    </row>
    <row r="2935" hidden="1">
      <c r="A2935" s="136"/>
      <c r="B2935" s="96"/>
      <c r="C2935" s="86"/>
      <c r="D2935" s="209"/>
      <c r="E2935" s="215"/>
    </row>
    <row r="2936" hidden="1">
      <c r="A2936" s="136"/>
      <c r="B2936" s="96"/>
      <c r="C2936" s="86"/>
      <c r="D2936" s="211"/>
      <c r="E2936" s="171"/>
    </row>
    <row r="2937" hidden="1">
      <c r="A2937" s="136"/>
      <c r="B2937" s="96"/>
      <c r="C2937" s="86"/>
      <c r="D2937" s="209"/>
      <c r="E2937" s="215"/>
    </row>
    <row r="2938" hidden="1">
      <c r="A2938" s="136"/>
      <c r="B2938" s="96"/>
      <c r="C2938" s="86"/>
      <c r="D2938" s="211"/>
      <c r="E2938" s="171"/>
    </row>
    <row r="2939" hidden="1">
      <c r="A2939" s="136"/>
      <c r="B2939" s="96"/>
      <c r="C2939" s="86"/>
      <c r="D2939" s="209"/>
      <c r="E2939" s="215"/>
    </row>
    <row r="2940" hidden="1">
      <c r="A2940" s="136"/>
      <c r="B2940" s="96"/>
      <c r="C2940" s="86"/>
      <c r="D2940" s="211"/>
      <c r="E2940" s="171"/>
    </row>
    <row r="2941" hidden="1">
      <c r="A2941" s="136"/>
      <c r="B2941" s="96"/>
      <c r="C2941" s="86"/>
      <c r="D2941" s="209"/>
      <c r="E2941" s="215"/>
    </row>
    <row r="2942" hidden="1">
      <c r="A2942" s="136"/>
      <c r="B2942" s="96"/>
      <c r="C2942" s="86"/>
      <c r="D2942" s="211"/>
      <c r="E2942" s="171"/>
    </row>
    <row r="2943" hidden="1">
      <c r="A2943" s="136"/>
      <c r="B2943" s="96"/>
      <c r="C2943" s="86"/>
      <c r="D2943" s="209"/>
      <c r="E2943" s="215"/>
    </row>
    <row r="2944" hidden="1">
      <c r="A2944" s="136"/>
      <c r="B2944" s="96"/>
      <c r="C2944" s="86"/>
      <c r="D2944" s="211"/>
      <c r="E2944" s="171"/>
    </row>
    <row r="2945" hidden="1">
      <c r="A2945" s="136"/>
      <c r="B2945" s="96"/>
      <c r="C2945" s="86"/>
      <c r="D2945" s="209"/>
      <c r="E2945" s="215"/>
    </row>
    <row r="2946" hidden="1">
      <c r="A2946" s="136"/>
      <c r="B2946" s="96"/>
      <c r="C2946" s="86"/>
      <c r="D2946" s="211"/>
      <c r="E2946" s="171"/>
    </row>
    <row r="2947" hidden="1">
      <c r="A2947" s="136"/>
      <c r="B2947" s="96"/>
      <c r="C2947" s="86"/>
      <c r="D2947" s="209"/>
      <c r="E2947" s="215"/>
    </row>
    <row r="2948" hidden="1">
      <c r="A2948" s="136"/>
      <c r="B2948" s="96"/>
      <c r="C2948" s="86"/>
      <c r="D2948" s="211"/>
      <c r="E2948" s="171"/>
    </row>
    <row r="2949" hidden="1">
      <c r="A2949" s="136"/>
      <c r="B2949" s="96"/>
      <c r="C2949" s="86"/>
      <c r="D2949" s="209"/>
      <c r="E2949" s="215"/>
    </row>
    <row r="2950" hidden="1">
      <c r="A2950" s="136"/>
      <c r="B2950" s="96"/>
      <c r="C2950" s="86"/>
      <c r="D2950" s="211"/>
      <c r="E2950" s="171"/>
    </row>
    <row r="2951" hidden="1">
      <c r="A2951" s="136"/>
      <c r="B2951" s="96"/>
      <c r="C2951" s="86"/>
      <c r="D2951" s="209"/>
      <c r="E2951" s="215"/>
    </row>
    <row r="2952" hidden="1">
      <c r="A2952" s="136"/>
      <c r="B2952" s="96"/>
      <c r="C2952" s="86"/>
      <c r="D2952" s="211"/>
      <c r="E2952" s="171"/>
    </row>
    <row r="2953" hidden="1">
      <c r="A2953" s="136"/>
      <c r="B2953" s="96"/>
      <c r="C2953" s="86"/>
      <c r="D2953" s="209"/>
      <c r="E2953" s="215"/>
    </row>
    <row r="2954" hidden="1">
      <c r="A2954" s="136"/>
      <c r="B2954" s="96"/>
      <c r="C2954" s="86"/>
      <c r="D2954" s="211"/>
      <c r="E2954" s="171"/>
    </row>
    <row r="2955" hidden="1">
      <c r="A2955" s="136"/>
      <c r="B2955" s="96"/>
      <c r="C2955" s="86"/>
      <c r="D2955" s="209"/>
      <c r="E2955" s="215"/>
    </row>
    <row r="2956" hidden="1">
      <c r="A2956" s="136"/>
      <c r="B2956" s="96"/>
      <c r="C2956" s="86"/>
      <c r="D2956" s="211"/>
      <c r="E2956" s="171"/>
    </row>
    <row r="2957" hidden="1">
      <c r="A2957" s="136"/>
      <c r="B2957" s="96"/>
      <c r="C2957" s="86"/>
      <c r="D2957" s="209"/>
      <c r="E2957" s="215"/>
    </row>
    <row r="2958" hidden="1">
      <c r="A2958" s="136"/>
      <c r="B2958" s="96"/>
      <c r="C2958" s="86"/>
      <c r="D2958" s="211"/>
      <c r="E2958" s="171"/>
    </row>
    <row r="2959" hidden="1">
      <c r="A2959" s="136"/>
      <c r="B2959" s="96"/>
      <c r="C2959" s="86"/>
      <c r="D2959" s="209"/>
      <c r="E2959" s="215"/>
    </row>
    <row r="2960" hidden="1">
      <c r="A2960" s="136"/>
      <c r="B2960" s="96"/>
      <c r="C2960" s="86"/>
      <c r="D2960" s="211"/>
      <c r="E2960" s="171"/>
    </row>
    <row r="2961" hidden="1">
      <c r="A2961" s="136"/>
      <c r="B2961" s="96"/>
      <c r="C2961" s="86"/>
      <c r="D2961" s="209"/>
      <c r="E2961" s="215"/>
    </row>
    <row r="2962" hidden="1">
      <c r="A2962" s="136"/>
      <c r="B2962" s="96"/>
      <c r="C2962" s="86"/>
      <c r="D2962" s="211"/>
      <c r="E2962" s="171"/>
    </row>
    <row r="2963" hidden="1">
      <c r="A2963" s="136"/>
      <c r="B2963" s="96"/>
      <c r="C2963" s="86"/>
      <c r="D2963" s="209"/>
      <c r="E2963" s="215"/>
    </row>
    <row r="2964" hidden="1">
      <c r="A2964" s="136"/>
      <c r="B2964" s="96"/>
      <c r="C2964" s="86"/>
      <c r="D2964" s="211"/>
      <c r="E2964" s="171"/>
    </row>
    <row r="2965" hidden="1">
      <c r="A2965" s="136"/>
      <c r="B2965" s="96"/>
      <c r="C2965" s="86"/>
      <c r="D2965" s="209"/>
      <c r="E2965" s="215"/>
    </row>
    <row r="2966" hidden="1">
      <c r="A2966" s="136"/>
      <c r="B2966" s="96"/>
      <c r="C2966" s="86"/>
      <c r="D2966" s="211"/>
      <c r="E2966" s="171"/>
    </row>
    <row r="2967" hidden="1">
      <c r="A2967" s="136"/>
      <c r="B2967" s="96"/>
      <c r="C2967" s="86"/>
      <c r="D2967" s="209"/>
      <c r="E2967" s="215"/>
    </row>
    <row r="2968" hidden="1">
      <c r="A2968" s="136"/>
      <c r="B2968" s="96"/>
      <c r="C2968" s="86"/>
      <c r="D2968" s="211"/>
      <c r="E2968" s="171"/>
    </row>
    <row r="2969" hidden="1">
      <c r="A2969" s="136"/>
      <c r="B2969" s="96"/>
      <c r="C2969" s="86"/>
      <c r="D2969" s="209"/>
      <c r="E2969" s="215"/>
    </row>
    <row r="2970" hidden="1">
      <c r="A2970" s="136"/>
      <c r="B2970" s="96"/>
      <c r="C2970" s="86"/>
      <c r="D2970" s="211"/>
      <c r="E2970" s="171"/>
    </row>
    <row r="2971" hidden="1">
      <c r="A2971" s="136"/>
      <c r="B2971" s="96"/>
      <c r="C2971" s="86"/>
      <c r="D2971" s="209"/>
      <c r="E2971" s="215"/>
    </row>
    <row r="2972" hidden="1">
      <c r="A2972" s="136"/>
      <c r="B2972" s="96"/>
      <c r="C2972" s="86"/>
      <c r="D2972" s="211"/>
      <c r="E2972" s="171"/>
    </row>
    <row r="2973" hidden="1">
      <c r="A2973" s="136"/>
      <c r="B2973" s="96"/>
      <c r="C2973" s="86"/>
      <c r="D2973" s="209"/>
      <c r="E2973" s="215"/>
    </row>
    <row r="2974" hidden="1">
      <c r="A2974" s="136"/>
      <c r="B2974" s="96"/>
      <c r="C2974" s="86"/>
      <c r="D2974" s="211"/>
      <c r="E2974" s="171"/>
    </row>
    <row r="2975" hidden="1">
      <c r="A2975" s="136"/>
      <c r="B2975" s="96"/>
      <c r="C2975" s="86"/>
      <c r="D2975" s="209"/>
      <c r="E2975" s="215"/>
    </row>
    <row r="2976" hidden="1">
      <c r="A2976" s="136"/>
      <c r="B2976" s="96"/>
      <c r="C2976" s="86"/>
      <c r="D2976" s="211"/>
      <c r="E2976" s="171"/>
    </row>
    <row r="2977" hidden="1">
      <c r="A2977" s="136"/>
      <c r="B2977" s="96"/>
      <c r="C2977" s="86"/>
      <c r="D2977" s="209"/>
      <c r="E2977" s="215"/>
    </row>
    <row r="2978" hidden="1">
      <c r="A2978" s="136"/>
      <c r="B2978" s="96"/>
      <c r="C2978" s="86"/>
      <c r="D2978" s="211"/>
      <c r="E2978" s="171"/>
    </row>
    <row r="2979" hidden="1">
      <c r="A2979" s="136"/>
      <c r="B2979" s="96"/>
      <c r="C2979" s="86"/>
      <c r="D2979" s="209"/>
      <c r="E2979" s="215"/>
    </row>
    <row r="2980" hidden="1">
      <c r="A2980" s="136"/>
      <c r="B2980" s="96"/>
      <c r="C2980" s="86"/>
      <c r="D2980" s="211"/>
      <c r="E2980" s="171"/>
    </row>
    <row r="2981" hidden="1">
      <c r="A2981" s="136"/>
      <c r="B2981" s="96"/>
      <c r="C2981" s="86"/>
      <c r="D2981" s="209"/>
      <c r="E2981" s="215"/>
    </row>
    <row r="2982" hidden="1">
      <c r="A2982" s="136"/>
      <c r="B2982" s="96"/>
      <c r="C2982" s="86"/>
      <c r="D2982" s="211"/>
      <c r="E2982" s="171"/>
    </row>
    <row r="2983" hidden="1">
      <c r="A2983" s="136"/>
      <c r="B2983" s="96"/>
      <c r="C2983" s="86"/>
      <c r="D2983" s="209"/>
      <c r="E2983" s="215"/>
    </row>
    <row r="2984" hidden="1">
      <c r="A2984" s="136"/>
      <c r="B2984" s="96"/>
      <c r="C2984" s="86"/>
      <c r="D2984" s="211"/>
      <c r="E2984" s="171"/>
    </row>
    <row r="2985" hidden="1">
      <c r="A2985" s="136"/>
      <c r="B2985" s="96"/>
      <c r="C2985" s="86"/>
      <c r="D2985" s="209"/>
      <c r="E2985" s="215"/>
    </row>
    <row r="2986" hidden="1">
      <c r="A2986" s="136"/>
      <c r="B2986" s="96"/>
      <c r="C2986" s="86"/>
      <c r="D2986" s="211"/>
      <c r="E2986" s="171"/>
    </row>
    <row r="2987" hidden="1">
      <c r="A2987" s="136"/>
      <c r="B2987" s="96"/>
      <c r="C2987" s="86"/>
      <c r="D2987" s="209"/>
      <c r="E2987" s="215"/>
    </row>
    <row r="2988" hidden="1">
      <c r="A2988" s="136"/>
      <c r="B2988" s="96"/>
      <c r="C2988" s="86"/>
      <c r="D2988" s="211"/>
      <c r="E2988" s="171"/>
    </row>
    <row r="2989" hidden="1">
      <c r="A2989" s="136"/>
      <c r="B2989" s="96"/>
      <c r="C2989" s="86"/>
      <c r="D2989" s="209"/>
      <c r="E2989" s="215"/>
    </row>
    <row r="2990" hidden="1">
      <c r="A2990" s="136"/>
      <c r="B2990" s="96"/>
      <c r="C2990" s="86"/>
      <c r="D2990" s="211"/>
      <c r="E2990" s="171"/>
    </row>
    <row r="2991" hidden="1">
      <c r="A2991" s="136"/>
      <c r="B2991" s="96"/>
      <c r="C2991" s="86"/>
      <c r="D2991" s="209"/>
      <c r="E2991" s="215"/>
    </row>
    <row r="2992" hidden="1">
      <c r="A2992" s="136"/>
      <c r="B2992" s="96"/>
      <c r="C2992" s="86"/>
      <c r="D2992" s="211"/>
      <c r="E2992" s="171"/>
    </row>
    <row r="2993" hidden="1">
      <c r="A2993" s="136"/>
      <c r="B2993" s="96"/>
      <c r="C2993" s="86"/>
      <c r="D2993" s="209"/>
      <c r="E2993" s="215"/>
    </row>
    <row r="2994" hidden="1">
      <c r="A2994" s="136"/>
      <c r="B2994" s="96"/>
      <c r="C2994" s="86"/>
      <c r="D2994" s="211"/>
      <c r="E2994" s="171"/>
    </row>
    <row r="2995" hidden="1">
      <c r="A2995" s="136"/>
      <c r="B2995" s="96"/>
      <c r="C2995" s="86"/>
      <c r="D2995" s="209"/>
      <c r="E2995" s="215"/>
    </row>
    <row r="2996" hidden="1">
      <c r="A2996" s="136"/>
      <c r="B2996" s="96"/>
      <c r="C2996" s="86"/>
      <c r="D2996" s="211"/>
      <c r="E2996" s="171"/>
    </row>
    <row r="2997" hidden="1">
      <c r="A2997" s="136"/>
      <c r="B2997" s="96"/>
      <c r="C2997" s="86"/>
      <c r="D2997" s="209"/>
      <c r="E2997" s="215"/>
    </row>
    <row r="2998" hidden="1">
      <c r="A2998" s="136"/>
      <c r="B2998" s="96"/>
      <c r="C2998" s="86"/>
      <c r="D2998" s="211"/>
      <c r="E2998" s="171"/>
    </row>
    <row r="2999" hidden="1">
      <c r="A2999" s="136"/>
      <c r="B2999" s="96"/>
      <c r="C2999" s="86"/>
      <c r="D2999" s="209"/>
      <c r="E2999" s="215"/>
    </row>
    <row r="3000" hidden="1">
      <c r="A3000" s="136"/>
      <c r="B3000" s="96"/>
      <c r="C3000" s="86"/>
      <c r="D3000" s="211"/>
      <c r="E3000" s="171"/>
    </row>
    <row r="3001" hidden="1">
      <c r="A3001" s="136"/>
      <c r="B3001" s="96"/>
      <c r="C3001" s="86"/>
      <c r="D3001" s="209"/>
      <c r="E3001" s="215"/>
    </row>
    <row r="3002" hidden="1">
      <c r="A3002" s="136"/>
      <c r="B3002" s="96"/>
      <c r="C3002" s="86"/>
      <c r="D3002" s="211"/>
      <c r="E3002" s="171"/>
    </row>
    <row r="3003" hidden="1">
      <c r="A3003" s="136"/>
      <c r="B3003" s="96"/>
      <c r="C3003" s="86"/>
      <c r="D3003" s="209"/>
      <c r="E3003" s="215"/>
    </row>
    <row r="3004" hidden="1">
      <c r="A3004" s="136"/>
      <c r="B3004" s="96"/>
      <c r="C3004" s="86"/>
      <c r="D3004" s="211"/>
      <c r="E3004" s="171"/>
    </row>
    <row r="3005" hidden="1">
      <c r="A3005" s="136"/>
      <c r="B3005" s="96"/>
      <c r="C3005" s="86"/>
      <c r="D3005" s="209"/>
      <c r="E3005" s="215"/>
    </row>
    <row r="3006" hidden="1">
      <c r="A3006" s="136"/>
      <c r="B3006" s="96"/>
      <c r="C3006" s="86"/>
      <c r="D3006" s="211"/>
      <c r="E3006" s="171"/>
    </row>
    <row r="3007" hidden="1">
      <c r="A3007" s="136"/>
      <c r="B3007" s="96"/>
      <c r="C3007" s="86"/>
      <c r="D3007" s="209"/>
      <c r="E3007" s="215"/>
    </row>
    <row r="3008" hidden="1">
      <c r="A3008" s="136"/>
      <c r="B3008" s="96"/>
      <c r="C3008" s="86"/>
      <c r="D3008" s="211"/>
      <c r="E3008" s="171"/>
    </row>
    <row r="3009" hidden="1">
      <c r="A3009" s="136"/>
      <c r="B3009" s="96"/>
      <c r="C3009" s="86"/>
      <c r="D3009" s="209"/>
      <c r="E3009" s="215"/>
    </row>
    <row r="3010" hidden="1">
      <c r="A3010" s="136"/>
      <c r="B3010" s="96"/>
      <c r="C3010" s="86"/>
      <c r="D3010" s="211"/>
      <c r="E3010" s="171"/>
    </row>
    <row r="3011" hidden="1">
      <c r="A3011" s="136"/>
      <c r="B3011" s="96"/>
      <c r="C3011" s="86"/>
      <c r="D3011" s="209"/>
      <c r="E3011" s="215"/>
    </row>
    <row r="3012" hidden="1">
      <c r="A3012" s="136"/>
      <c r="B3012" s="96"/>
      <c r="C3012" s="86"/>
      <c r="D3012" s="211"/>
      <c r="E3012" s="171"/>
    </row>
    <row r="3013" hidden="1">
      <c r="A3013" s="136"/>
      <c r="B3013" s="96"/>
      <c r="C3013" s="86"/>
      <c r="D3013" s="209"/>
      <c r="E3013" s="215"/>
    </row>
    <row r="3014" hidden="1">
      <c r="A3014" s="136"/>
      <c r="B3014" s="96"/>
      <c r="C3014" s="86"/>
      <c r="D3014" s="211"/>
      <c r="E3014" s="171"/>
    </row>
    <row r="3015" hidden="1">
      <c r="A3015" s="136"/>
      <c r="B3015" s="96"/>
      <c r="C3015" s="86"/>
      <c r="D3015" s="209"/>
      <c r="E3015" s="215"/>
    </row>
    <row r="3016" hidden="1">
      <c r="A3016" s="136"/>
      <c r="B3016" s="96"/>
      <c r="C3016" s="86"/>
      <c r="D3016" s="211"/>
      <c r="E3016" s="171"/>
    </row>
    <row r="3017" hidden="1">
      <c r="A3017" s="136"/>
      <c r="B3017" s="96"/>
      <c r="C3017" s="86"/>
      <c r="D3017" s="209"/>
      <c r="E3017" s="215"/>
    </row>
    <row r="3018" hidden="1">
      <c r="A3018" s="136"/>
      <c r="B3018" s="96"/>
      <c r="C3018" s="86"/>
      <c r="D3018" s="211"/>
      <c r="E3018" s="171"/>
    </row>
    <row r="3019" hidden="1">
      <c r="A3019" s="136"/>
      <c r="B3019" s="96"/>
      <c r="C3019" s="86"/>
      <c r="D3019" s="209"/>
      <c r="E3019" s="215"/>
    </row>
    <row r="3020" hidden="1">
      <c r="A3020" s="136"/>
      <c r="B3020" s="96"/>
      <c r="C3020" s="86"/>
      <c r="D3020" s="211"/>
      <c r="E3020" s="171"/>
    </row>
    <row r="3021" hidden="1">
      <c r="A3021" s="136"/>
      <c r="B3021" s="96"/>
      <c r="C3021" s="86"/>
      <c r="D3021" s="209"/>
      <c r="E3021" s="215"/>
    </row>
    <row r="3022" hidden="1">
      <c r="A3022" s="136"/>
      <c r="B3022" s="96"/>
      <c r="C3022" s="86"/>
      <c r="D3022" s="211"/>
      <c r="E3022" s="171"/>
    </row>
    <row r="3023" hidden="1">
      <c r="A3023" s="136"/>
      <c r="B3023" s="96"/>
      <c r="C3023" s="86"/>
      <c r="D3023" s="209"/>
      <c r="E3023" s="215"/>
    </row>
    <row r="3024" hidden="1">
      <c r="A3024" s="136"/>
      <c r="B3024" s="96"/>
      <c r="C3024" s="86"/>
      <c r="D3024" s="211"/>
      <c r="E3024" s="171"/>
    </row>
    <row r="3025" hidden="1">
      <c r="A3025" s="136"/>
      <c r="B3025" s="96"/>
      <c r="C3025" s="86"/>
      <c r="D3025" s="209"/>
      <c r="E3025" s="215"/>
    </row>
    <row r="3026" hidden="1">
      <c r="A3026" s="136"/>
      <c r="B3026" s="96"/>
      <c r="C3026" s="86"/>
      <c r="D3026" s="211"/>
      <c r="E3026" s="171"/>
    </row>
    <row r="3027" hidden="1">
      <c r="A3027" s="136"/>
      <c r="B3027" s="96"/>
      <c r="C3027" s="86"/>
      <c r="D3027" s="209"/>
      <c r="E3027" s="215"/>
    </row>
    <row r="3028" hidden="1">
      <c r="A3028" s="136"/>
      <c r="B3028" s="96"/>
      <c r="C3028" s="86"/>
      <c r="D3028" s="211"/>
      <c r="E3028" s="171"/>
    </row>
    <row r="3029" hidden="1">
      <c r="A3029" s="136"/>
      <c r="B3029" s="96"/>
      <c r="C3029" s="86"/>
      <c r="D3029" s="209"/>
      <c r="E3029" s="215"/>
    </row>
    <row r="3030" hidden="1">
      <c r="A3030" s="136"/>
      <c r="B3030" s="96"/>
      <c r="C3030" s="86"/>
      <c r="D3030" s="211"/>
      <c r="E3030" s="171"/>
    </row>
    <row r="3031" hidden="1">
      <c r="A3031" s="136"/>
      <c r="B3031" s="96"/>
      <c r="C3031" s="86"/>
      <c r="D3031" s="209"/>
      <c r="E3031" s="215"/>
    </row>
    <row r="3032" hidden="1">
      <c r="A3032" s="136"/>
      <c r="B3032" s="96"/>
      <c r="C3032" s="86"/>
      <c r="D3032" s="211"/>
      <c r="E3032" s="171"/>
    </row>
    <row r="3033" hidden="1">
      <c r="A3033" s="136"/>
      <c r="B3033" s="96"/>
      <c r="C3033" s="86"/>
      <c r="D3033" s="209"/>
      <c r="E3033" s="215"/>
    </row>
    <row r="3034" hidden="1">
      <c r="A3034" s="136"/>
      <c r="B3034" s="96"/>
      <c r="C3034" s="86"/>
      <c r="D3034" s="211"/>
      <c r="E3034" s="171"/>
    </row>
    <row r="3035" hidden="1">
      <c r="A3035" s="136"/>
      <c r="B3035" s="96"/>
      <c r="C3035" s="86"/>
      <c r="D3035" s="209"/>
      <c r="E3035" s="215"/>
    </row>
    <row r="3036" hidden="1">
      <c r="A3036" s="136"/>
      <c r="B3036" s="96"/>
      <c r="C3036" s="86"/>
      <c r="D3036" s="211"/>
      <c r="E3036" s="171"/>
    </row>
    <row r="3037" hidden="1">
      <c r="A3037" s="136"/>
      <c r="B3037" s="96"/>
      <c r="C3037" s="86"/>
      <c r="D3037" s="209"/>
      <c r="E3037" s="215"/>
    </row>
    <row r="3038" hidden="1">
      <c r="A3038" s="136"/>
      <c r="B3038" s="96"/>
      <c r="C3038" s="86"/>
      <c r="D3038" s="211"/>
      <c r="E3038" s="171"/>
    </row>
    <row r="3039" hidden="1">
      <c r="A3039" s="136"/>
      <c r="B3039" s="96"/>
      <c r="C3039" s="86"/>
      <c r="D3039" s="209"/>
      <c r="E3039" s="215"/>
    </row>
    <row r="3040" hidden="1">
      <c r="A3040" s="136"/>
      <c r="B3040" s="96"/>
      <c r="C3040" s="86"/>
      <c r="D3040" s="211"/>
      <c r="E3040" s="171"/>
    </row>
    <row r="3041" hidden="1">
      <c r="A3041" s="136"/>
      <c r="B3041" s="96"/>
      <c r="C3041" s="86"/>
      <c r="D3041" s="209"/>
      <c r="E3041" s="215"/>
    </row>
    <row r="3042" hidden="1">
      <c r="A3042" s="136"/>
      <c r="B3042" s="96"/>
      <c r="C3042" s="86"/>
      <c r="D3042" s="211"/>
      <c r="E3042" s="171"/>
    </row>
    <row r="3043" hidden="1">
      <c r="A3043" s="136"/>
      <c r="B3043" s="96"/>
      <c r="C3043" s="86"/>
      <c r="D3043" s="209"/>
      <c r="E3043" s="215"/>
    </row>
    <row r="3044" hidden="1">
      <c r="A3044" s="136"/>
      <c r="B3044" s="96"/>
      <c r="C3044" s="86"/>
      <c r="D3044" s="211"/>
      <c r="E3044" s="171"/>
    </row>
    <row r="3045" hidden="1">
      <c r="A3045" s="136"/>
      <c r="B3045" s="96"/>
      <c r="C3045" s="86"/>
      <c r="D3045" s="209"/>
      <c r="E3045" s="215"/>
    </row>
    <row r="3046" hidden="1">
      <c r="A3046" s="136"/>
      <c r="B3046" s="96"/>
      <c r="C3046" s="86"/>
      <c r="D3046" s="211"/>
      <c r="E3046" s="171"/>
    </row>
    <row r="3047" hidden="1">
      <c r="A3047" s="136"/>
      <c r="B3047" s="96"/>
      <c r="C3047" s="86"/>
      <c r="D3047" s="209"/>
      <c r="E3047" s="215"/>
    </row>
    <row r="3048" hidden="1">
      <c r="A3048" s="136"/>
      <c r="B3048" s="96"/>
      <c r="C3048" s="86"/>
      <c r="D3048" s="211"/>
      <c r="E3048" s="171"/>
    </row>
    <row r="3049" hidden="1">
      <c r="A3049" s="136"/>
      <c r="B3049" s="96"/>
      <c r="C3049" s="86"/>
      <c r="D3049" s="209"/>
      <c r="E3049" s="215"/>
    </row>
    <row r="3050" hidden="1">
      <c r="A3050" s="136"/>
      <c r="B3050" s="96"/>
      <c r="C3050" s="86"/>
      <c r="D3050" s="211"/>
      <c r="E3050" s="171"/>
    </row>
    <row r="3051" hidden="1">
      <c r="A3051" s="136"/>
      <c r="B3051" s="96"/>
      <c r="C3051" s="86"/>
      <c r="D3051" s="209"/>
      <c r="E3051" s="215"/>
    </row>
    <row r="3052" hidden="1">
      <c r="A3052" s="136"/>
      <c r="B3052" s="96"/>
      <c r="C3052" s="86"/>
      <c r="D3052" s="211"/>
      <c r="E3052" s="171"/>
    </row>
    <row r="3053" hidden="1">
      <c r="A3053" s="136"/>
      <c r="B3053" s="96"/>
      <c r="C3053" s="86"/>
      <c r="D3053" s="209"/>
      <c r="E3053" s="215"/>
    </row>
    <row r="3054" hidden="1">
      <c r="A3054" s="136"/>
      <c r="B3054" s="96"/>
      <c r="C3054" s="86"/>
      <c r="D3054" s="211"/>
      <c r="E3054" s="171"/>
    </row>
    <row r="3055" hidden="1">
      <c r="A3055" s="136"/>
      <c r="B3055" s="96"/>
      <c r="C3055" s="86"/>
      <c r="D3055" s="209"/>
      <c r="E3055" s="215"/>
    </row>
    <row r="3056" hidden="1">
      <c r="A3056" s="136"/>
      <c r="B3056" s="96"/>
      <c r="C3056" s="86"/>
      <c r="D3056" s="211"/>
      <c r="E3056" s="171"/>
    </row>
    <row r="3057" hidden="1">
      <c r="A3057" s="136"/>
      <c r="B3057" s="96"/>
      <c r="C3057" s="86"/>
      <c r="D3057" s="209"/>
      <c r="E3057" s="215"/>
    </row>
    <row r="3058" hidden="1">
      <c r="A3058" s="136"/>
      <c r="B3058" s="96"/>
      <c r="C3058" s="86"/>
      <c r="D3058" s="211"/>
      <c r="E3058" s="171"/>
    </row>
    <row r="3059" hidden="1">
      <c r="A3059" s="136"/>
      <c r="B3059" s="96"/>
      <c r="C3059" s="86"/>
      <c r="D3059" s="209"/>
      <c r="E3059" s="215"/>
    </row>
    <row r="3060" hidden="1">
      <c r="A3060" s="136"/>
      <c r="B3060" s="96"/>
      <c r="C3060" s="86"/>
      <c r="D3060" s="211"/>
      <c r="E3060" s="171"/>
    </row>
    <row r="3061" hidden="1">
      <c r="A3061" s="136"/>
      <c r="B3061" s="96"/>
      <c r="C3061" s="86"/>
      <c r="D3061" s="209"/>
      <c r="E3061" s="215"/>
    </row>
    <row r="3062" hidden="1">
      <c r="A3062" s="136"/>
      <c r="B3062" s="96"/>
      <c r="C3062" s="86"/>
      <c r="D3062" s="211"/>
      <c r="E3062" s="171"/>
    </row>
    <row r="3063" hidden="1">
      <c r="A3063" s="136"/>
      <c r="B3063" s="96"/>
      <c r="C3063" s="86"/>
      <c r="D3063" s="209"/>
      <c r="E3063" s="215"/>
    </row>
    <row r="3064" hidden="1">
      <c r="A3064" s="136"/>
      <c r="B3064" s="96"/>
      <c r="C3064" s="86"/>
      <c r="D3064" s="211"/>
      <c r="E3064" s="171"/>
    </row>
    <row r="3065" hidden="1">
      <c r="A3065" s="136"/>
      <c r="B3065" s="96"/>
      <c r="C3065" s="86"/>
      <c r="D3065" s="209"/>
      <c r="E3065" s="215"/>
    </row>
    <row r="3066" hidden="1">
      <c r="A3066" s="136"/>
      <c r="B3066" s="96"/>
      <c r="C3066" s="86"/>
      <c r="D3066" s="211"/>
      <c r="E3066" s="171"/>
    </row>
    <row r="3067" hidden="1">
      <c r="A3067" s="136"/>
      <c r="B3067" s="96"/>
      <c r="C3067" s="86"/>
      <c r="D3067" s="209"/>
      <c r="E3067" s="215"/>
    </row>
    <row r="3068" hidden="1">
      <c r="A3068" s="136"/>
      <c r="B3068" s="96"/>
      <c r="C3068" s="86"/>
      <c r="D3068" s="211"/>
      <c r="E3068" s="171"/>
    </row>
    <row r="3069" hidden="1">
      <c r="A3069" s="136"/>
      <c r="B3069" s="96"/>
      <c r="C3069" s="86"/>
      <c r="D3069" s="209"/>
      <c r="E3069" s="215"/>
    </row>
    <row r="3070" hidden="1">
      <c r="A3070" s="136"/>
      <c r="B3070" s="96"/>
      <c r="C3070" s="86"/>
      <c r="D3070" s="211"/>
      <c r="E3070" s="171"/>
    </row>
    <row r="3071" hidden="1">
      <c r="A3071" s="136"/>
      <c r="B3071" s="96"/>
      <c r="C3071" s="86"/>
      <c r="D3071" s="209"/>
      <c r="E3071" s="215"/>
    </row>
    <row r="3072" hidden="1">
      <c r="A3072" s="136"/>
      <c r="B3072" s="96"/>
      <c r="C3072" s="86"/>
      <c r="D3072" s="211"/>
      <c r="E3072" s="171"/>
    </row>
    <row r="3073" hidden="1">
      <c r="A3073" s="136"/>
      <c r="B3073" s="96"/>
      <c r="C3073" s="86"/>
      <c r="D3073" s="209"/>
      <c r="E3073" s="215"/>
    </row>
    <row r="3074" hidden="1">
      <c r="A3074" s="136"/>
      <c r="B3074" s="96"/>
      <c r="C3074" s="86"/>
      <c r="D3074" s="211"/>
      <c r="E3074" s="171"/>
    </row>
    <row r="3075" hidden="1">
      <c r="A3075" s="136"/>
      <c r="B3075" s="96"/>
      <c r="C3075" s="86"/>
      <c r="D3075" s="209"/>
      <c r="E3075" s="215"/>
    </row>
    <row r="3076" hidden="1">
      <c r="A3076" s="136"/>
      <c r="B3076" s="96"/>
      <c r="C3076" s="86"/>
      <c r="D3076" s="211"/>
      <c r="E3076" s="171"/>
    </row>
    <row r="3077" hidden="1">
      <c r="A3077" s="136"/>
      <c r="B3077" s="96"/>
      <c r="C3077" s="86"/>
      <c r="D3077" s="209"/>
      <c r="E3077" s="215"/>
    </row>
    <row r="3078" hidden="1">
      <c r="A3078" s="136"/>
      <c r="B3078" s="96"/>
      <c r="C3078" s="86"/>
      <c r="D3078" s="211"/>
      <c r="E3078" s="171"/>
    </row>
    <row r="3079" hidden="1">
      <c r="A3079" s="136"/>
      <c r="B3079" s="96"/>
      <c r="C3079" s="86"/>
      <c r="D3079" s="209"/>
      <c r="E3079" s="215"/>
    </row>
    <row r="3080" hidden="1">
      <c r="A3080" s="136"/>
      <c r="B3080" s="96"/>
      <c r="C3080" s="86"/>
      <c r="D3080" s="211"/>
      <c r="E3080" s="171"/>
    </row>
    <row r="3081" hidden="1">
      <c r="A3081" s="136"/>
      <c r="B3081" s="96"/>
      <c r="C3081" s="86"/>
      <c r="D3081" s="209"/>
      <c r="E3081" s="215"/>
    </row>
    <row r="3082" hidden="1">
      <c r="A3082" s="136"/>
      <c r="B3082" s="96"/>
      <c r="C3082" s="86"/>
      <c r="D3082" s="211"/>
      <c r="E3082" s="171"/>
    </row>
    <row r="3083" hidden="1">
      <c r="A3083" s="136"/>
      <c r="B3083" s="96"/>
      <c r="C3083" s="86"/>
      <c r="D3083" s="209"/>
      <c r="E3083" s="215"/>
    </row>
    <row r="3084" hidden="1">
      <c r="A3084" s="136"/>
      <c r="B3084" s="96"/>
      <c r="C3084" s="86"/>
      <c r="D3084" s="211"/>
      <c r="E3084" s="171"/>
    </row>
    <row r="3085" hidden="1">
      <c r="A3085" s="136"/>
      <c r="B3085" s="96"/>
      <c r="C3085" s="86"/>
      <c r="D3085" s="209"/>
      <c r="E3085" s="215"/>
    </row>
    <row r="3086" hidden="1">
      <c r="A3086" s="136"/>
      <c r="B3086" s="96"/>
      <c r="C3086" s="86"/>
      <c r="D3086" s="211"/>
      <c r="E3086" s="171"/>
    </row>
    <row r="3087" hidden="1">
      <c r="A3087" s="136"/>
      <c r="B3087" s="96"/>
      <c r="C3087" s="86"/>
      <c r="D3087" s="209"/>
      <c r="E3087" s="215"/>
    </row>
    <row r="3088" hidden="1">
      <c r="A3088" s="136"/>
      <c r="B3088" s="96"/>
      <c r="C3088" s="86"/>
      <c r="D3088" s="211"/>
      <c r="E3088" s="171"/>
    </row>
    <row r="3089">
      <c r="A3089" s="136"/>
      <c r="B3089" s="96"/>
      <c r="C3089" s="86"/>
      <c r="D3089" s="209"/>
      <c r="E3089" s="215"/>
    </row>
    <row r="3090">
      <c r="A3090" s="136"/>
      <c r="B3090" s="96"/>
      <c r="C3090" s="86"/>
      <c r="D3090" s="211"/>
      <c r="E3090" s="171"/>
    </row>
    <row r="3091">
      <c r="A3091" s="136"/>
      <c r="B3091" s="96"/>
      <c r="C3091" s="86"/>
      <c r="D3091" s="209"/>
      <c r="E3091" s="215"/>
    </row>
    <row r="3092">
      <c r="A3092" s="136"/>
      <c r="B3092" s="96"/>
      <c r="C3092" s="86"/>
      <c r="D3092" s="211"/>
      <c r="E3092" s="171"/>
    </row>
    <row r="3093">
      <c r="A3093" s="136"/>
      <c r="B3093" s="96"/>
      <c r="C3093" s="86"/>
      <c r="D3093" s="209"/>
      <c r="E3093" s="215"/>
    </row>
    <row r="3094">
      <c r="A3094" s="136"/>
      <c r="B3094" s="96"/>
      <c r="C3094" s="86"/>
      <c r="D3094" s="211"/>
      <c r="E3094" s="171"/>
    </row>
    <row r="3095">
      <c r="A3095" s="136"/>
      <c r="B3095" s="96"/>
      <c r="C3095" s="86"/>
      <c r="D3095" s="209"/>
      <c r="E3095" s="215"/>
    </row>
    <row r="3096">
      <c r="A3096" s="136"/>
      <c r="B3096" s="96"/>
      <c r="C3096" s="86"/>
      <c r="D3096" s="211"/>
      <c r="E3096" s="171"/>
    </row>
    <row r="3097">
      <c r="A3097" s="136"/>
      <c r="B3097" s="96"/>
      <c r="C3097" s="86"/>
      <c r="D3097" s="209"/>
      <c r="E3097" s="215"/>
    </row>
    <row r="3098">
      <c r="A3098" s="136"/>
      <c r="B3098" s="96"/>
      <c r="C3098" s="86"/>
      <c r="D3098" s="211"/>
      <c r="E3098" s="171"/>
    </row>
  </sheetData>
  <autoFilter ref="$A$1:$E$256"/>
  <mergeCells count="2">
    <mergeCell ref="E407:E408"/>
    <mergeCell ref="E409:E4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63"/>
    <col customWidth="1" min="2" max="2" width="25.75"/>
    <col customWidth="1" min="3" max="3" width="35.5"/>
    <col customWidth="1" min="4" max="5" width="33.75"/>
  </cols>
  <sheetData>
    <row r="1">
      <c r="A1" s="80" t="s">
        <v>4614</v>
      </c>
      <c r="E1" s="80"/>
    </row>
    <row r="2">
      <c r="A2" s="83" t="s">
        <v>4615</v>
      </c>
      <c r="B2" s="83" t="s">
        <v>4616</v>
      </c>
      <c r="C2" s="83" t="s">
        <v>11</v>
      </c>
      <c r="D2" s="83" t="s">
        <v>4617</v>
      </c>
      <c r="E2" s="83" t="s">
        <v>1416</v>
      </c>
    </row>
    <row r="3">
      <c r="A3" s="195" t="s">
        <v>1366</v>
      </c>
      <c r="B3" s="90"/>
      <c r="C3" s="86" t="s">
        <v>4618</v>
      </c>
      <c r="D3" s="87"/>
      <c r="E3" s="82" t="s">
        <v>4619</v>
      </c>
    </row>
    <row r="4">
      <c r="A4" s="84" t="s">
        <v>727</v>
      </c>
      <c r="B4" s="90"/>
      <c r="C4" s="86" t="s">
        <v>4620</v>
      </c>
      <c r="D4" s="87" t="s">
        <v>4621</v>
      </c>
      <c r="E4" s="123" t="s">
        <v>4622</v>
      </c>
    </row>
    <row r="5">
      <c r="A5" s="84" t="s">
        <v>732</v>
      </c>
      <c r="B5" s="90"/>
      <c r="C5" s="86" t="s">
        <v>4623</v>
      </c>
      <c r="D5" s="87" t="s">
        <v>4624</v>
      </c>
      <c r="E5" s="123" t="s">
        <v>4622</v>
      </c>
    </row>
    <row r="6">
      <c r="A6" s="84" t="s">
        <v>736</v>
      </c>
      <c r="B6" s="90"/>
      <c r="C6" s="86" t="s">
        <v>4625</v>
      </c>
      <c r="D6" s="87" t="s">
        <v>4626</v>
      </c>
      <c r="E6" s="123" t="s">
        <v>4622</v>
      </c>
    </row>
    <row r="7">
      <c r="A7" s="84" t="s">
        <v>740</v>
      </c>
      <c r="B7" s="90"/>
      <c r="C7" s="86" t="s">
        <v>4627</v>
      </c>
      <c r="D7" s="87" t="s">
        <v>4624</v>
      </c>
      <c r="E7" s="123" t="s">
        <v>4622</v>
      </c>
    </row>
    <row r="8">
      <c r="A8" s="84" t="s">
        <v>1399</v>
      </c>
      <c r="B8" s="90"/>
      <c r="C8" s="86" t="s">
        <v>4628</v>
      </c>
      <c r="D8" s="87" t="s">
        <v>4629</v>
      </c>
      <c r="E8" s="216" t="s">
        <v>4630</v>
      </c>
    </row>
    <row r="9">
      <c r="A9" s="84" t="s">
        <v>1404</v>
      </c>
      <c r="B9" s="90" t="s">
        <v>4631</v>
      </c>
      <c r="C9" s="86" t="s">
        <v>4632</v>
      </c>
      <c r="D9" s="87" t="s">
        <v>4633</v>
      </c>
      <c r="E9" s="82" t="s">
        <v>4634</v>
      </c>
    </row>
    <row r="10">
      <c r="A10" s="84" t="s">
        <v>1408</v>
      </c>
      <c r="B10" s="90"/>
      <c r="C10" s="86" t="s">
        <v>4635</v>
      </c>
      <c r="D10" s="87" t="s">
        <v>4636</v>
      </c>
      <c r="E10" s="82" t="s">
        <v>4637</v>
      </c>
    </row>
    <row r="11">
      <c r="A11" s="84" t="s">
        <v>3601</v>
      </c>
      <c r="B11" s="90"/>
      <c r="C11" s="86" t="s">
        <v>4638</v>
      </c>
      <c r="D11" s="87"/>
      <c r="E11" s="217" t="s">
        <v>4639</v>
      </c>
    </row>
    <row r="12">
      <c r="A12" s="84" t="s">
        <v>1418</v>
      </c>
      <c r="B12" s="90"/>
      <c r="C12" s="86" t="s">
        <v>4640</v>
      </c>
      <c r="D12" s="87"/>
      <c r="E12" s="82" t="s">
        <v>4619</v>
      </c>
    </row>
    <row r="13">
      <c r="A13" s="84" t="s">
        <v>745</v>
      </c>
      <c r="B13" s="90"/>
      <c r="C13" s="86" t="s">
        <v>4620</v>
      </c>
      <c r="D13" s="87" t="s">
        <v>4641</v>
      </c>
      <c r="E13" s="123" t="s">
        <v>4622</v>
      </c>
    </row>
    <row r="14">
      <c r="A14" s="84" t="s">
        <v>752</v>
      </c>
      <c r="B14" s="90"/>
      <c r="C14" s="86" t="s">
        <v>4623</v>
      </c>
      <c r="D14" s="87" t="s">
        <v>4642</v>
      </c>
      <c r="E14" s="123" t="s">
        <v>4622</v>
      </c>
    </row>
    <row r="15">
      <c r="A15" s="84" t="s">
        <v>756</v>
      </c>
      <c r="B15" s="90"/>
      <c r="C15" s="86" t="s">
        <v>4625</v>
      </c>
      <c r="D15" s="87" t="s">
        <v>4642</v>
      </c>
      <c r="E15" s="123" t="s">
        <v>4622</v>
      </c>
    </row>
    <row r="16">
      <c r="A16" s="84" t="s">
        <v>760</v>
      </c>
      <c r="B16" s="90"/>
      <c r="C16" s="86" t="s">
        <v>4627</v>
      </c>
      <c r="D16" s="87" t="s">
        <v>4643</v>
      </c>
      <c r="E16" s="123" t="s">
        <v>4622</v>
      </c>
    </row>
    <row r="17">
      <c r="A17" s="84" t="s">
        <v>1448</v>
      </c>
      <c r="B17" s="90"/>
      <c r="C17" s="86" t="s">
        <v>4644</v>
      </c>
      <c r="D17" s="87" t="s">
        <v>4645</v>
      </c>
      <c r="E17" s="216" t="s">
        <v>4630</v>
      </c>
    </row>
    <row r="18">
      <c r="A18" s="84" t="s">
        <v>1453</v>
      </c>
      <c r="B18" s="90" t="s">
        <v>4646</v>
      </c>
      <c r="C18" s="86" t="s">
        <v>4647</v>
      </c>
      <c r="D18" s="87" t="s">
        <v>4648</v>
      </c>
      <c r="E18" s="82" t="s">
        <v>4649</v>
      </c>
    </row>
    <row r="19">
      <c r="A19" s="84" t="s">
        <v>1457</v>
      </c>
      <c r="B19" s="90"/>
      <c r="C19" s="86" t="s">
        <v>4650</v>
      </c>
      <c r="D19" s="87" t="s">
        <v>4636</v>
      </c>
      <c r="E19" s="82" t="s">
        <v>4637</v>
      </c>
    </row>
    <row r="20">
      <c r="A20" s="84" t="s">
        <v>3630</v>
      </c>
      <c r="B20" s="90"/>
      <c r="C20" s="86" t="s">
        <v>4638</v>
      </c>
      <c r="D20" s="87"/>
      <c r="E20" s="217" t="s">
        <v>4639</v>
      </c>
    </row>
    <row r="21">
      <c r="A21" s="84" t="s">
        <v>1467</v>
      </c>
      <c r="B21" s="90"/>
      <c r="C21" s="86" t="s">
        <v>4651</v>
      </c>
      <c r="D21" s="87"/>
      <c r="E21" s="82" t="s">
        <v>4619</v>
      </c>
    </row>
    <row r="22">
      <c r="A22" s="84" t="s">
        <v>765</v>
      </c>
      <c r="B22" s="90"/>
      <c r="C22" s="86" t="s">
        <v>4620</v>
      </c>
      <c r="D22" s="87" t="s">
        <v>4652</v>
      </c>
      <c r="E22" s="123" t="s">
        <v>4622</v>
      </c>
    </row>
    <row r="23">
      <c r="A23" s="84" t="s">
        <v>772</v>
      </c>
      <c r="B23" s="90"/>
      <c r="C23" s="86" t="s">
        <v>4623</v>
      </c>
      <c r="D23" s="87" t="s">
        <v>4626</v>
      </c>
      <c r="E23" s="123" t="s">
        <v>4622</v>
      </c>
    </row>
    <row r="24">
      <c r="A24" s="84" t="s">
        <v>775</v>
      </c>
      <c r="B24" s="90"/>
      <c r="C24" s="86" t="s">
        <v>4625</v>
      </c>
      <c r="D24" s="87" t="s">
        <v>4626</v>
      </c>
      <c r="E24" s="123" t="s">
        <v>4622</v>
      </c>
    </row>
    <row r="25">
      <c r="A25" s="84" t="s">
        <v>779</v>
      </c>
      <c r="B25" s="90"/>
      <c r="C25" s="86" t="s">
        <v>4627</v>
      </c>
      <c r="D25" s="87" t="s">
        <v>4626</v>
      </c>
      <c r="E25" s="123" t="s">
        <v>4622</v>
      </c>
    </row>
    <row r="26">
      <c r="A26" s="84" t="s">
        <v>1495</v>
      </c>
      <c r="B26" s="90"/>
      <c r="C26" s="86" t="s">
        <v>4653</v>
      </c>
      <c r="D26" s="87" t="s">
        <v>4654</v>
      </c>
      <c r="E26" s="216" t="s">
        <v>4630</v>
      </c>
    </row>
    <row r="27">
      <c r="A27" s="84" t="s">
        <v>1497</v>
      </c>
      <c r="B27" s="90" t="s">
        <v>4631</v>
      </c>
      <c r="C27" s="86" t="s">
        <v>4655</v>
      </c>
      <c r="D27" s="87" t="s">
        <v>4656</v>
      </c>
      <c r="E27" s="82" t="s">
        <v>4649</v>
      </c>
    </row>
    <row r="28">
      <c r="A28" s="84" t="s">
        <v>1498</v>
      </c>
      <c r="B28" s="90"/>
      <c r="C28" s="86" t="s">
        <v>4657</v>
      </c>
      <c r="D28" s="87" t="s">
        <v>4658</v>
      </c>
      <c r="E28" s="82" t="s">
        <v>4637</v>
      </c>
    </row>
    <row r="29">
      <c r="A29" s="84" t="s">
        <v>3657</v>
      </c>
      <c r="B29" s="90"/>
      <c r="C29" s="86" t="s">
        <v>4638</v>
      </c>
      <c r="D29" s="87"/>
      <c r="E29" s="217" t="s">
        <v>4639</v>
      </c>
    </row>
    <row r="30">
      <c r="A30" s="84" t="s">
        <v>1507</v>
      </c>
      <c r="B30" s="90"/>
      <c r="C30" s="86" t="s">
        <v>4659</v>
      </c>
      <c r="D30" s="87"/>
      <c r="E30" s="82" t="s">
        <v>4619</v>
      </c>
    </row>
    <row r="31">
      <c r="A31" s="84" t="s">
        <v>784</v>
      </c>
      <c r="B31" s="90"/>
      <c r="C31" s="86" t="s">
        <v>4620</v>
      </c>
      <c r="D31" s="87" t="s">
        <v>4660</v>
      </c>
      <c r="E31" s="123" t="s">
        <v>4622</v>
      </c>
    </row>
    <row r="32">
      <c r="A32" s="84" t="s">
        <v>792</v>
      </c>
      <c r="B32" s="90"/>
      <c r="C32" s="86" t="s">
        <v>4623</v>
      </c>
      <c r="D32" s="87" t="s">
        <v>4661</v>
      </c>
      <c r="E32" s="123" t="s">
        <v>4622</v>
      </c>
    </row>
    <row r="33">
      <c r="A33" s="84" t="s">
        <v>796</v>
      </c>
      <c r="B33" s="90"/>
      <c r="C33" s="86" t="s">
        <v>4625</v>
      </c>
      <c r="D33" s="87" t="s">
        <v>4661</v>
      </c>
      <c r="E33" s="123" t="s">
        <v>4622</v>
      </c>
    </row>
    <row r="34">
      <c r="A34" s="84" t="s">
        <v>800</v>
      </c>
      <c r="B34" s="90"/>
      <c r="C34" s="86" t="s">
        <v>4627</v>
      </c>
      <c r="D34" s="87" t="s">
        <v>4661</v>
      </c>
      <c r="E34" s="123" t="s">
        <v>4622</v>
      </c>
    </row>
    <row r="35">
      <c r="A35" s="84" t="s">
        <v>1530</v>
      </c>
      <c r="B35" s="90"/>
      <c r="C35" s="86" t="s">
        <v>4662</v>
      </c>
      <c r="D35" s="87" t="s">
        <v>4663</v>
      </c>
      <c r="E35" s="216" t="s">
        <v>4630</v>
      </c>
    </row>
    <row r="36">
      <c r="A36" s="84" t="s">
        <v>1536</v>
      </c>
      <c r="B36" s="90"/>
      <c r="C36" s="86" t="s">
        <v>4664</v>
      </c>
      <c r="D36" s="87" t="s">
        <v>3596</v>
      </c>
      <c r="E36" s="164" t="s">
        <v>3596</v>
      </c>
    </row>
    <row r="37">
      <c r="A37" s="84" t="s">
        <v>4665</v>
      </c>
      <c r="B37" s="90" t="s">
        <v>4666</v>
      </c>
      <c r="C37" s="86" t="s">
        <v>4667</v>
      </c>
      <c r="D37" s="87" t="s">
        <v>4668</v>
      </c>
      <c r="E37" s="82" t="s">
        <v>4669</v>
      </c>
    </row>
    <row r="38">
      <c r="A38" s="84" t="s">
        <v>1547</v>
      </c>
      <c r="B38" s="90"/>
      <c r="C38" s="86" t="s">
        <v>4670</v>
      </c>
      <c r="D38" s="87" t="s">
        <v>4658</v>
      </c>
      <c r="E38" s="82" t="s">
        <v>4637</v>
      </c>
    </row>
    <row r="39">
      <c r="A39" s="84" t="s">
        <v>4671</v>
      </c>
      <c r="B39" s="90"/>
      <c r="C39" s="86" t="s">
        <v>4672</v>
      </c>
      <c r="D39" s="87"/>
      <c r="E39" s="217" t="s">
        <v>4639</v>
      </c>
    </row>
    <row r="40">
      <c r="A40" s="84" t="s">
        <v>1556</v>
      </c>
      <c r="B40" s="90"/>
      <c r="C40" s="86" t="s">
        <v>4673</v>
      </c>
      <c r="D40" s="87"/>
      <c r="E40" s="82" t="s">
        <v>4619</v>
      </c>
    </row>
    <row r="41">
      <c r="A41" s="84" t="s">
        <v>804</v>
      </c>
      <c r="B41" s="90"/>
      <c r="C41" s="86" t="s">
        <v>4620</v>
      </c>
      <c r="D41" s="87" t="s">
        <v>4674</v>
      </c>
      <c r="E41" s="123" t="s">
        <v>4622</v>
      </c>
    </row>
    <row r="42">
      <c r="A42" s="84" t="s">
        <v>811</v>
      </c>
      <c r="B42" s="90"/>
      <c r="C42" s="86" t="s">
        <v>4623</v>
      </c>
      <c r="D42" s="87" t="s">
        <v>4626</v>
      </c>
      <c r="E42" s="123" t="s">
        <v>4622</v>
      </c>
    </row>
    <row r="43">
      <c r="A43" s="84" t="s">
        <v>815</v>
      </c>
      <c r="B43" s="90"/>
      <c r="C43" s="86" t="s">
        <v>4675</v>
      </c>
      <c r="D43" s="87" t="s">
        <v>4626</v>
      </c>
      <c r="E43" s="217" t="s">
        <v>4622</v>
      </c>
    </row>
    <row r="44">
      <c r="A44" s="84" t="s">
        <v>1581</v>
      </c>
      <c r="B44" s="90"/>
      <c r="C44" s="86" t="s">
        <v>4676</v>
      </c>
      <c r="D44" s="87" t="s">
        <v>4663</v>
      </c>
      <c r="E44" s="218" t="s">
        <v>4630</v>
      </c>
    </row>
    <row r="45">
      <c r="A45" s="84" t="s">
        <v>1586</v>
      </c>
      <c r="B45" s="90" t="s">
        <v>4677</v>
      </c>
      <c r="C45" s="86" t="s">
        <v>4678</v>
      </c>
      <c r="D45" s="87" t="s">
        <v>4679</v>
      </c>
      <c r="E45" s="82" t="s">
        <v>4680</v>
      </c>
    </row>
    <row r="46">
      <c r="A46" s="84" t="s">
        <v>1591</v>
      </c>
      <c r="B46" s="90"/>
      <c r="C46" s="86" t="s">
        <v>4681</v>
      </c>
      <c r="D46" s="87" t="s">
        <v>4636</v>
      </c>
      <c r="E46" s="217" t="s">
        <v>4637</v>
      </c>
    </row>
    <row r="47">
      <c r="A47" s="84" t="s">
        <v>3715</v>
      </c>
      <c r="B47" s="90"/>
      <c r="C47" s="86" t="s">
        <v>4682</v>
      </c>
      <c r="D47" s="87"/>
      <c r="E47" s="217" t="s">
        <v>4639</v>
      </c>
    </row>
    <row r="48">
      <c r="A48" s="84" t="s">
        <v>1600</v>
      </c>
      <c r="B48" s="90"/>
      <c r="C48" s="219" t="s">
        <v>4683</v>
      </c>
      <c r="D48" s="220"/>
      <c r="E48" s="82" t="s">
        <v>4619</v>
      </c>
    </row>
    <row r="49">
      <c r="A49" s="84" t="s">
        <v>819</v>
      </c>
      <c r="B49" s="90"/>
      <c r="C49" s="93" t="s">
        <v>4684</v>
      </c>
      <c r="D49" s="220" t="s">
        <v>4685</v>
      </c>
      <c r="E49" s="123" t="s">
        <v>4622</v>
      </c>
    </row>
    <row r="50">
      <c r="A50" s="84" t="s">
        <v>827</v>
      </c>
      <c r="B50" s="90"/>
      <c r="C50" s="93" t="s">
        <v>4686</v>
      </c>
      <c r="D50" s="220" t="s">
        <v>4687</v>
      </c>
      <c r="E50" s="123" t="s">
        <v>4622</v>
      </c>
    </row>
    <row r="51">
      <c r="A51" s="84" t="s">
        <v>831</v>
      </c>
      <c r="B51" s="90"/>
      <c r="C51" s="93" t="s">
        <v>4688</v>
      </c>
      <c r="D51" s="220" t="s">
        <v>4687</v>
      </c>
      <c r="E51" s="217" t="s">
        <v>4622</v>
      </c>
    </row>
    <row r="52">
      <c r="A52" s="84" t="s">
        <v>836</v>
      </c>
      <c r="B52" s="90"/>
      <c r="C52" s="93" t="s">
        <v>4689</v>
      </c>
      <c r="D52" s="221" t="s">
        <v>4687</v>
      </c>
      <c r="E52" s="217" t="s">
        <v>4622</v>
      </c>
    </row>
    <row r="53">
      <c r="A53" s="84" t="s">
        <v>1625</v>
      </c>
      <c r="B53" s="90"/>
      <c r="C53" s="93" t="s">
        <v>4690</v>
      </c>
      <c r="D53" s="207" t="s">
        <v>4691</v>
      </c>
      <c r="E53" s="218" t="s">
        <v>4630</v>
      </c>
    </row>
    <row r="54">
      <c r="A54" s="84" t="s">
        <v>1629</v>
      </c>
      <c r="B54" s="90" t="s">
        <v>4692</v>
      </c>
      <c r="C54" s="219" t="s">
        <v>4693</v>
      </c>
      <c r="D54" s="221" t="s">
        <v>4692</v>
      </c>
      <c r="E54" s="82" t="s">
        <v>4680</v>
      </c>
    </row>
    <row r="55">
      <c r="A55" s="84" t="s">
        <v>1634</v>
      </c>
      <c r="B55" s="90"/>
      <c r="C55" s="219" t="s">
        <v>4694</v>
      </c>
      <c r="D55" s="222" t="s">
        <v>4658</v>
      </c>
      <c r="E55" s="217" t="s">
        <v>4637</v>
      </c>
    </row>
    <row r="56">
      <c r="A56" s="84" t="s">
        <v>3745</v>
      </c>
      <c r="B56" s="223"/>
      <c r="C56" s="219" t="s">
        <v>4638</v>
      </c>
      <c r="D56" s="224"/>
      <c r="E56" s="217" t="s">
        <v>4639</v>
      </c>
    </row>
    <row r="57">
      <c r="A57" s="84" t="s">
        <v>1643</v>
      </c>
      <c r="B57" s="90"/>
      <c r="C57" s="86" t="s">
        <v>4695</v>
      </c>
      <c r="D57" s="99"/>
      <c r="E57" s="82" t="s">
        <v>4619</v>
      </c>
    </row>
    <row r="58">
      <c r="A58" s="84" t="s">
        <v>839</v>
      </c>
      <c r="B58" s="90"/>
      <c r="C58" s="86" t="s">
        <v>4620</v>
      </c>
      <c r="D58" s="87" t="s">
        <v>4696</v>
      </c>
      <c r="E58" s="123" t="s">
        <v>4622</v>
      </c>
    </row>
    <row r="59">
      <c r="A59" s="84" t="s">
        <v>845</v>
      </c>
      <c r="B59" s="90"/>
      <c r="C59" s="86" t="s">
        <v>4623</v>
      </c>
      <c r="D59" s="207" t="s">
        <v>4687</v>
      </c>
      <c r="E59" s="123" t="s">
        <v>4622</v>
      </c>
    </row>
    <row r="60">
      <c r="A60" s="84" t="s">
        <v>849</v>
      </c>
      <c r="B60" s="90"/>
      <c r="C60" s="86" t="s">
        <v>4625</v>
      </c>
      <c r="D60" s="87" t="s">
        <v>4687</v>
      </c>
      <c r="E60" s="123" t="s">
        <v>4622</v>
      </c>
    </row>
    <row r="61">
      <c r="A61" s="84" t="s">
        <v>853</v>
      </c>
      <c r="B61" s="90"/>
      <c r="C61" s="86" t="s">
        <v>4627</v>
      </c>
      <c r="D61" s="87" t="s">
        <v>4687</v>
      </c>
      <c r="E61" s="123" t="s">
        <v>4622</v>
      </c>
    </row>
    <row r="62">
      <c r="A62" s="84" t="s">
        <v>1664</v>
      </c>
      <c r="B62" s="90"/>
      <c r="C62" s="93" t="s">
        <v>4697</v>
      </c>
      <c r="D62" s="87" t="s">
        <v>4698</v>
      </c>
      <c r="E62" s="216" t="s">
        <v>4630</v>
      </c>
    </row>
    <row r="63">
      <c r="A63" s="84" t="s">
        <v>1669</v>
      </c>
      <c r="B63" s="90" t="s">
        <v>4631</v>
      </c>
      <c r="C63" s="86" t="s">
        <v>4699</v>
      </c>
      <c r="D63" s="87" t="s">
        <v>4700</v>
      </c>
      <c r="E63" s="82" t="s">
        <v>4649</v>
      </c>
    </row>
    <row r="64">
      <c r="A64" s="84" t="s">
        <v>1670</v>
      </c>
      <c r="B64" s="90"/>
      <c r="C64" s="93" t="s">
        <v>4701</v>
      </c>
      <c r="D64" s="87" t="s">
        <v>4658</v>
      </c>
      <c r="E64" s="82" t="s">
        <v>4637</v>
      </c>
    </row>
    <row r="65">
      <c r="A65" s="84" t="s">
        <v>3771</v>
      </c>
      <c r="B65" s="90"/>
      <c r="C65" s="86" t="s">
        <v>4638</v>
      </c>
      <c r="D65" s="87"/>
      <c r="E65" s="217" t="s">
        <v>4639</v>
      </c>
    </row>
    <row r="66">
      <c r="A66" s="84" t="s">
        <v>4702</v>
      </c>
      <c r="B66" s="90"/>
      <c r="C66" s="86" t="s">
        <v>4703</v>
      </c>
      <c r="D66" s="87"/>
      <c r="E66" s="217" t="s">
        <v>4704</v>
      </c>
    </row>
    <row r="67">
      <c r="A67" s="84" t="s">
        <v>858</v>
      </c>
      <c r="B67" s="90"/>
      <c r="C67" s="86" t="s">
        <v>4620</v>
      </c>
      <c r="D67" s="87" t="s">
        <v>4621</v>
      </c>
      <c r="E67" s="217" t="s">
        <v>4705</v>
      </c>
    </row>
    <row r="68">
      <c r="A68" s="84" t="s">
        <v>864</v>
      </c>
      <c r="B68" s="90"/>
      <c r="C68" s="86" t="s">
        <v>4623</v>
      </c>
      <c r="D68" s="87" t="s">
        <v>4624</v>
      </c>
      <c r="E68" s="217" t="s">
        <v>4705</v>
      </c>
    </row>
    <row r="69">
      <c r="A69" s="84" t="s">
        <v>866</v>
      </c>
      <c r="B69" s="90"/>
      <c r="C69" s="86" t="s">
        <v>4625</v>
      </c>
      <c r="D69" s="87" t="s">
        <v>4626</v>
      </c>
      <c r="E69" s="217" t="s">
        <v>4705</v>
      </c>
    </row>
    <row r="70">
      <c r="A70" s="84" t="s">
        <v>870</v>
      </c>
      <c r="B70" s="90"/>
      <c r="C70" s="86" t="s">
        <v>4627</v>
      </c>
      <c r="D70" s="87" t="s">
        <v>4624</v>
      </c>
      <c r="E70" s="217" t="s">
        <v>4705</v>
      </c>
    </row>
    <row r="71">
      <c r="A71" s="84" t="s">
        <v>1707</v>
      </c>
      <c r="B71" s="90"/>
      <c r="C71" s="86" t="s">
        <v>4706</v>
      </c>
      <c r="D71" s="87" t="s">
        <v>4629</v>
      </c>
      <c r="E71" s="218" t="s">
        <v>4707</v>
      </c>
    </row>
    <row r="72">
      <c r="A72" s="84" t="s">
        <v>1711</v>
      </c>
      <c r="B72" s="90" t="s">
        <v>4631</v>
      </c>
      <c r="C72" s="86" t="s">
        <v>4708</v>
      </c>
      <c r="D72" s="87" t="s">
        <v>4633</v>
      </c>
      <c r="E72" s="217" t="s">
        <v>4709</v>
      </c>
    </row>
    <row r="73">
      <c r="A73" s="84" t="s">
        <v>1715</v>
      </c>
      <c r="B73" s="90"/>
      <c r="C73" s="86" t="s">
        <v>4635</v>
      </c>
      <c r="D73" s="87" t="s">
        <v>4636</v>
      </c>
      <c r="E73" s="217" t="s">
        <v>4710</v>
      </c>
    </row>
    <row r="74">
      <c r="A74" s="84" t="s">
        <v>3791</v>
      </c>
      <c r="B74" s="90"/>
      <c r="C74" s="86" t="s">
        <v>4638</v>
      </c>
      <c r="D74" s="87"/>
      <c r="E74" s="217" t="s">
        <v>4711</v>
      </c>
    </row>
    <row r="75">
      <c r="A75" s="84" t="s">
        <v>4712</v>
      </c>
      <c r="B75" s="90"/>
      <c r="C75" s="86" t="s">
        <v>4713</v>
      </c>
      <c r="D75" s="87"/>
      <c r="E75" s="217" t="s">
        <v>4704</v>
      </c>
    </row>
    <row r="76">
      <c r="A76" s="84" t="s">
        <v>873</v>
      </c>
      <c r="B76" s="90"/>
      <c r="C76" s="86" t="s">
        <v>4620</v>
      </c>
      <c r="D76" s="87" t="s">
        <v>4641</v>
      </c>
      <c r="E76" s="217" t="s">
        <v>4705</v>
      </c>
    </row>
    <row r="77">
      <c r="A77" s="84" t="s">
        <v>877</v>
      </c>
      <c r="B77" s="90"/>
      <c r="C77" s="86" t="s">
        <v>4623</v>
      </c>
      <c r="D77" s="87" t="s">
        <v>4642</v>
      </c>
      <c r="E77" s="217" t="s">
        <v>4705</v>
      </c>
    </row>
    <row r="78">
      <c r="A78" s="84" t="s">
        <v>880</v>
      </c>
      <c r="B78" s="90"/>
      <c r="C78" s="86" t="s">
        <v>4625</v>
      </c>
      <c r="D78" s="87" t="s">
        <v>4642</v>
      </c>
      <c r="E78" s="217" t="s">
        <v>4705</v>
      </c>
    </row>
    <row r="79">
      <c r="A79" s="84" t="s">
        <v>881</v>
      </c>
      <c r="B79" s="90"/>
      <c r="C79" s="86" t="s">
        <v>4627</v>
      </c>
      <c r="D79" s="87" t="s">
        <v>4643</v>
      </c>
      <c r="E79" s="217" t="s">
        <v>4705</v>
      </c>
    </row>
    <row r="80">
      <c r="A80" s="84" t="s">
        <v>1751</v>
      </c>
      <c r="B80" s="90"/>
      <c r="C80" s="86" t="s">
        <v>4644</v>
      </c>
      <c r="D80" s="87" t="s">
        <v>4645</v>
      </c>
      <c r="E80" s="218" t="s">
        <v>4707</v>
      </c>
    </row>
    <row r="81">
      <c r="A81" s="84" t="s">
        <v>1756</v>
      </c>
      <c r="B81" s="90" t="s">
        <v>4714</v>
      </c>
      <c r="C81" s="86" t="s">
        <v>4647</v>
      </c>
      <c r="D81" s="87" t="s">
        <v>4648</v>
      </c>
      <c r="E81" s="82" t="s">
        <v>4715</v>
      </c>
    </row>
    <row r="82">
      <c r="A82" s="84" t="s">
        <v>1761</v>
      </c>
      <c r="B82" s="90"/>
      <c r="C82" s="86" t="s">
        <v>4716</v>
      </c>
      <c r="D82" s="87" t="s">
        <v>4636</v>
      </c>
      <c r="E82" s="217" t="s">
        <v>4710</v>
      </c>
    </row>
    <row r="83">
      <c r="A83" s="84" t="s">
        <v>3812</v>
      </c>
      <c r="B83" s="90"/>
      <c r="C83" s="86" t="s">
        <v>4638</v>
      </c>
      <c r="D83" s="87"/>
      <c r="E83" s="217" t="s">
        <v>4711</v>
      </c>
    </row>
    <row r="84">
      <c r="A84" s="84" t="s">
        <v>1770</v>
      </c>
      <c r="B84" s="90"/>
      <c r="C84" s="86" t="s">
        <v>4717</v>
      </c>
      <c r="D84" s="87"/>
      <c r="E84" s="217" t="s">
        <v>4704</v>
      </c>
    </row>
    <row r="85">
      <c r="A85" s="84" t="s">
        <v>885</v>
      </c>
      <c r="B85" s="90"/>
      <c r="C85" s="86" t="s">
        <v>4620</v>
      </c>
      <c r="D85" s="87" t="s">
        <v>4652</v>
      </c>
      <c r="E85" s="217" t="s">
        <v>4705</v>
      </c>
    </row>
    <row r="86">
      <c r="A86" s="84" t="s">
        <v>890</v>
      </c>
      <c r="B86" s="90"/>
      <c r="C86" s="86" t="s">
        <v>4623</v>
      </c>
      <c r="D86" s="87" t="s">
        <v>4626</v>
      </c>
      <c r="E86" s="217" t="s">
        <v>4705</v>
      </c>
    </row>
    <row r="87">
      <c r="A87" s="84" t="s">
        <v>893</v>
      </c>
      <c r="B87" s="90"/>
      <c r="C87" s="86" t="s">
        <v>4625</v>
      </c>
      <c r="D87" s="87" t="s">
        <v>4626</v>
      </c>
      <c r="E87" s="217" t="s">
        <v>4705</v>
      </c>
    </row>
    <row r="88">
      <c r="A88" s="84" t="s">
        <v>897</v>
      </c>
      <c r="B88" s="90"/>
      <c r="C88" s="86" t="s">
        <v>4627</v>
      </c>
      <c r="D88" s="87" t="s">
        <v>4626</v>
      </c>
      <c r="E88" s="217" t="s">
        <v>4705</v>
      </c>
    </row>
    <row r="89">
      <c r="A89" s="84" t="s">
        <v>1799</v>
      </c>
      <c r="B89" s="90"/>
      <c r="C89" s="86" t="s">
        <v>4718</v>
      </c>
      <c r="D89" s="87" t="s">
        <v>4654</v>
      </c>
      <c r="E89" s="218" t="s">
        <v>4707</v>
      </c>
    </row>
    <row r="90">
      <c r="A90" s="84" t="s">
        <v>1802</v>
      </c>
      <c r="B90" s="90" t="s">
        <v>4631</v>
      </c>
      <c r="C90" s="86" t="s">
        <v>4719</v>
      </c>
      <c r="D90" s="87" t="s">
        <v>4656</v>
      </c>
      <c r="E90" s="217" t="s">
        <v>4709</v>
      </c>
    </row>
    <row r="91">
      <c r="A91" s="84" t="s">
        <v>1806</v>
      </c>
      <c r="B91" s="90"/>
      <c r="C91" s="86" t="s">
        <v>4657</v>
      </c>
      <c r="D91" s="87" t="s">
        <v>4658</v>
      </c>
      <c r="E91" s="217" t="s">
        <v>4710</v>
      </c>
    </row>
    <row r="92">
      <c r="A92" s="84" t="s">
        <v>3833</v>
      </c>
      <c r="B92" s="90"/>
      <c r="C92" s="86" t="s">
        <v>4638</v>
      </c>
      <c r="D92" s="87"/>
      <c r="E92" s="217" t="s">
        <v>4711</v>
      </c>
    </row>
    <row r="93">
      <c r="A93" s="84" t="s">
        <v>4720</v>
      </c>
      <c r="B93" s="90"/>
      <c r="C93" s="86" t="s">
        <v>4721</v>
      </c>
      <c r="D93" s="87"/>
      <c r="E93" s="217" t="s">
        <v>4704</v>
      </c>
    </row>
    <row r="94">
      <c r="A94" s="84" t="s">
        <v>901</v>
      </c>
      <c r="B94" s="90"/>
      <c r="C94" s="86" t="s">
        <v>4620</v>
      </c>
      <c r="D94" s="87" t="s">
        <v>4660</v>
      </c>
      <c r="E94" s="217" t="s">
        <v>4705</v>
      </c>
    </row>
    <row r="95">
      <c r="A95" s="84" t="s">
        <v>907</v>
      </c>
      <c r="B95" s="90"/>
      <c r="C95" s="86" t="s">
        <v>4623</v>
      </c>
      <c r="D95" s="87" t="s">
        <v>4661</v>
      </c>
      <c r="E95" s="217" t="s">
        <v>4705</v>
      </c>
    </row>
    <row r="96">
      <c r="A96" s="84" t="s">
        <v>908</v>
      </c>
      <c r="B96" s="90"/>
      <c r="C96" s="86" t="s">
        <v>4625</v>
      </c>
      <c r="D96" s="87" t="s">
        <v>4661</v>
      </c>
      <c r="E96" s="217" t="s">
        <v>4705</v>
      </c>
    </row>
    <row r="97">
      <c r="A97" s="84" t="s">
        <v>909</v>
      </c>
      <c r="B97" s="90"/>
      <c r="C97" s="86" t="s">
        <v>4627</v>
      </c>
      <c r="D97" s="87" t="s">
        <v>4661</v>
      </c>
      <c r="E97" s="217" t="s">
        <v>4705</v>
      </c>
    </row>
    <row r="98">
      <c r="A98" s="84" t="s">
        <v>1832</v>
      </c>
      <c r="B98" s="90"/>
      <c r="C98" s="86" t="s">
        <v>4662</v>
      </c>
      <c r="D98" s="87" t="s">
        <v>4663</v>
      </c>
      <c r="E98" s="218" t="s">
        <v>4707</v>
      </c>
    </row>
    <row r="99">
      <c r="A99" s="84" t="s">
        <v>1836</v>
      </c>
      <c r="B99" s="90"/>
      <c r="C99" s="86" t="s">
        <v>4722</v>
      </c>
      <c r="D99" s="87"/>
      <c r="E99" s="82" t="s">
        <v>3596</v>
      </c>
    </row>
    <row r="100">
      <c r="A100" s="84" t="s">
        <v>1841</v>
      </c>
      <c r="B100" s="90" t="s">
        <v>4666</v>
      </c>
      <c r="C100" s="86" t="s">
        <v>4667</v>
      </c>
      <c r="D100" s="87" t="s">
        <v>4668</v>
      </c>
      <c r="E100" s="82" t="s">
        <v>4723</v>
      </c>
    </row>
    <row r="101">
      <c r="A101" s="84" t="s">
        <v>1846</v>
      </c>
      <c r="B101" s="90"/>
      <c r="C101" s="86" t="s">
        <v>4670</v>
      </c>
      <c r="D101" s="87" t="s">
        <v>4658</v>
      </c>
      <c r="E101" s="217" t="s">
        <v>4710</v>
      </c>
    </row>
    <row r="102">
      <c r="A102" s="84" t="s">
        <v>3853</v>
      </c>
      <c r="B102" s="90"/>
      <c r="C102" s="86" t="s">
        <v>4672</v>
      </c>
      <c r="D102" s="87"/>
      <c r="E102" s="217" t="s">
        <v>4711</v>
      </c>
    </row>
    <row r="103">
      <c r="A103" s="84" t="s">
        <v>4724</v>
      </c>
      <c r="B103" s="90"/>
      <c r="C103" s="86" t="s">
        <v>4725</v>
      </c>
      <c r="D103" s="87"/>
      <c r="E103" s="217" t="s">
        <v>4704</v>
      </c>
    </row>
    <row r="104">
      <c r="A104" s="84" t="s">
        <v>912</v>
      </c>
      <c r="B104" s="90"/>
      <c r="C104" s="86" t="s">
        <v>4620</v>
      </c>
      <c r="D104" s="87" t="s">
        <v>4674</v>
      </c>
      <c r="E104" s="217" t="s">
        <v>4705</v>
      </c>
    </row>
    <row r="105">
      <c r="A105" s="84" t="s">
        <v>918</v>
      </c>
      <c r="B105" s="90"/>
      <c r="C105" s="86" t="s">
        <v>4623</v>
      </c>
      <c r="D105" s="87" t="s">
        <v>4626</v>
      </c>
      <c r="E105" s="217" t="s">
        <v>4705</v>
      </c>
    </row>
    <row r="106">
      <c r="A106" s="84" t="s">
        <v>920</v>
      </c>
      <c r="B106" s="90"/>
      <c r="C106" s="86" t="s">
        <v>4625</v>
      </c>
      <c r="D106" s="87" t="s">
        <v>4626</v>
      </c>
      <c r="E106" s="217" t="s">
        <v>4705</v>
      </c>
    </row>
    <row r="107">
      <c r="A107" s="84" t="s">
        <v>922</v>
      </c>
      <c r="B107" s="90"/>
      <c r="C107" s="86" t="s">
        <v>4726</v>
      </c>
      <c r="D107" s="87" t="s">
        <v>4626</v>
      </c>
      <c r="E107" s="217" t="s">
        <v>4705</v>
      </c>
    </row>
    <row r="108">
      <c r="A108" s="84" t="s">
        <v>926</v>
      </c>
      <c r="B108" s="90"/>
      <c r="C108" s="86" t="s">
        <v>4727</v>
      </c>
      <c r="D108" s="87" t="s">
        <v>4626</v>
      </c>
      <c r="E108" s="217" t="s">
        <v>4705</v>
      </c>
    </row>
    <row r="109">
      <c r="A109" s="84" t="s">
        <v>1882</v>
      </c>
      <c r="B109" s="90"/>
      <c r="C109" s="86" t="s">
        <v>4728</v>
      </c>
      <c r="D109" s="87" t="s">
        <v>4663</v>
      </c>
      <c r="E109" s="218" t="s">
        <v>4707</v>
      </c>
    </row>
    <row r="110">
      <c r="A110" s="84" t="s">
        <v>1886</v>
      </c>
      <c r="B110" s="90" t="s">
        <v>4677</v>
      </c>
      <c r="C110" s="86" t="s">
        <v>4729</v>
      </c>
      <c r="D110" s="87" t="s">
        <v>4679</v>
      </c>
      <c r="E110" s="82" t="s">
        <v>4730</v>
      </c>
    </row>
    <row r="111">
      <c r="A111" s="84" t="s">
        <v>1890</v>
      </c>
      <c r="B111" s="90"/>
      <c r="C111" s="86" t="s">
        <v>4731</v>
      </c>
      <c r="D111" s="87" t="s">
        <v>4636</v>
      </c>
      <c r="E111" s="217" t="s">
        <v>4710</v>
      </c>
    </row>
    <row r="112">
      <c r="A112" s="84" t="s">
        <v>4732</v>
      </c>
      <c r="B112" s="90"/>
      <c r="C112" s="86" t="s">
        <v>4672</v>
      </c>
      <c r="D112" s="87"/>
      <c r="E112" s="217" t="s">
        <v>4711</v>
      </c>
    </row>
    <row r="113">
      <c r="A113" s="84" t="s">
        <v>4733</v>
      </c>
      <c r="B113" s="90"/>
      <c r="C113" s="219" t="s">
        <v>4683</v>
      </c>
      <c r="D113" s="220"/>
      <c r="E113" s="217" t="s">
        <v>4704</v>
      </c>
    </row>
    <row r="114">
      <c r="A114" s="84" t="s">
        <v>931</v>
      </c>
      <c r="B114" s="90"/>
      <c r="C114" s="93" t="s">
        <v>4684</v>
      </c>
      <c r="D114" s="221" t="s">
        <v>4685</v>
      </c>
      <c r="E114" s="217" t="s">
        <v>4705</v>
      </c>
    </row>
    <row r="115">
      <c r="A115" s="84" t="s">
        <v>936</v>
      </c>
      <c r="B115" s="90"/>
      <c r="C115" s="93" t="s">
        <v>4686</v>
      </c>
      <c r="D115" s="225" t="s">
        <v>4687</v>
      </c>
      <c r="E115" s="217" t="s">
        <v>4705</v>
      </c>
    </row>
    <row r="116">
      <c r="A116" s="84" t="s">
        <v>940</v>
      </c>
      <c r="B116" s="90"/>
      <c r="C116" s="93" t="s">
        <v>4688</v>
      </c>
      <c r="D116" s="225" t="s">
        <v>4687</v>
      </c>
      <c r="E116" s="217" t="s">
        <v>4705</v>
      </c>
    </row>
    <row r="117">
      <c r="A117" s="84" t="s">
        <v>943</v>
      </c>
      <c r="B117" s="90"/>
      <c r="C117" s="93" t="s">
        <v>4734</v>
      </c>
      <c r="D117" s="225" t="s">
        <v>4687</v>
      </c>
      <c r="E117" s="217" t="s">
        <v>4705</v>
      </c>
    </row>
    <row r="118">
      <c r="A118" s="84" t="s">
        <v>1921</v>
      </c>
      <c r="B118" s="90"/>
      <c r="C118" s="93" t="s">
        <v>4690</v>
      </c>
      <c r="D118" s="141" t="s">
        <v>4691</v>
      </c>
      <c r="E118" s="218" t="s">
        <v>4707</v>
      </c>
    </row>
    <row r="119">
      <c r="A119" s="84" t="s">
        <v>1925</v>
      </c>
      <c r="B119" s="90" t="s">
        <v>4692</v>
      </c>
      <c r="C119" s="219" t="s">
        <v>4693</v>
      </c>
      <c r="D119" s="225" t="s">
        <v>4692</v>
      </c>
      <c r="E119" s="82" t="s">
        <v>4730</v>
      </c>
    </row>
    <row r="120">
      <c r="A120" s="84" t="s">
        <v>1928</v>
      </c>
      <c r="B120" s="90"/>
      <c r="C120" s="219" t="s">
        <v>4694</v>
      </c>
      <c r="D120" s="221" t="s">
        <v>4658</v>
      </c>
      <c r="E120" s="217" t="s">
        <v>4710</v>
      </c>
    </row>
    <row r="121">
      <c r="A121" s="84" t="s">
        <v>3907</v>
      </c>
      <c r="B121" s="223"/>
      <c r="C121" s="219" t="s">
        <v>4638</v>
      </c>
      <c r="D121" s="225"/>
      <c r="E121" s="217" t="s">
        <v>4711</v>
      </c>
    </row>
    <row r="122">
      <c r="A122" s="84" t="s">
        <v>4735</v>
      </c>
      <c r="B122" s="90"/>
      <c r="C122" s="194" t="s">
        <v>4695</v>
      </c>
      <c r="D122" s="226"/>
      <c r="E122" s="217" t="s">
        <v>4704</v>
      </c>
    </row>
    <row r="123">
      <c r="A123" s="84" t="s">
        <v>4736</v>
      </c>
      <c r="B123" s="90"/>
      <c r="C123" s="194" t="s">
        <v>4620</v>
      </c>
      <c r="D123" s="164" t="s">
        <v>4696</v>
      </c>
      <c r="E123" s="217" t="s">
        <v>4705</v>
      </c>
    </row>
    <row r="124">
      <c r="A124" s="84" t="s">
        <v>951</v>
      </c>
      <c r="B124" s="90"/>
      <c r="C124" s="194" t="s">
        <v>4623</v>
      </c>
      <c r="D124" s="164" t="s">
        <v>4687</v>
      </c>
      <c r="E124" s="217" t="s">
        <v>4705</v>
      </c>
    </row>
    <row r="125">
      <c r="A125" s="84" t="s">
        <v>953</v>
      </c>
      <c r="B125" s="90"/>
      <c r="C125" s="93" t="s">
        <v>4675</v>
      </c>
      <c r="D125" s="164" t="s">
        <v>4687</v>
      </c>
      <c r="E125" s="217" t="s">
        <v>4705</v>
      </c>
    </row>
    <row r="126">
      <c r="A126" s="84" t="s">
        <v>1955</v>
      </c>
      <c r="B126" s="90"/>
      <c r="C126" s="93" t="s">
        <v>4737</v>
      </c>
      <c r="D126" s="164" t="s">
        <v>4698</v>
      </c>
      <c r="E126" s="218" t="s">
        <v>4707</v>
      </c>
    </row>
    <row r="127">
      <c r="A127" s="84" t="s">
        <v>1960</v>
      </c>
      <c r="B127" s="90" t="s">
        <v>4631</v>
      </c>
      <c r="C127" s="93" t="s">
        <v>4738</v>
      </c>
      <c r="D127" s="164" t="s">
        <v>4700</v>
      </c>
      <c r="E127" s="217" t="s">
        <v>4709</v>
      </c>
    </row>
    <row r="128">
      <c r="A128" s="84" t="s">
        <v>1964</v>
      </c>
      <c r="B128" s="90"/>
      <c r="C128" s="93" t="s">
        <v>4701</v>
      </c>
      <c r="D128" s="164" t="s">
        <v>4658</v>
      </c>
      <c r="E128" s="217" t="s">
        <v>4710</v>
      </c>
    </row>
    <row r="129">
      <c r="A129" s="84" t="s">
        <v>3931</v>
      </c>
      <c r="B129" s="90"/>
      <c r="C129" s="93" t="s">
        <v>4682</v>
      </c>
      <c r="D129" s="226"/>
      <c r="E129" s="217" t="s">
        <v>4711</v>
      </c>
    </row>
    <row r="130">
      <c r="A130" s="84" t="s">
        <v>4739</v>
      </c>
      <c r="B130" s="90"/>
      <c r="C130" s="86" t="s">
        <v>4703</v>
      </c>
      <c r="D130" s="87"/>
      <c r="E130" s="82" t="s">
        <v>4740</v>
      </c>
    </row>
    <row r="131">
      <c r="A131" s="84" t="s">
        <v>955</v>
      </c>
      <c r="B131" s="90"/>
      <c r="C131" s="86" t="s">
        <v>4620</v>
      </c>
      <c r="D131" s="87" t="s">
        <v>4621</v>
      </c>
      <c r="E131" s="82" t="s">
        <v>4741</v>
      </c>
    </row>
    <row r="132">
      <c r="A132" s="84" t="s">
        <v>960</v>
      </c>
      <c r="B132" s="90"/>
      <c r="C132" s="86" t="s">
        <v>4623</v>
      </c>
      <c r="D132" s="87" t="s">
        <v>4624</v>
      </c>
      <c r="E132" s="82" t="s">
        <v>4741</v>
      </c>
    </row>
    <row r="133">
      <c r="A133" s="84" t="s">
        <v>963</v>
      </c>
      <c r="B133" s="90"/>
      <c r="C133" s="86" t="s">
        <v>4625</v>
      </c>
      <c r="D133" s="87" t="s">
        <v>4626</v>
      </c>
      <c r="E133" s="82" t="s">
        <v>4741</v>
      </c>
    </row>
    <row r="134">
      <c r="A134" s="84" t="s">
        <v>965</v>
      </c>
      <c r="B134" s="90"/>
      <c r="C134" s="86" t="s">
        <v>4627</v>
      </c>
      <c r="D134" s="87" t="s">
        <v>4624</v>
      </c>
      <c r="E134" s="82" t="s">
        <v>4741</v>
      </c>
    </row>
    <row r="135">
      <c r="A135" s="84" t="s">
        <v>1998</v>
      </c>
      <c r="B135" s="90"/>
      <c r="C135" s="86" t="s">
        <v>4706</v>
      </c>
      <c r="D135" s="87" t="s">
        <v>4629</v>
      </c>
      <c r="E135" s="216" t="s">
        <v>4742</v>
      </c>
    </row>
    <row r="136">
      <c r="A136" s="84" t="s">
        <v>2003</v>
      </c>
      <c r="B136" s="90" t="s">
        <v>4631</v>
      </c>
      <c r="C136" s="86" t="s">
        <v>4743</v>
      </c>
      <c r="D136" s="87" t="s">
        <v>4633</v>
      </c>
      <c r="E136" s="82" t="s">
        <v>4744</v>
      </c>
    </row>
    <row r="137">
      <c r="A137" s="84" t="s">
        <v>2007</v>
      </c>
      <c r="B137" s="90"/>
      <c r="C137" s="86" t="s">
        <v>4635</v>
      </c>
      <c r="D137" s="87" t="s">
        <v>4636</v>
      </c>
      <c r="E137" s="82" t="s">
        <v>4745</v>
      </c>
    </row>
    <row r="138">
      <c r="A138" s="84" t="s">
        <v>3950</v>
      </c>
      <c r="B138" s="90"/>
      <c r="C138" s="86" t="s">
        <v>4638</v>
      </c>
      <c r="D138" s="87"/>
      <c r="E138" s="82" t="s">
        <v>4746</v>
      </c>
    </row>
    <row r="139">
      <c r="A139" s="84" t="s">
        <v>4747</v>
      </c>
      <c r="B139" s="90"/>
      <c r="C139" s="86" t="s">
        <v>4640</v>
      </c>
      <c r="D139" s="87"/>
      <c r="E139" s="82" t="s">
        <v>4740</v>
      </c>
    </row>
    <row r="140">
      <c r="A140" s="84" t="s">
        <v>968</v>
      </c>
      <c r="B140" s="90"/>
      <c r="C140" s="86" t="s">
        <v>4620</v>
      </c>
      <c r="D140" s="87" t="s">
        <v>4641</v>
      </c>
      <c r="E140" s="82" t="s">
        <v>4741</v>
      </c>
    </row>
    <row r="141">
      <c r="A141" s="84" t="s">
        <v>972</v>
      </c>
      <c r="B141" s="90"/>
      <c r="C141" s="86" t="s">
        <v>4623</v>
      </c>
      <c r="D141" s="87" t="s">
        <v>4642</v>
      </c>
      <c r="E141" s="82" t="s">
        <v>4741</v>
      </c>
    </row>
    <row r="142">
      <c r="A142" s="84" t="s">
        <v>974</v>
      </c>
      <c r="B142" s="90"/>
      <c r="C142" s="86" t="s">
        <v>4625</v>
      </c>
      <c r="D142" s="87" t="s">
        <v>4642</v>
      </c>
      <c r="E142" s="82" t="s">
        <v>4741</v>
      </c>
    </row>
    <row r="143">
      <c r="A143" s="84" t="s">
        <v>976</v>
      </c>
      <c r="B143" s="90"/>
      <c r="C143" s="86" t="s">
        <v>4627</v>
      </c>
      <c r="D143" s="87" t="s">
        <v>4643</v>
      </c>
      <c r="E143" s="82" t="s">
        <v>4741</v>
      </c>
    </row>
    <row r="144">
      <c r="A144" s="84" t="s">
        <v>2037</v>
      </c>
      <c r="B144" s="90"/>
      <c r="C144" s="86" t="s">
        <v>4748</v>
      </c>
      <c r="D144" s="87" t="s">
        <v>4645</v>
      </c>
      <c r="E144" s="216" t="s">
        <v>4742</v>
      </c>
    </row>
    <row r="145">
      <c r="A145" s="84" t="s">
        <v>2041</v>
      </c>
      <c r="B145" s="90" t="s">
        <v>4646</v>
      </c>
      <c r="C145" s="86" t="s">
        <v>4647</v>
      </c>
      <c r="D145" s="87" t="s">
        <v>4648</v>
      </c>
      <c r="E145" s="82" t="s">
        <v>4749</v>
      </c>
    </row>
    <row r="146">
      <c r="A146" s="84" t="s">
        <v>4750</v>
      </c>
      <c r="B146" s="90"/>
      <c r="C146" s="86" t="s">
        <v>4751</v>
      </c>
      <c r="D146" s="87" t="s">
        <v>4636</v>
      </c>
      <c r="E146" s="82" t="s">
        <v>4745</v>
      </c>
    </row>
    <row r="147">
      <c r="A147" s="84" t="s">
        <v>4752</v>
      </c>
      <c r="B147" s="90"/>
      <c r="C147" s="86" t="s">
        <v>4638</v>
      </c>
      <c r="D147" s="87"/>
      <c r="E147" s="82" t="s">
        <v>4746</v>
      </c>
    </row>
    <row r="148">
      <c r="A148" s="84" t="s">
        <v>2053</v>
      </c>
      <c r="B148" s="90"/>
      <c r="C148" s="86" t="s">
        <v>4753</v>
      </c>
      <c r="D148" s="87"/>
      <c r="E148" s="82" t="s">
        <v>4740</v>
      </c>
    </row>
    <row r="149">
      <c r="A149" s="84" t="s">
        <v>979</v>
      </c>
      <c r="B149" s="90"/>
      <c r="C149" s="86" t="s">
        <v>4620</v>
      </c>
      <c r="D149" s="87" t="s">
        <v>4652</v>
      </c>
      <c r="E149" s="82" t="s">
        <v>4741</v>
      </c>
    </row>
    <row r="150">
      <c r="A150" s="84" t="s">
        <v>984</v>
      </c>
      <c r="B150" s="90"/>
      <c r="C150" s="86" t="s">
        <v>4623</v>
      </c>
      <c r="D150" s="87" t="s">
        <v>4626</v>
      </c>
      <c r="E150" s="82" t="s">
        <v>4741</v>
      </c>
    </row>
    <row r="151">
      <c r="A151" s="84" t="s">
        <v>986</v>
      </c>
      <c r="B151" s="90"/>
      <c r="C151" s="86" t="s">
        <v>4625</v>
      </c>
      <c r="D151" s="87" t="s">
        <v>4626</v>
      </c>
      <c r="E151" s="82" t="s">
        <v>4741</v>
      </c>
    </row>
    <row r="152">
      <c r="A152" s="84" t="s">
        <v>989</v>
      </c>
      <c r="B152" s="90"/>
      <c r="C152" s="86" t="s">
        <v>4627</v>
      </c>
      <c r="D152" s="87" t="s">
        <v>4626</v>
      </c>
      <c r="E152" s="82" t="s">
        <v>4741</v>
      </c>
    </row>
    <row r="153">
      <c r="A153" s="84" t="s">
        <v>2077</v>
      </c>
      <c r="B153" s="90"/>
      <c r="C153" s="86" t="s">
        <v>4653</v>
      </c>
      <c r="D153" s="87" t="s">
        <v>4654</v>
      </c>
      <c r="E153" s="216" t="s">
        <v>4742</v>
      </c>
    </row>
    <row r="154">
      <c r="A154" s="84" t="s">
        <v>2082</v>
      </c>
      <c r="B154" s="90" t="s">
        <v>4631</v>
      </c>
      <c r="C154" s="86" t="s">
        <v>4655</v>
      </c>
      <c r="D154" s="87" t="s">
        <v>4656</v>
      </c>
      <c r="E154" s="82" t="s">
        <v>4744</v>
      </c>
    </row>
    <row r="155">
      <c r="A155" s="84" t="s">
        <v>2087</v>
      </c>
      <c r="B155" s="90"/>
      <c r="C155" s="86" t="s">
        <v>4657</v>
      </c>
      <c r="D155" s="87" t="s">
        <v>4658</v>
      </c>
      <c r="E155" s="82" t="s">
        <v>4745</v>
      </c>
    </row>
    <row r="156">
      <c r="A156" s="84" t="s">
        <v>3990</v>
      </c>
      <c r="B156" s="90"/>
      <c r="C156" s="86" t="s">
        <v>4638</v>
      </c>
      <c r="D156" s="87"/>
      <c r="E156" s="82" t="s">
        <v>4746</v>
      </c>
    </row>
    <row r="157">
      <c r="A157" s="84" t="s">
        <v>4754</v>
      </c>
      <c r="B157" s="90"/>
      <c r="C157" s="86" t="s">
        <v>4755</v>
      </c>
      <c r="D157" s="87"/>
      <c r="E157" s="82" t="s">
        <v>4740</v>
      </c>
    </row>
    <row r="158">
      <c r="A158" s="84" t="s">
        <v>992</v>
      </c>
      <c r="B158" s="90"/>
      <c r="C158" s="86" t="s">
        <v>4620</v>
      </c>
      <c r="D158" s="87" t="s">
        <v>4660</v>
      </c>
      <c r="E158" s="82" t="s">
        <v>4741</v>
      </c>
    </row>
    <row r="159">
      <c r="A159" s="84" t="s">
        <v>996</v>
      </c>
      <c r="B159" s="90"/>
      <c r="C159" s="86" t="s">
        <v>4623</v>
      </c>
      <c r="D159" s="87" t="s">
        <v>4661</v>
      </c>
      <c r="E159" s="82" t="s">
        <v>4741</v>
      </c>
    </row>
    <row r="160">
      <c r="A160" s="84" t="s">
        <v>998</v>
      </c>
      <c r="B160" s="90"/>
      <c r="C160" s="86" t="s">
        <v>4625</v>
      </c>
      <c r="D160" s="87" t="s">
        <v>4661</v>
      </c>
      <c r="E160" s="82" t="s">
        <v>4741</v>
      </c>
    </row>
    <row r="161">
      <c r="A161" s="84" t="s">
        <v>1000</v>
      </c>
      <c r="B161" s="90"/>
      <c r="C161" s="86" t="s">
        <v>4627</v>
      </c>
      <c r="D161" s="87" t="s">
        <v>4661</v>
      </c>
      <c r="E161" s="82" t="s">
        <v>4741</v>
      </c>
    </row>
    <row r="162">
      <c r="A162" s="84" t="s">
        <v>2111</v>
      </c>
      <c r="B162" s="90"/>
      <c r="C162" s="86" t="s">
        <v>4662</v>
      </c>
      <c r="D162" s="87" t="s">
        <v>4663</v>
      </c>
      <c r="E162" s="216" t="s">
        <v>4742</v>
      </c>
    </row>
    <row r="163">
      <c r="A163" s="84" t="s">
        <v>2116</v>
      </c>
      <c r="B163" s="90"/>
      <c r="C163" s="86" t="s">
        <v>4664</v>
      </c>
      <c r="D163" s="87" t="s">
        <v>3596</v>
      </c>
      <c r="E163" s="164" t="s">
        <v>3596</v>
      </c>
    </row>
    <row r="164">
      <c r="A164" s="84" t="s">
        <v>2121</v>
      </c>
      <c r="B164" s="90" t="s">
        <v>4666</v>
      </c>
      <c r="C164" s="86" t="s">
        <v>4667</v>
      </c>
      <c r="D164" s="87" t="s">
        <v>4668</v>
      </c>
      <c r="E164" s="82" t="s">
        <v>4756</v>
      </c>
    </row>
    <row r="165">
      <c r="A165" s="84" t="s">
        <v>2123</v>
      </c>
      <c r="B165" s="90"/>
      <c r="C165" s="86" t="s">
        <v>4670</v>
      </c>
      <c r="D165" s="87" t="s">
        <v>4658</v>
      </c>
      <c r="E165" s="82" t="s">
        <v>4745</v>
      </c>
    </row>
    <row r="166">
      <c r="A166" s="84" t="s">
        <v>4009</v>
      </c>
      <c r="B166" s="90"/>
      <c r="C166" s="86" t="s">
        <v>4672</v>
      </c>
      <c r="D166" s="87"/>
      <c r="E166" s="82" t="s">
        <v>4746</v>
      </c>
    </row>
    <row r="167">
      <c r="A167" s="84" t="s">
        <v>4757</v>
      </c>
      <c r="B167" s="90"/>
      <c r="C167" s="93" t="s">
        <v>4758</v>
      </c>
      <c r="D167" s="226"/>
      <c r="E167" s="82" t="s">
        <v>4740</v>
      </c>
    </row>
    <row r="168">
      <c r="A168" s="84" t="s">
        <v>1004</v>
      </c>
      <c r="B168" s="90"/>
      <c r="C168" s="194" t="s">
        <v>4620</v>
      </c>
      <c r="D168" s="164" t="s">
        <v>4674</v>
      </c>
      <c r="E168" s="82" t="s">
        <v>4741</v>
      </c>
    </row>
    <row r="169">
      <c r="A169" s="84" t="s">
        <v>1009</v>
      </c>
      <c r="B169" s="90"/>
      <c r="C169" s="194" t="s">
        <v>4623</v>
      </c>
      <c r="D169" s="164" t="s">
        <v>4626</v>
      </c>
      <c r="E169" s="82" t="s">
        <v>4741</v>
      </c>
    </row>
    <row r="170">
      <c r="A170" s="84" t="s">
        <v>1013</v>
      </c>
      <c r="B170" s="90"/>
      <c r="C170" s="194" t="s">
        <v>4625</v>
      </c>
      <c r="D170" s="164" t="s">
        <v>4626</v>
      </c>
      <c r="E170" s="82" t="s">
        <v>4741</v>
      </c>
    </row>
    <row r="171">
      <c r="A171" s="84" t="s">
        <v>1015</v>
      </c>
      <c r="B171" s="90"/>
      <c r="C171" s="93" t="s">
        <v>4726</v>
      </c>
      <c r="D171" s="164" t="s">
        <v>4626</v>
      </c>
      <c r="E171" s="82" t="s">
        <v>4741</v>
      </c>
    </row>
    <row r="172">
      <c r="A172" s="84" t="s">
        <v>1017</v>
      </c>
      <c r="B172" s="90"/>
      <c r="C172" s="93" t="s">
        <v>4727</v>
      </c>
      <c r="D172" s="164" t="s">
        <v>4626</v>
      </c>
      <c r="E172" s="82" t="s">
        <v>4741</v>
      </c>
    </row>
    <row r="173">
      <c r="A173" s="84" t="s">
        <v>2159</v>
      </c>
      <c r="B173" s="90"/>
      <c r="C173" s="194" t="s">
        <v>4728</v>
      </c>
      <c r="D173" s="164" t="s">
        <v>4663</v>
      </c>
      <c r="E173" s="216" t="s">
        <v>4742</v>
      </c>
    </row>
    <row r="174">
      <c r="A174" s="84" t="s">
        <v>2163</v>
      </c>
      <c r="B174" s="90" t="s">
        <v>4677</v>
      </c>
      <c r="C174" s="194" t="s">
        <v>4729</v>
      </c>
      <c r="D174" s="164" t="s">
        <v>4679</v>
      </c>
      <c r="E174" s="82" t="s">
        <v>4759</v>
      </c>
    </row>
    <row r="175">
      <c r="A175" s="84" t="s">
        <v>2168</v>
      </c>
      <c r="B175" s="90"/>
      <c r="C175" s="93" t="s">
        <v>4731</v>
      </c>
      <c r="D175" s="164" t="s">
        <v>4636</v>
      </c>
      <c r="E175" s="82" t="s">
        <v>4745</v>
      </c>
    </row>
    <row r="176">
      <c r="A176" s="84" t="s">
        <v>4034</v>
      </c>
      <c r="B176" s="90"/>
      <c r="C176" s="194" t="s">
        <v>4672</v>
      </c>
      <c r="D176" s="226"/>
      <c r="E176" s="82" t="s">
        <v>4746</v>
      </c>
    </row>
    <row r="177">
      <c r="A177" s="84" t="s">
        <v>4760</v>
      </c>
      <c r="B177" s="90"/>
      <c r="C177" s="219" t="s">
        <v>4683</v>
      </c>
      <c r="D177" s="220"/>
      <c r="E177" s="82" t="s">
        <v>4740</v>
      </c>
    </row>
    <row r="178">
      <c r="A178" s="84" t="s">
        <v>1021</v>
      </c>
      <c r="B178" s="90"/>
      <c r="C178" s="93" t="s">
        <v>4684</v>
      </c>
      <c r="D178" s="221" t="s">
        <v>4685</v>
      </c>
      <c r="E178" s="82" t="s">
        <v>4741</v>
      </c>
    </row>
    <row r="179">
      <c r="A179" s="84" t="s">
        <v>1027</v>
      </c>
      <c r="B179" s="90"/>
      <c r="C179" s="93" t="s">
        <v>4686</v>
      </c>
      <c r="D179" s="225" t="s">
        <v>4687</v>
      </c>
      <c r="E179" s="82" t="s">
        <v>4741</v>
      </c>
    </row>
    <row r="180">
      <c r="A180" s="84" t="s">
        <v>1029</v>
      </c>
      <c r="B180" s="90"/>
      <c r="C180" s="93" t="s">
        <v>4688</v>
      </c>
      <c r="D180" s="225" t="s">
        <v>4687</v>
      </c>
      <c r="E180" s="82" t="s">
        <v>4741</v>
      </c>
    </row>
    <row r="181">
      <c r="A181" s="84" t="s">
        <v>1031</v>
      </c>
      <c r="B181" s="90"/>
      <c r="C181" s="93" t="s">
        <v>4734</v>
      </c>
      <c r="D181" s="225" t="s">
        <v>4687</v>
      </c>
      <c r="E181" s="82" t="s">
        <v>4741</v>
      </c>
    </row>
    <row r="182">
      <c r="A182" s="84" t="s">
        <v>2203</v>
      </c>
      <c r="B182" s="90"/>
      <c r="C182" s="93" t="s">
        <v>4690</v>
      </c>
      <c r="D182" s="141" t="s">
        <v>4691</v>
      </c>
      <c r="E182" s="216" t="s">
        <v>4761</v>
      </c>
    </row>
    <row r="183">
      <c r="A183" s="84" t="s">
        <v>2207</v>
      </c>
      <c r="B183" s="90" t="s">
        <v>4692</v>
      </c>
      <c r="C183" s="219" t="s">
        <v>4693</v>
      </c>
      <c r="D183" s="225" t="s">
        <v>4692</v>
      </c>
      <c r="E183" s="123" t="s">
        <v>4762</v>
      </c>
    </row>
    <row r="184">
      <c r="A184" s="84" t="s">
        <v>2211</v>
      </c>
      <c r="B184" s="90"/>
      <c r="C184" s="219" t="s">
        <v>4694</v>
      </c>
      <c r="D184" s="221" t="s">
        <v>4658</v>
      </c>
      <c r="E184" s="82" t="s">
        <v>4745</v>
      </c>
    </row>
    <row r="185">
      <c r="A185" s="84" t="s">
        <v>4763</v>
      </c>
      <c r="B185" s="223"/>
      <c r="C185" s="219" t="s">
        <v>4638</v>
      </c>
      <c r="D185" s="224"/>
      <c r="E185" s="82" t="s">
        <v>4746</v>
      </c>
    </row>
    <row r="186">
      <c r="A186" s="84" t="s">
        <v>4764</v>
      </c>
      <c r="B186" s="90"/>
      <c r="C186" s="194" t="s">
        <v>4695</v>
      </c>
      <c r="D186" s="226"/>
      <c r="E186" s="82" t="s">
        <v>4740</v>
      </c>
    </row>
    <row r="187">
      <c r="A187" s="84" t="s">
        <v>1034</v>
      </c>
      <c r="B187" s="90"/>
      <c r="C187" s="194" t="s">
        <v>4620</v>
      </c>
      <c r="D187" s="164" t="s">
        <v>4696</v>
      </c>
      <c r="E187" s="82" t="s">
        <v>4741</v>
      </c>
    </row>
    <row r="188">
      <c r="A188" s="84" t="s">
        <v>1038</v>
      </c>
      <c r="B188" s="90"/>
      <c r="C188" s="194" t="s">
        <v>4623</v>
      </c>
      <c r="D188" s="164" t="s">
        <v>4687</v>
      </c>
      <c r="E188" s="82" t="s">
        <v>4741</v>
      </c>
    </row>
    <row r="189">
      <c r="A189" s="84" t="s">
        <v>2232</v>
      </c>
      <c r="B189" s="90"/>
      <c r="C189" s="194" t="s">
        <v>4625</v>
      </c>
      <c r="D189" s="164" t="s">
        <v>4687</v>
      </c>
      <c r="E189" s="82" t="s">
        <v>4741</v>
      </c>
    </row>
    <row r="190">
      <c r="A190" s="84" t="s">
        <v>1039</v>
      </c>
      <c r="B190" s="90"/>
      <c r="C190" s="93" t="s">
        <v>4627</v>
      </c>
      <c r="D190" s="164" t="s">
        <v>4687</v>
      </c>
      <c r="E190" s="82" t="s">
        <v>4741</v>
      </c>
    </row>
    <row r="191">
      <c r="A191" s="84" t="s">
        <v>2241</v>
      </c>
      <c r="B191" s="90"/>
      <c r="C191" s="93" t="s">
        <v>4697</v>
      </c>
      <c r="D191" s="164" t="s">
        <v>4698</v>
      </c>
      <c r="E191" s="216" t="s">
        <v>4742</v>
      </c>
    </row>
    <row r="192">
      <c r="A192" s="84" t="s">
        <v>2246</v>
      </c>
      <c r="B192" s="90" t="s">
        <v>4631</v>
      </c>
      <c r="C192" s="93" t="s">
        <v>4699</v>
      </c>
      <c r="D192" s="164" t="s">
        <v>4700</v>
      </c>
      <c r="E192" s="82" t="s">
        <v>4744</v>
      </c>
    </row>
    <row r="193">
      <c r="A193" s="84" t="s">
        <v>2250</v>
      </c>
      <c r="B193" s="90"/>
      <c r="C193" s="93" t="s">
        <v>4701</v>
      </c>
      <c r="D193" s="164" t="s">
        <v>4658</v>
      </c>
      <c r="E193" s="82" t="s">
        <v>4745</v>
      </c>
    </row>
    <row r="194">
      <c r="A194" s="84" t="s">
        <v>4079</v>
      </c>
      <c r="B194" s="90"/>
      <c r="C194" s="93" t="s">
        <v>4638</v>
      </c>
      <c r="D194" s="226"/>
      <c r="E194" s="82" t="s">
        <v>4746</v>
      </c>
    </row>
    <row r="195">
      <c r="A195" s="84" t="s">
        <v>4765</v>
      </c>
      <c r="B195" s="90"/>
      <c r="C195" s="86" t="s">
        <v>4703</v>
      </c>
      <c r="D195" s="87"/>
      <c r="E195" s="227" t="s">
        <v>4766</v>
      </c>
    </row>
    <row r="196">
      <c r="A196" s="84" t="s">
        <v>1041</v>
      </c>
      <c r="B196" s="90"/>
      <c r="C196" s="86" t="s">
        <v>4620</v>
      </c>
      <c r="D196" s="87" t="s">
        <v>4621</v>
      </c>
      <c r="E196" s="227" t="s">
        <v>4767</v>
      </c>
    </row>
    <row r="197">
      <c r="A197" s="84" t="s">
        <v>1046</v>
      </c>
      <c r="B197" s="90"/>
      <c r="C197" s="86" t="s">
        <v>4623</v>
      </c>
      <c r="D197" s="87" t="s">
        <v>4624</v>
      </c>
      <c r="E197" s="227" t="s">
        <v>4767</v>
      </c>
    </row>
    <row r="198">
      <c r="A198" s="84" t="s">
        <v>1048</v>
      </c>
      <c r="B198" s="90"/>
      <c r="C198" s="86" t="s">
        <v>4625</v>
      </c>
      <c r="D198" s="87" t="s">
        <v>4626</v>
      </c>
      <c r="E198" s="227" t="s">
        <v>4767</v>
      </c>
    </row>
    <row r="199">
      <c r="A199" s="84" t="s">
        <v>1050</v>
      </c>
      <c r="B199" s="90"/>
      <c r="C199" s="86" t="s">
        <v>4627</v>
      </c>
      <c r="D199" s="87" t="s">
        <v>4624</v>
      </c>
      <c r="E199" s="227" t="s">
        <v>4767</v>
      </c>
    </row>
    <row r="200">
      <c r="A200" s="84" t="s">
        <v>2283</v>
      </c>
      <c r="B200" s="90"/>
      <c r="C200" s="86" t="s">
        <v>4706</v>
      </c>
      <c r="D200" s="87" t="s">
        <v>4629</v>
      </c>
      <c r="E200" s="227" t="s">
        <v>4768</v>
      </c>
    </row>
    <row r="201">
      <c r="A201" s="84" t="s">
        <v>2286</v>
      </c>
      <c r="B201" s="90" t="s">
        <v>4631</v>
      </c>
      <c r="C201" s="86" t="s">
        <v>4769</v>
      </c>
      <c r="D201" s="87" t="s">
        <v>4633</v>
      </c>
      <c r="E201" s="82" t="s">
        <v>4770</v>
      </c>
    </row>
    <row r="202">
      <c r="A202" s="84" t="s">
        <v>2290</v>
      </c>
      <c r="B202" s="90"/>
      <c r="C202" s="86" t="s">
        <v>4635</v>
      </c>
      <c r="D202" s="164" t="s">
        <v>4636</v>
      </c>
      <c r="E202" s="82" t="s">
        <v>4771</v>
      </c>
    </row>
    <row r="203">
      <c r="A203" s="84" t="s">
        <v>4097</v>
      </c>
      <c r="B203" s="90"/>
      <c r="C203" s="194" t="s">
        <v>4638</v>
      </c>
      <c r="D203" s="226"/>
      <c r="E203" s="82" t="s">
        <v>4772</v>
      </c>
    </row>
    <row r="204">
      <c r="A204" s="84" t="s">
        <v>2297</v>
      </c>
      <c r="B204" s="90"/>
      <c r="C204" s="86" t="s">
        <v>4640</v>
      </c>
      <c r="D204" s="87"/>
      <c r="E204" s="227" t="s">
        <v>4773</v>
      </c>
    </row>
    <row r="205">
      <c r="A205" s="84" t="s">
        <v>1053</v>
      </c>
      <c r="B205" s="90"/>
      <c r="C205" s="86" t="s">
        <v>4620</v>
      </c>
      <c r="D205" s="87" t="s">
        <v>4641</v>
      </c>
      <c r="E205" s="227" t="s">
        <v>4767</v>
      </c>
    </row>
    <row r="206">
      <c r="A206" s="84" t="s">
        <v>1057</v>
      </c>
      <c r="B206" s="90"/>
      <c r="C206" s="86" t="s">
        <v>4623</v>
      </c>
      <c r="D206" s="87" t="s">
        <v>4642</v>
      </c>
      <c r="E206" s="227" t="s">
        <v>4767</v>
      </c>
    </row>
    <row r="207">
      <c r="A207" s="84" t="s">
        <v>1060</v>
      </c>
      <c r="B207" s="90"/>
      <c r="C207" s="86" t="s">
        <v>4625</v>
      </c>
      <c r="D207" s="87" t="s">
        <v>4642</v>
      </c>
      <c r="E207" s="227" t="s">
        <v>4767</v>
      </c>
    </row>
    <row r="208">
      <c r="A208" s="84" t="s">
        <v>1061</v>
      </c>
      <c r="B208" s="90"/>
      <c r="C208" s="86" t="s">
        <v>4627</v>
      </c>
      <c r="D208" s="87" t="s">
        <v>4643</v>
      </c>
      <c r="E208" s="227" t="s">
        <v>4767</v>
      </c>
    </row>
    <row r="209">
      <c r="A209" s="84" t="s">
        <v>2326</v>
      </c>
      <c r="B209" s="90"/>
      <c r="C209" s="86" t="s">
        <v>4748</v>
      </c>
      <c r="D209" s="87" t="s">
        <v>4645</v>
      </c>
      <c r="E209" s="227" t="s">
        <v>4768</v>
      </c>
    </row>
    <row r="210">
      <c r="A210" s="84" t="s">
        <v>2331</v>
      </c>
      <c r="B210" s="90" t="s">
        <v>4646</v>
      </c>
      <c r="C210" s="86" t="s">
        <v>4647</v>
      </c>
      <c r="D210" s="87" t="s">
        <v>4648</v>
      </c>
      <c r="E210" s="82" t="s">
        <v>4774</v>
      </c>
    </row>
    <row r="211">
      <c r="A211" s="84" t="s">
        <v>2335</v>
      </c>
      <c r="B211" s="90"/>
      <c r="C211" s="86" t="s">
        <v>4775</v>
      </c>
      <c r="D211" s="87" t="s">
        <v>4636</v>
      </c>
      <c r="E211" s="82" t="s">
        <v>4771</v>
      </c>
    </row>
    <row r="212">
      <c r="A212" s="84" t="s">
        <v>4116</v>
      </c>
      <c r="B212" s="90"/>
      <c r="C212" s="86" t="s">
        <v>4638</v>
      </c>
      <c r="D212" s="87"/>
      <c r="E212" s="82" t="s">
        <v>4772</v>
      </c>
    </row>
    <row r="213">
      <c r="A213" s="84" t="s">
        <v>4776</v>
      </c>
      <c r="B213" s="90"/>
      <c r="C213" s="86" t="s">
        <v>4777</v>
      </c>
      <c r="D213" s="87"/>
      <c r="E213" s="227" t="s">
        <v>4778</v>
      </c>
    </row>
    <row r="214">
      <c r="A214" s="84" t="s">
        <v>1064</v>
      </c>
      <c r="B214" s="90"/>
      <c r="C214" s="86" t="s">
        <v>4620</v>
      </c>
      <c r="D214" s="87" t="s">
        <v>4652</v>
      </c>
      <c r="E214" s="227" t="s">
        <v>4767</v>
      </c>
    </row>
    <row r="215">
      <c r="A215" s="84" t="s">
        <v>1069</v>
      </c>
      <c r="B215" s="90"/>
      <c r="C215" s="86" t="s">
        <v>4623</v>
      </c>
      <c r="D215" s="87" t="s">
        <v>4626</v>
      </c>
      <c r="E215" s="227" t="s">
        <v>4767</v>
      </c>
    </row>
    <row r="216">
      <c r="A216" s="84" t="s">
        <v>1071</v>
      </c>
      <c r="B216" s="90"/>
      <c r="C216" s="86" t="s">
        <v>4625</v>
      </c>
      <c r="D216" s="87" t="s">
        <v>4626</v>
      </c>
      <c r="E216" s="227" t="s">
        <v>4767</v>
      </c>
    </row>
    <row r="217">
      <c r="A217" s="84" t="s">
        <v>1073</v>
      </c>
      <c r="B217" s="90"/>
      <c r="C217" s="86" t="s">
        <v>4627</v>
      </c>
      <c r="D217" s="87" t="s">
        <v>4626</v>
      </c>
      <c r="E217" s="227" t="s">
        <v>4779</v>
      </c>
    </row>
    <row r="218">
      <c r="A218" s="84" t="s">
        <v>2366</v>
      </c>
      <c r="B218" s="90"/>
      <c r="C218" s="86" t="s">
        <v>4653</v>
      </c>
      <c r="D218" s="87" t="s">
        <v>4654</v>
      </c>
      <c r="E218" s="227" t="s">
        <v>4768</v>
      </c>
    </row>
    <row r="219">
      <c r="A219" s="84" t="s">
        <v>2369</v>
      </c>
      <c r="B219" s="90" t="s">
        <v>4631</v>
      </c>
      <c r="C219" s="86" t="s">
        <v>4655</v>
      </c>
      <c r="D219" s="87" t="s">
        <v>4656</v>
      </c>
      <c r="E219" s="82" t="s">
        <v>4770</v>
      </c>
    </row>
    <row r="220">
      <c r="A220" s="84" t="s">
        <v>2372</v>
      </c>
      <c r="B220" s="90"/>
      <c r="C220" s="86" t="s">
        <v>4657</v>
      </c>
      <c r="D220" s="87" t="s">
        <v>4658</v>
      </c>
      <c r="E220" s="82" t="s">
        <v>4771</v>
      </c>
    </row>
    <row r="221">
      <c r="A221" s="84" t="s">
        <v>4139</v>
      </c>
      <c r="B221" s="90"/>
      <c r="C221" s="86" t="s">
        <v>4638</v>
      </c>
      <c r="D221" s="87"/>
      <c r="E221" s="82" t="s">
        <v>4772</v>
      </c>
    </row>
    <row r="222">
      <c r="A222" s="84" t="s">
        <v>4780</v>
      </c>
      <c r="B222" s="90"/>
      <c r="C222" s="86" t="s">
        <v>4781</v>
      </c>
      <c r="D222" s="87"/>
      <c r="E222" s="82" t="s">
        <v>4772</v>
      </c>
    </row>
    <row r="223">
      <c r="A223" s="84" t="s">
        <v>1075</v>
      </c>
      <c r="B223" s="90"/>
      <c r="C223" s="86" t="s">
        <v>4620</v>
      </c>
      <c r="D223" s="87" t="s">
        <v>4660</v>
      </c>
      <c r="E223" s="227" t="s">
        <v>4782</v>
      </c>
    </row>
    <row r="224">
      <c r="A224" s="84" t="s">
        <v>1080</v>
      </c>
      <c r="B224" s="90"/>
      <c r="C224" s="86" t="s">
        <v>4623</v>
      </c>
      <c r="D224" s="87" t="s">
        <v>4661</v>
      </c>
      <c r="E224" s="227" t="s">
        <v>4767</v>
      </c>
    </row>
    <row r="225">
      <c r="A225" s="84" t="s">
        <v>1081</v>
      </c>
      <c r="B225" s="90"/>
      <c r="C225" s="86" t="s">
        <v>4625</v>
      </c>
      <c r="D225" s="87" t="s">
        <v>4661</v>
      </c>
      <c r="E225" s="227" t="s">
        <v>4767</v>
      </c>
    </row>
    <row r="226">
      <c r="A226" s="84" t="s">
        <v>1083</v>
      </c>
      <c r="B226" s="90"/>
      <c r="C226" s="86" t="s">
        <v>4627</v>
      </c>
      <c r="D226" s="87" t="s">
        <v>4661</v>
      </c>
      <c r="E226" s="227" t="s">
        <v>4767</v>
      </c>
    </row>
    <row r="227">
      <c r="A227" s="84" t="s">
        <v>2401</v>
      </c>
      <c r="B227" s="90"/>
      <c r="C227" s="86" t="s">
        <v>4662</v>
      </c>
      <c r="D227" s="87" t="s">
        <v>4663</v>
      </c>
      <c r="E227" s="227" t="s">
        <v>4767</v>
      </c>
    </row>
    <row r="228">
      <c r="A228" s="84" t="s">
        <v>2406</v>
      </c>
      <c r="B228" s="90"/>
      <c r="C228" s="86" t="s">
        <v>4664</v>
      </c>
      <c r="D228" s="87" t="s">
        <v>3596</v>
      </c>
      <c r="E228" s="164" t="s">
        <v>3596</v>
      </c>
    </row>
    <row r="229">
      <c r="A229" s="84" t="s">
        <v>2411</v>
      </c>
      <c r="B229" s="90" t="s">
        <v>4666</v>
      </c>
      <c r="C229" s="86" t="s">
        <v>4667</v>
      </c>
      <c r="D229" s="87" t="s">
        <v>4668</v>
      </c>
      <c r="E229" s="82" t="s">
        <v>4783</v>
      </c>
    </row>
    <row r="230">
      <c r="A230" s="84" t="s">
        <v>2416</v>
      </c>
      <c r="B230" s="90"/>
      <c r="C230" s="86" t="s">
        <v>4670</v>
      </c>
      <c r="D230" s="87" t="s">
        <v>4658</v>
      </c>
      <c r="E230" s="217" t="s">
        <v>4771</v>
      </c>
    </row>
    <row r="231">
      <c r="A231" s="84" t="s">
        <v>4784</v>
      </c>
      <c r="B231" s="90"/>
      <c r="C231" s="86" t="s">
        <v>4672</v>
      </c>
      <c r="D231" s="87"/>
      <c r="E231" s="217" t="s">
        <v>4772</v>
      </c>
    </row>
    <row r="232">
      <c r="A232" s="84" t="s">
        <v>4785</v>
      </c>
      <c r="B232" s="90"/>
      <c r="C232" s="93" t="s">
        <v>4758</v>
      </c>
      <c r="D232" s="226"/>
      <c r="E232" s="227" t="s">
        <v>4786</v>
      </c>
    </row>
    <row r="233">
      <c r="A233" s="84" t="s">
        <v>1088</v>
      </c>
      <c r="B233" s="90"/>
      <c r="C233" s="194" t="s">
        <v>4620</v>
      </c>
      <c r="D233" s="164" t="s">
        <v>4674</v>
      </c>
      <c r="E233" s="227" t="s">
        <v>4767</v>
      </c>
    </row>
    <row r="234">
      <c r="A234" s="84" t="s">
        <v>1093</v>
      </c>
      <c r="B234" s="90"/>
      <c r="C234" s="194" t="s">
        <v>4623</v>
      </c>
      <c r="D234" s="164" t="s">
        <v>4626</v>
      </c>
      <c r="E234" s="227" t="s">
        <v>4767</v>
      </c>
    </row>
    <row r="235">
      <c r="A235" s="84" t="s">
        <v>1096</v>
      </c>
      <c r="B235" s="90"/>
      <c r="C235" s="194" t="s">
        <v>4625</v>
      </c>
      <c r="D235" s="164" t="s">
        <v>4626</v>
      </c>
      <c r="E235" s="227" t="s">
        <v>4767</v>
      </c>
    </row>
    <row r="236">
      <c r="A236" s="84" t="s">
        <v>1098</v>
      </c>
      <c r="B236" s="90"/>
      <c r="C236" s="93" t="s">
        <v>4627</v>
      </c>
      <c r="D236" s="164" t="s">
        <v>4626</v>
      </c>
      <c r="E236" s="227" t="s">
        <v>4767</v>
      </c>
    </row>
    <row r="237">
      <c r="A237" s="84" t="s">
        <v>1100</v>
      </c>
      <c r="B237" s="90"/>
      <c r="C237" s="194" t="s">
        <v>4787</v>
      </c>
      <c r="D237" s="164" t="s">
        <v>4626</v>
      </c>
      <c r="E237" s="227" t="s">
        <v>4767</v>
      </c>
    </row>
    <row r="238">
      <c r="A238" s="84" t="s">
        <v>1102</v>
      </c>
      <c r="B238" s="90"/>
      <c r="C238" s="93" t="s">
        <v>4788</v>
      </c>
      <c r="D238" s="164" t="s">
        <v>4626</v>
      </c>
      <c r="E238" s="227" t="s">
        <v>4767</v>
      </c>
    </row>
    <row r="239">
      <c r="A239" s="84" t="s">
        <v>2459</v>
      </c>
      <c r="B239" s="90"/>
      <c r="C239" s="93" t="s">
        <v>4789</v>
      </c>
      <c r="D239" s="164" t="s">
        <v>4663</v>
      </c>
      <c r="E239" s="227" t="s">
        <v>4767</v>
      </c>
    </row>
    <row r="240">
      <c r="A240" s="84" t="s">
        <v>2463</v>
      </c>
      <c r="B240" s="90" t="s">
        <v>4677</v>
      </c>
      <c r="C240" s="93" t="s">
        <v>4790</v>
      </c>
      <c r="D240" s="164" t="s">
        <v>4679</v>
      </c>
      <c r="E240" s="82" t="s">
        <v>4791</v>
      </c>
    </row>
    <row r="241">
      <c r="A241" s="84" t="s">
        <v>2467</v>
      </c>
      <c r="B241" s="90"/>
      <c r="C241" s="93" t="s">
        <v>4792</v>
      </c>
      <c r="D241" s="164" t="s">
        <v>4636</v>
      </c>
      <c r="E241" s="217" t="s">
        <v>4771</v>
      </c>
    </row>
    <row r="242">
      <c r="A242" s="84" t="s">
        <v>4188</v>
      </c>
      <c r="B242" s="90"/>
      <c r="C242" s="86" t="s">
        <v>4793</v>
      </c>
      <c r="D242" s="87"/>
      <c r="E242" s="217" t="s">
        <v>4772</v>
      </c>
    </row>
    <row r="243">
      <c r="A243" s="84" t="s">
        <v>2474</v>
      </c>
      <c r="B243" s="90"/>
      <c r="C243" s="219" t="s">
        <v>4683</v>
      </c>
      <c r="D243" s="220"/>
      <c r="E243" s="227" t="s">
        <v>4794</v>
      </c>
    </row>
    <row r="244">
      <c r="A244" s="84" t="s">
        <v>1105</v>
      </c>
      <c r="B244" s="90"/>
      <c r="C244" s="93" t="s">
        <v>4684</v>
      </c>
      <c r="D244" s="221" t="s">
        <v>4685</v>
      </c>
      <c r="E244" s="227" t="s">
        <v>4767</v>
      </c>
    </row>
    <row r="245">
      <c r="A245" s="84" t="s">
        <v>4795</v>
      </c>
      <c r="B245" s="90"/>
      <c r="C245" s="93" t="s">
        <v>4686</v>
      </c>
      <c r="D245" s="225" t="s">
        <v>4687</v>
      </c>
      <c r="E245" s="227" t="s">
        <v>4767</v>
      </c>
    </row>
    <row r="246">
      <c r="A246" s="84" t="s">
        <v>1112</v>
      </c>
      <c r="B246" s="90"/>
      <c r="C246" s="93" t="s">
        <v>4688</v>
      </c>
      <c r="D246" s="225" t="s">
        <v>4687</v>
      </c>
      <c r="E246" s="227" t="s">
        <v>4767</v>
      </c>
    </row>
    <row r="247">
      <c r="A247" s="84" t="s">
        <v>1115</v>
      </c>
      <c r="B247" s="90"/>
      <c r="C247" s="93" t="s">
        <v>4734</v>
      </c>
      <c r="D247" s="225" t="s">
        <v>4687</v>
      </c>
      <c r="E247" s="227" t="s">
        <v>4767</v>
      </c>
    </row>
    <row r="248">
      <c r="A248" s="84" t="s">
        <v>2494</v>
      </c>
      <c r="B248" s="90"/>
      <c r="C248" s="93" t="s">
        <v>4690</v>
      </c>
      <c r="D248" s="141" t="s">
        <v>4691</v>
      </c>
      <c r="E248" s="227" t="s">
        <v>4767</v>
      </c>
    </row>
    <row r="249">
      <c r="A249" s="84" t="s">
        <v>2498</v>
      </c>
      <c r="B249" s="90" t="s">
        <v>4692</v>
      </c>
      <c r="C249" s="219" t="s">
        <v>4693</v>
      </c>
      <c r="D249" s="225" t="s">
        <v>4692</v>
      </c>
      <c r="E249" s="123" t="s">
        <v>4796</v>
      </c>
    </row>
    <row r="250">
      <c r="A250" s="84" t="s">
        <v>2501</v>
      </c>
      <c r="B250" s="90"/>
      <c r="C250" s="219" t="s">
        <v>4694</v>
      </c>
      <c r="D250" s="221" t="s">
        <v>4658</v>
      </c>
      <c r="E250" s="217" t="s">
        <v>4771</v>
      </c>
    </row>
    <row r="251">
      <c r="A251" s="84" t="s">
        <v>4209</v>
      </c>
      <c r="B251" s="90"/>
      <c r="C251" s="219" t="s">
        <v>4638</v>
      </c>
      <c r="D251" s="222"/>
      <c r="E251" s="217" t="s">
        <v>4772</v>
      </c>
    </row>
    <row r="252">
      <c r="A252" s="84" t="s">
        <v>4797</v>
      </c>
      <c r="B252" s="90"/>
      <c r="C252" s="194" t="s">
        <v>4695</v>
      </c>
      <c r="D252" s="226"/>
      <c r="E252" s="227" t="s">
        <v>4798</v>
      </c>
    </row>
    <row r="253">
      <c r="A253" s="84" t="s">
        <v>1118</v>
      </c>
      <c r="B253" s="90"/>
      <c r="C253" s="194" t="s">
        <v>4620</v>
      </c>
      <c r="D253" s="164" t="s">
        <v>4696</v>
      </c>
      <c r="E253" s="227" t="s">
        <v>4767</v>
      </c>
    </row>
    <row r="254">
      <c r="A254" s="84" t="s">
        <v>1122</v>
      </c>
      <c r="B254" s="90"/>
      <c r="C254" s="194" t="s">
        <v>4623</v>
      </c>
      <c r="D254" s="164" t="s">
        <v>4687</v>
      </c>
      <c r="E254" s="227" t="s">
        <v>4767</v>
      </c>
    </row>
    <row r="255">
      <c r="A255" s="84" t="s">
        <v>1124</v>
      </c>
      <c r="B255" s="90"/>
      <c r="C255" s="93" t="s">
        <v>4675</v>
      </c>
      <c r="D255" s="164" t="s">
        <v>4687</v>
      </c>
      <c r="E255" s="227" t="s">
        <v>4767</v>
      </c>
    </row>
    <row r="256">
      <c r="A256" s="84" t="s">
        <v>1127</v>
      </c>
      <c r="B256" s="90"/>
      <c r="C256" s="93" t="s">
        <v>4627</v>
      </c>
      <c r="D256" s="164" t="s">
        <v>4687</v>
      </c>
      <c r="E256" s="227" t="s">
        <v>4767</v>
      </c>
    </row>
    <row r="257">
      <c r="A257" s="84" t="s">
        <v>2533</v>
      </c>
      <c r="B257" s="90"/>
      <c r="C257" s="93" t="s">
        <v>4697</v>
      </c>
      <c r="D257" s="164" t="s">
        <v>4698</v>
      </c>
      <c r="E257" s="227" t="s">
        <v>4768</v>
      </c>
    </row>
    <row r="258">
      <c r="A258" s="84" t="s">
        <v>2537</v>
      </c>
      <c r="B258" s="90" t="s">
        <v>4631</v>
      </c>
      <c r="C258" s="93" t="s">
        <v>4655</v>
      </c>
      <c r="D258" s="164" t="s">
        <v>4700</v>
      </c>
      <c r="E258" s="82" t="s">
        <v>4770</v>
      </c>
    </row>
    <row r="259">
      <c r="A259" s="84" t="s">
        <v>4799</v>
      </c>
      <c r="B259" s="90"/>
      <c r="C259" s="93" t="s">
        <v>4701</v>
      </c>
      <c r="D259" s="164" t="s">
        <v>4658</v>
      </c>
      <c r="E259" s="82" t="s">
        <v>4771</v>
      </c>
    </row>
    <row r="260">
      <c r="A260" s="84" t="s">
        <v>4800</v>
      </c>
      <c r="B260" s="90"/>
      <c r="C260" s="219" t="s">
        <v>4638</v>
      </c>
      <c r="D260" s="224"/>
      <c r="E260" s="82" t="s">
        <v>4772</v>
      </c>
    </row>
    <row r="261">
      <c r="A261" s="84" t="s">
        <v>4801</v>
      </c>
      <c r="B261" s="90"/>
      <c r="C261" s="86" t="s">
        <v>4703</v>
      </c>
      <c r="D261" s="87"/>
      <c r="E261" s="227" t="s">
        <v>4802</v>
      </c>
    </row>
    <row r="262">
      <c r="A262" s="84" t="s">
        <v>1130</v>
      </c>
      <c r="B262" s="90"/>
      <c r="C262" s="86" t="s">
        <v>4620</v>
      </c>
      <c r="D262" s="87" t="s">
        <v>4621</v>
      </c>
      <c r="E262" s="227" t="s">
        <v>4767</v>
      </c>
    </row>
    <row r="263">
      <c r="A263" s="84" t="s">
        <v>1134</v>
      </c>
      <c r="B263" s="90"/>
      <c r="C263" s="86" t="s">
        <v>4623</v>
      </c>
      <c r="D263" s="87" t="s">
        <v>4624</v>
      </c>
      <c r="E263" s="227" t="s">
        <v>4767</v>
      </c>
    </row>
    <row r="264">
      <c r="A264" s="84" t="s">
        <v>1136</v>
      </c>
      <c r="B264" s="90"/>
      <c r="C264" s="86" t="s">
        <v>4625</v>
      </c>
      <c r="D264" s="87" t="s">
        <v>4626</v>
      </c>
      <c r="E264" s="227" t="s">
        <v>4767</v>
      </c>
    </row>
    <row r="265">
      <c r="A265" s="84" t="s">
        <v>1137</v>
      </c>
      <c r="B265" s="90"/>
      <c r="C265" s="86" t="s">
        <v>4627</v>
      </c>
      <c r="D265" s="87" t="s">
        <v>4624</v>
      </c>
      <c r="E265" s="227" t="s">
        <v>4767</v>
      </c>
    </row>
    <row r="266">
      <c r="A266" s="84" t="s">
        <v>2567</v>
      </c>
      <c r="B266" s="90"/>
      <c r="C266" s="86" t="s">
        <v>4706</v>
      </c>
      <c r="D266" s="87" t="s">
        <v>4629</v>
      </c>
      <c r="E266" s="227" t="s">
        <v>4768</v>
      </c>
    </row>
    <row r="267">
      <c r="A267" s="84" t="s">
        <v>2569</v>
      </c>
      <c r="B267" s="90" t="s">
        <v>4631</v>
      </c>
      <c r="C267" s="86" t="s">
        <v>4708</v>
      </c>
      <c r="D267" s="87" t="s">
        <v>4633</v>
      </c>
      <c r="E267" s="82" t="s">
        <v>4770</v>
      </c>
    </row>
    <row r="268">
      <c r="A268" s="84" t="s">
        <v>2572</v>
      </c>
      <c r="B268" s="90"/>
      <c r="C268" s="86" t="s">
        <v>4635</v>
      </c>
      <c r="D268" s="164" t="s">
        <v>4636</v>
      </c>
      <c r="E268" s="82" t="s">
        <v>4771</v>
      </c>
    </row>
    <row r="269">
      <c r="A269" s="84" t="s">
        <v>4803</v>
      </c>
      <c r="B269" s="90"/>
      <c r="C269" s="194" t="s">
        <v>4638</v>
      </c>
      <c r="D269" s="226"/>
      <c r="E269" s="82" t="s">
        <v>4772</v>
      </c>
    </row>
    <row r="270">
      <c r="A270" s="84" t="s">
        <v>4804</v>
      </c>
      <c r="B270" s="90"/>
      <c r="C270" s="86" t="s">
        <v>4640</v>
      </c>
      <c r="D270" s="87"/>
      <c r="E270" s="227" t="s">
        <v>4805</v>
      </c>
    </row>
    <row r="271">
      <c r="A271" s="84" t="s">
        <v>1139</v>
      </c>
      <c r="B271" s="90"/>
      <c r="C271" s="86" t="s">
        <v>4620</v>
      </c>
      <c r="D271" s="87" t="s">
        <v>4641</v>
      </c>
      <c r="E271" s="227" t="s">
        <v>4767</v>
      </c>
    </row>
    <row r="272">
      <c r="A272" s="84" t="s">
        <v>1144</v>
      </c>
      <c r="B272" s="90"/>
      <c r="C272" s="86" t="s">
        <v>4623</v>
      </c>
      <c r="D272" s="87" t="s">
        <v>4642</v>
      </c>
      <c r="E272" s="227" t="s">
        <v>4767</v>
      </c>
    </row>
    <row r="273">
      <c r="A273" s="84" t="s">
        <v>1145</v>
      </c>
      <c r="B273" s="90"/>
      <c r="C273" s="86" t="s">
        <v>4625</v>
      </c>
      <c r="D273" s="87" t="s">
        <v>4642</v>
      </c>
      <c r="E273" s="227" t="s">
        <v>4767</v>
      </c>
    </row>
    <row r="274">
      <c r="A274" s="84" t="s">
        <v>1146</v>
      </c>
      <c r="B274" s="90"/>
      <c r="C274" s="86" t="s">
        <v>4627</v>
      </c>
      <c r="D274" s="87" t="s">
        <v>4643</v>
      </c>
      <c r="E274" s="227" t="s">
        <v>4767</v>
      </c>
    </row>
    <row r="275">
      <c r="A275" s="84" t="s">
        <v>2594</v>
      </c>
      <c r="B275" s="90"/>
      <c r="C275" s="86" t="s">
        <v>4644</v>
      </c>
      <c r="D275" s="87" t="s">
        <v>4645</v>
      </c>
      <c r="E275" s="227" t="s">
        <v>4768</v>
      </c>
    </row>
    <row r="276">
      <c r="A276" s="84" t="s">
        <v>2596</v>
      </c>
      <c r="B276" s="90" t="s">
        <v>4646</v>
      </c>
      <c r="C276" s="86" t="s">
        <v>4647</v>
      </c>
      <c r="D276" s="87" t="s">
        <v>4648</v>
      </c>
      <c r="E276" s="82" t="s">
        <v>4774</v>
      </c>
    </row>
    <row r="277">
      <c r="A277" s="84" t="s">
        <v>2599</v>
      </c>
      <c r="B277" s="90"/>
      <c r="C277" s="86" t="s">
        <v>4751</v>
      </c>
      <c r="D277" s="87" t="s">
        <v>4636</v>
      </c>
      <c r="E277" s="82" t="s">
        <v>4771</v>
      </c>
    </row>
    <row r="278">
      <c r="A278" s="84" t="s">
        <v>4270</v>
      </c>
      <c r="B278" s="90"/>
      <c r="C278" s="86" t="s">
        <v>4638</v>
      </c>
      <c r="D278" s="87"/>
      <c r="E278" s="82" t="s">
        <v>4772</v>
      </c>
    </row>
    <row r="279">
      <c r="A279" s="84" t="s">
        <v>4806</v>
      </c>
      <c r="B279" s="90"/>
      <c r="C279" s="86" t="s">
        <v>4807</v>
      </c>
      <c r="D279" s="87"/>
      <c r="E279" s="227" t="s">
        <v>4808</v>
      </c>
    </row>
    <row r="280">
      <c r="A280" s="84" t="s">
        <v>4809</v>
      </c>
      <c r="B280" s="90"/>
      <c r="C280" s="86" t="s">
        <v>4620</v>
      </c>
      <c r="D280" s="87" t="s">
        <v>4652</v>
      </c>
      <c r="E280" s="227" t="s">
        <v>4767</v>
      </c>
    </row>
    <row r="281">
      <c r="A281" s="84" t="s">
        <v>1152</v>
      </c>
      <c r="B281" s="90"/>
      <c r="C281" s="86" t="s">
        <v>4623</v>
      </c>
      <c r="D281" s="87" t="s">
        <v>4626</v>
      </c>
      <c r="E281" s="227" t="s">
        <v>4767</v>
      </c>
    </row>
    <row r="282">
      <c r="A282" s="84" t="s">
        <v>1153</v>
      </c>
      <c r="B282" s="90"/>
      <c r="C282" s="86" t="s">
        <v>4625</v>
      </c>
      <c r="D282" s="87" t="s">
        <v>4626</v>
      </c>
      <c r="E282" s="227" t="s">
        <v>4767</v>
      </c>
    </row>
    <row r="283">
      <c r="A283" s="84" t="s">
        <v>4810</v>
      </c>
      <c r="B283" s="90"/>
      <c r="C283" s="86" t="s">
        <v>4627</v>
      </c>
      <c r="D283" s="87" t="s">
        <v>4626</v>
      </c>
      <c r="E283" s="227" t="s">
        <v>4767</v>
      </c>
    </row>
    <row r="284">
      <c r="A284" s="84" t="s">
        <v>2628</v>
      </c>
      <c r="B284" s="90"/>
      <c r="C284" s="86" t="s">
        <v>4653</v>
      </c>
      <c r="D284" s="87" t="s">
        <v>4654</v>
      </c>
      <c r="E284" s="227" t="s">
        <v>4768</v>
      </c>
    </row>
    <row r="285">
      <c r="A285" s="84" t="s">
        <v>2633</v>
      </c>
      <c r="B285" s="90" t="s">
        <v>4631</v>
      </c>
      <c r="C285" s="86" t="s">
        <v>4699</v>
      </c>
      <c r="D285" s="87" t="s">
        <v>4656</v>
      </c>
      <c r="E285" s="82" t="s">
        <v>4770</v>
      </c>
    </row>
    <row r="286">
      <c r="A286" s="84" t="s">
        <v>2636</v>
      </c>
      <c r="B286" s="90"/>
      <c r="C286" s="86" t="s">
        <v>4657</v>
      </c>
      <c r="D286" s="87" t="s">
        <v>4658</v>
      </c>
      <c r="E286" s="82" t="s">
        <v>4771</v>
      </c>
    </row>
    <row r="287">
      <c r="A287" s="84" t="s">
        <v>4290</v>
      </c>
      <c r="B287" s="90"/>
      <c r="C287" s="86" t="s">
        <v>4638</v>
      </c>
      <c r="D287" s="87"/>
      <c r="E287" s="82" t="s">
        <v>4772</v>
      </c>
    </row>
    <row r="288">
      <c r="A288" s="84" t="s">
        <v>4811</v>
      </c>
      <c r="B288" s="90"/>
      <c r="C288" s="86" t="s">
        <v>4812</v>
      </c>
      <c r="D288" s="87"/>
      <c r="E288" s="82" t="s">
        <v>4772</v>
      </c>
    </row>
    <row r="289">
      <c r="A289" s="84" t="s">
        <v>1157</v>
      </c>
      <c r="B289" s="90"/>
      <c r="C289" s="86" t="s">
        <v>4620</v>
      </c>
      <c r="D289" s="87" t="s">
        <v>4660</v>
      </c>
      <c r="E289" s="227" t="s">
        <v>4813</v>
      </c>
    </row>
    <row r="290">
      <c r="A290" s="84" t="s">
        <v>1161</v>
      </c>
      <c r="B290" s="90"/>
      <c r="C290" s="86" t="s">
        <v>4623</v>
      </c>
      <c r="D290" s="87" t="s">
        <v>4661</v>
      </c>
      <c r="E290" s="227" t="s">
        <v>4767</v>
      </c>
    </row>
    <row r="291">
      <c r="A291" s="84" t="s">
        <v>4814</v>
      </c>
      <c r="B291" s="90"/>
      <c r="C291" s="86" t="s">
        <v>4625</v>
      </c>
      <c r="D291" s="87" t="s">
        <v>4661</v>
      </c>
      <c r="E291" s="227" t="s">
        <v>4767</v>
      </c>
    </row>
    <row r="292">
      <c r="A292" s="84" t="s">
        <v>1163</v>
      </c>
      <c r="B292" s="90"/>
      <c r="C292" s="86" t="s">
        <v>4627</v>
      </c>
      <c r="D292" s="87" t="s">
        <v>4661</v>
      </c>
      <c r="E292" s="227" t="s">
        <v>4767</v>
      </c>
    </row>
    <row r="293">
      <c r="A293" s="84" t="s">
        <v>2658</v>
      </c>
      <c r="B293" s="90"/>
      <c r="C293" s="86" t="s">
        <v>4662</v>
      </c>
      <c r="D293" s="87" t="s">
        <v>4663</v>
      </c>
      <c r="E293" s="227" t="s">
        <v>4767</v>
      </c>
    </row>
    <row r="294">
      <c r="A294" s="84" t="s">
        <v>2663</v>
      </c>
      <c r="B294" s="90"/>
      <c r="C294" s="86" t="s">
        <v>4664</v>
      </c>
      <c r="D294" s="164" t="s">
        <v>3596</v>
      </c>
      <c r="E294" s="164" t="s">
        <v>3596</v>
      </c>
    </row>
    <row r="295">
      <c r="A295" s="84" t="s">
        <v>2668</v>
      </c>
      <c r="B295" s="90"/>
      <c r="C295" s="86" t="s">
        <v>4667</v>
      </c>
      <c r="D295" s="87" t="s">
        <v>4668</v>
      </c>
      <c r="E295" s="82" t="s">
        <v>4783</v>
      </c>
    </row>
    <row r="296">
      <c r="A296" s="84" t="s">
        <v>2671</v>
      </c>
      <c r="B296" s="90"/>
      <c r="C296" s="86" t="s">
        <v>4670</v>
      </c>
      <c r="D296" s="87" t="s">
        <v>4658</v>
      </c>
      <c r="E296" s="217" t="s">
        <v>4771</v>
      </c>
    </row>
    <row r="297">
      <c r="A297" s="84" t="s">
        <v>4815</v>
      </c>
      <c r="B297" s="90"/>
      <c r="C297" s="86" t="s">
        <v>4672</v>
      </c>
      <c r="D297" s="87"/>
      <c r="E297" s="217" t="s">
        <v>4772</v>
      </c>
    </row>
    <row r="298">
      <c r="A298" s="84" t="s">
        <v>4816</v>
      </c>
      <c r="B298" s="90"/>
      <c r="C298" s="93" t="s">
        <v>4758</v>
      </c>
      <c r="D298" s="226"/>
      <c r="E298" s="227" t="s">
        <v>4817</v>
      </c>
    </row>
    <row r="299">
      <c r="A299" s="84" t="s">
        <v>1165</v>
      </c>
      <c r="B299" s="90"/>
      <c r="C299" s="194" t="s">
        <v>4620</v>
      </c>
      <c r="D299" s="164" t="s">
        <v>4674</v>
      </c>
      <c r="E299" s="227" t="s">
        <v>4767</v>
      </c>
    </row>
    <row r="300">
      <c r="A300" s="84" t="s">
        <v>1169</v>
      </c>
      <c r="B300" s="90"/>
      <c r="C300" s="194" t="s">
        <v>4623</v>
      </c>
      <c r="D300" s="164" t="s">
        <v>4626</v>
      </c>
      <c r="E300" s="227" t="s">
        <v>4767</v>
      </c>
    </row>
    <row r="301">
      <c r="A301" s="84" t="s">
        <v>1171</v>
      </c>
      <c r="B301" s="90"/>
      <c r="C301" s="194" t="s">
        <v>4625</v>
      </c>
      <c r="D301" s="164" t="s">
        <v>4626</v>
      </c>
      <c r="E301" s="227" t="s">
        <v>4767</v>
      </c>
    </row>
    <row r="302">
      <c r="A302" s="84" t="s">
        <v>1173</v>
      </c>
      <c r="B302" s="90"/>
      <c r="C302" s="93" t="s">
        <v>4627</v>
      </c>
      <c r="D302" s="164" t="s">
        <v>4626</v>
      </c>
      <c r="E302" s="227" t="s">
        <v>4767</v>
      </c>
    </row>
    <row r="303">
      <c r="A303" s="84" t="s">
        <v>1174</v>
      </c>
      <c r="B303" s="90"/>
      <c r="C303" s="194" t="s">
        <v>4787</v>
      </c>
      <c r="D303" s="164" t="s">
        <v>4626</v>
      </c>
      <c r="E303" s="227" t="s">
        <v>4767</v>
      </c>
    </row>
    <row r="304">
      <c r="A304" s="84" t="s">
        <v>1175</v>
      </c>
      <c r="B304" s="90"/>
      <c r="C304" s="93" t="s">
        <v>4788</v>
      </c>
      <c r="D304" s="164" t="s">
        <v>4626</v>
      </c>
      <c r="E304" s="227" t="s">
        <v>4767</v>
      </c>
    </row>
    <row r="305">
      <c r="A305" s="84" t="s">
        <v>2703</v>
      </c>
      <c r="B305" s="90"/>
      <c r="C305" s="93" t="s">
        <v>4789</v>
      </c>
      <c r="D305" s="164" t="s">
        <v>4663</v>
      </c>
      <c r="E305" s="227" t="s">
        <v>4767</v>
      </c>
    </row>
    <row r="306">
      <c r="A306" s="84" t="s">
        <v>2706</v>
      </c>
      <c r="B306" s="90" t="s">
        <v>4677</v>
      </c>
      <c r="C306" s="93" t="s">
        <v>4790</v>
      </c>
      <c r="D306" s="164" t="s">
        <v>4679</v>
      </c>
      <c r="E306" s="82" t="s">
        <v>4791</v>
      </c>
    </row>
    <row r="307">
      <c r="A307" s="84" t="s">
        <v>4818</v>
      </c>
      <c r="B307" s="90"/>
      <c r="C307" s="93" t="s">
        <v>4792</v>
      </c>
      <c r="D307" s="164" t="s">
        <v>4636</v>
      </c>
      <c r="E307" s="217" t="s">
        <v>4771</v>
      </c>
    </row>
    <row r="308">
      <c r="A308" s="84" t="s">
        <v>4819</v>
      </c>
      <c r="B308" s="90"/>
      <c r="C308" s="86" t="s">
        <v>4793</v>
      </c>
      <c r="D308" s="87"/>
      <c r="E308" s="217" t="s">
        <v>4772</v>
      </c>
    </row>
    <row r="309">
      <c r="A309" s="84" t="s">
        <v>4820</v>
      </c>
      <c r="B309" s="90"/>
      <c r="C309" s="219" t="s">
        <v>4683</v>
      </c>
      <c r="D309" s="220"/>
      <c r="E309" s="227" t="s">
        <v>4821</v>
      </c>
    </row>
    <row r="310">
      <c r="A310" s="84" t="s">
        <v>1179</v>
      </c>
      <c r="B310" s="90"/>
      <c r="C310" s="93" t="s">
        <v>4684</v>
      </c>
      <c r="D310" s="221" t="s">
        <v>4685</v>
      </c>
      <c r="E310" s="227" t="s">
        <v>4767</v>
      </c>
    </row>
    <row r="311">
      <c r="A311" s="84" t="s">
        <v>1183</v>
      </c>
      <c r="B311" s="90"/>
      <c r="C311" s="93" t="s">
        <v>4686</v>
      </c>
      <c r="D311" s="225" t="s">
        <v>4687</v>
      </c>
      <c r="E311" s="227" t="s">
        <v>4767</v>
      </c>
    </row>
    <row r="312">
      <c r="A312" s="84" t="s">
        <v>1184</v>
      </c>
      <c r="B312" s="90"/>
      <c r="C312" s="93" t="s">
        <v>4688</v>
      </c>
      <c r="D312" s="225" t="s">
        <v>4687</v>
      </c>
      <c r="E312" s="227" t="s">
        <v>4767</v>
      </c>
    </row>
    <row r="313">
      <c r="A313" s="84" t="s">
        <v>1185</v>
      </c>
      <c r="B313" s="90"/>
      <c r="C313" s="93" t="s">
        <v>4734</v>
      </c>
      <c r="D313" s="225" t="s">
        <v>4687</v>
      </c>
      <c r="E313" s="227" t="s">
        <v>4767</v>
      </c>
    </row>
    <row r="314">
      <c r="A314" s="84" t="s">
        <v>4822</v>
      </c>
      <c r="B314" s="90"/>
      <c r="C314" s="93" t="s">
        <v>4690</v>
      </c>
      <c r="D314" s="141" t="s">
        <v>4691</v>
      </c>
      <c r="E314" s="227" t="s">
        <v>4767</v>
      </c>
    </row>
    <row r="315">
      <c r="A315" s="84" t="s">
        <v>2735</v>
      </c>
      <c r="B315" s="90" t="s">
        <v>4692</v>
      </c>
      <c r="C315" s="219" t="s">
        <v>4693</v>
      </c>
      <c r="D315" s="225" t="s">
        <v>4692</v>
      </c>
      <c r="E315" s="123" t="s">
        <v>4796</v>
      </c>
    </row>
    <row r="316">
      <c r="A316" s="84" t="s">
        <v>2737</v>
      </c>
      <c r="B316" s="90"/>
      <c r="C316" s="219" t="s">
        <v>4694</v>
      </c>
      <c r="D316" s="221" t="s">
        <v>4658</v>
      </c>
      <c r="E316" s="217" t="s">
        <v>4771</v>
      </c>
    </row>
    <row r="317">
      <c r="A317" s="84" t="s">
        <v>4343</v>
      </c>
      <c r="B317" s="90"/>
      <c r="C317" s="219" t="s">
        <v>4638</v>
      </c>
      <c r="D317" s="224"/>
      <c r="E317" s="217" t="s">
        <v>4772</v>
      </c>
    </row>
    <row r="318">
      <c r="A318" s="84" t="s">
        <v>4823</v>
      </c>
      <c r="B318" s="90"/>
      <c r="C318" s="194" t="s">
        <v>4695</v>
      </c>
      <c r="D318" s="226"/>
      <c r="E318" s="227" t="s">
        <v>4824</v>
      </c>
    </row>
    <row r="319">
      <c r="A319" s="84" t="s">
        <v>1187</v>
      </c>
      <c r="B319" s="90"/>
      <c r="C319" s="194" t="s">
        <v>4620</v>
      </c>
      <c r="D319" s="164" t="s">
        <v>4696</v>
      </c>
      <c r="E319" s="227" t="s">
        <v>4767</v>
      </c>
    </row>
    <row r="320">
      <c r="A320" s="84" t="s">
        <v>2750</v>
      </c>
      <c r="B320" s="90"/>
      <c r="C320" s="194" t="s">
        <v>4623</v>
      </c>
      <c r="D320" s="164" t="s">
        <v>4687</v>
      </c>
      <c r="E320" s="227" t="s">
        <v>4767</v>
      </c>
    </row>
    <row r="321">
      <c r="A321" s="84" t="s">
        <v>1191</v>
      </c>
      <c r="B321" s="90"/>
      <c r="C321" s="93" t="s">
        <v>4675</v>
      </c>
      <c r="D321" s="164" t="s">
        <v>4687</v>
      </c>
      <c r="E321" s="227" t="s">
        <v>4767</v>
      </c>
    </row>
    <row r="322">
      <c r="A322" s="84" t="s">
        <v>2757</v>
      </c>
      <c r="B322" s="90"/>
      <c r="C322" s="93" t="s">
        <v>4737</v>
      </c>
      <c r="D322" s="164" t="s">
        <v>4698</v>
      </c>
      <c r="E322" s="217" t="s">
        <v>4768</v>
      </c>
    </row>
    <row r="323">
      <c r="A323" s="84" t="s">
        <v>2761</v>
      </c>
      <c r="B323" s="90" t="s">
        <v>4631</v>
      </c>
      <c r="C323" s="93" t="s">
        <v>4738</v>
      </c>
      <c r="D323" s="164" t="s">
        <v>4700</v>
      </c>
      <c r="E323" s="217" t="s">
        <v>4770</v>
      </c>
    </row>
    <row r="324">
      <c r="A324" s="84" t="s">
        <v>2765</v>
      </c>
      <c r="B324" s="90"/>
      <c r="C324" s="93" t="s">
        <v>4701</v>
      </c>
      <c r="D324" s="164" t="s">
        <v>4658</v>
      </c>
      <c r="E324" s="217" t="s">
        <v>4771</v>
      </c>
    </row>
    <row r="325">
      <c r="A325" s="84" t="s">
        <v>4364</v>
      </c>
      <c r="B325" s="90"/>
      <c r="C325" s="93" t="s">
        <v>4682</v>
      </c>
      <c r="D325" s="226"/>
      <c r="E325" s="217" t="s">
        <v>4772</v>
      </c>
    </row>
    <row r="326">
      <c r="A326" s="84" t="s">
        <v>2771</v>
      </c>
      <c r="B326" s="90"/>
      <c r="C326" s="86" t="s">
        <v>4703</v>
      </c>
      <c r="D326" s="87"/>
      <c r="E326" s="227" t="s">
        <v>4825</v>
      </c>
    </row>
    <row r="327">
      <c r="A327" s="84" t="s">
        <v>1193</v>
      </c>
      <c r="B327" s="90"/>
      <c r="C327" s="86" t="s">
        <v>4620</v>
      </c>
      <c r="D327" s="87" t="s">
        <v>4621</v>
      </c>
      <c r="E327" s="227" t="s">
        <v>4826</v>
      </c>
    </row>
    <row r="328">
      <c r="A328" s="84" t="s">
        <v>1198</v>
      </c>
      <c r="B328" s="90"/>
      <c r="C328" s="86" t="s">
        <v>4623</v>
      </c>
      <c r="D328" s="87" t="s">
        <v>4624</v>
      </c>
      <c r="E328" s="227" t="s">
        <v>4827</v>
      </c>
    </row>
    <row r="329">
      <c r="A329" s="84" t="s">
        <v>1200</v>
      </c>
      <c r="B329" s="90"/>
      <c r="C329" s="86" t="s">
        <v>4625</v>
      </c>
      <c r="D329" s="87" t="s">
        <v>4626</v>
      </c>
      <c r="E329" s="227" t="s">
        <v>4828</v>
      </c>
    </row>
    <row r="330">
      <c r="A330" s="84" t="s">
        <v>4829</v>
      </c>
      <c r="B330" s="90"/>
      <c r="C330" s="86" t="s">
        <v>4627</v>
      </c>
      <c r="D330" s="87" t="s">
        <v>4624</v>
      </c>
      <c r="E330" s="227" t="s">
        <v>4830</v>
      </c>
    </row>
    <row r="331">
      <c r="A331" s="84" t="s">
        <v>2793</v>
      </c>
      <c r="B331" s="90"/>
      <c r="C331" s="86" t="s">
        <v>4706</v>
      </c>
      <c r="D331" s="87" t="s">
        <v>4629</v>
      </c>
      <c r="E331" s="227" t="s">
        <v>4831</v>
      </c>
    </row>
    <row r="332">
      <c r="A332" s="84" t="s">
        <v>2797</v>
      </c>
      <c r="B332" s="90" t="s">
        <v>4631</v>
      </c>
      <c r="C332" s="86" t="s">
        <v>4708</v>
      </c>
      <c r="D332" s="87" t="s">
        <v>4633</v>
      </c>
      <c r="E332" s="82" t="s">
        <v>4832</v>
      </c>
    </row>
    <row r="333">
      <c r="A333" s="84" t="s">
        <v>2800</v>
      </c>
      <c r="B333" s="90"/>
      <c r="C333" s="86" t="s">
        <v>4635</v>
      </c>
      <c r="D333" s="164" t="s">
        <v>4636</v>
      </c>
      <c r="E333" s="82" t="s">
        <v>4833</v>
      </c>
    </row>
    <row r="334">
      <c r="A334" s="84" t="s">
        <v>4382</v>
      </c>
      <c r="B334" s="90"/>
      <c r="C334" s="194" t="s">
        <v>4638</v>
      </c>
      <c r="D334" s="226"/>
      <c r="E334" s="82" t="s">
        <v>4834</v>
      </c>
    </row>
    <row r="335">
      <c r="A335" s="84" t="s">
        <v>4835</v>
      </c>
      <c r="B335" s="90"/>
      <c r="C335" s="86" t="s">
        <v>4703</v>
      </c>
      <c r="D335" s="87"/>
      <c r="E335" s="227" t="s">
        <v>4825</v>
      </c>
    </row>
    <row r="336">
      <c r="A336" s="84" t="s">
        <v>1205</v>
      </c>
      <c r="B336" s="90"/>
      <c r="C336" s="86" t="s">
        <v>4620</v>
      </c>
      <c r="D336" s="87" t="s">
        <v>4641</v>
      </c>
      <c r="E336" s="227" t="s">
        <v>4836</v>
      </c>
    </row>
    <row r="337">
      <c r="A337" s="84" t="s">
        <v>1210</v>
      </c>
      <c r="B337" s="90"/>
      <c r="C337" s="86" t="s">
        <v>4623</v>
      </c>
      <c r="D337" s="87" t="s">
        <v>4642</v>
      </c>
      <c r="E337" s="227" t="s">
        <v>4837</v>
      </c>
    </row>
    <row r="338">
      <c r="A338" s="84" t="s">
        <v>1212</v>
      </c>
      <c r="B338" s="90"/>
      <c r="C338" s="86" t="s">
        <v>4625</v>
      </c>
      <c r="D338" s="87" t="s">
        <v>4642</v>
      </c>
      <c r="E338" s="227" t="s">
        <v>4838</v>
      </c>
    </row>
    <row r="339">
      <c r="A339" s="84" t="s">
        <v>1214</v>
      </c>
      <c r="B339" s="90"/>
      <c r="C339" s="86" t="s">
        <v>4627</v>
      </c>
      <c r="D339" s="87" t="s">
        <v>4643</v>
      </c>
      <c r="E339" s="227" t="s">
        <v>4839</v>
      </c>
    </row>
    <row r="340">
      <c r="A340" s="84" t="s">
        <v>2827</v>
      </c>
      <c r="B340" s="90"/>
      <c r="C340" s="86" t="s">
        <v>4644</v>
      </c>
      <c r="D340" s="87" t="s">
        <v>4645</v>
      </c>
      <c r="E340" s="227" t="s">
        <v>4831</v>
      </c>
    </row>
    <row r="341">
      <c r="A341" s="84" t="s">
        <v>2830</v>
      </c>
      <c r="B341" s="90" t="s">
        <v>4646</v>
      </c>
      <c r="C341" s="86" t="s">
        <v>4647</v>
      </c>
      <c r="D341" s="87" t="s">
        <v>4648</v>
      </c>
      <c r="E341" s="82" t="s">
        <v>4840</v>
      </c>
    </row>
    <row r="342">
      <c r="A342" s="84" t="s">
        <v>2832</v>
      </c>
      <c r="B342" s="90"/>
      <c r="C342" s="86" t="s">
        <v>4841</v>
      </c>
      <c r="D342" s="87" t="s">
        <v>4636</v>
      </c>
      <c r="E342" s="82" t="s">
        <v>4833</v>
      </c>
    </row>
    <row r="343">
      <c r="A343" s="84" t="s">
        <v>4399</v>
      </c>
      <c r="B343" s="90"/>
      <c r="C343" s="86" t="s">
        <v>4638</v>
      </c>
      <c r="D343" s="87"/>
      <c r="E343" s="82" t="s">
        <v>4834</v>
      </c>
    </row>
    <row r="344">
      <c r="A344" s="84" t="s">
        <v>4842</v>
      </c>
      <c r="B344" s="90"/>
      <c r="C344" s="86" t="s">
        <v>4703</v>
      </c>
      <c r="D344" s="87"/>
      <c r="E344" s="227" t="s">
        <v>4825</v>
      </c>
    </row>
    <row r="345">
      <c r="A345" s="84" t="s">
        <v>1217</v>
      </c>
      <c r="B345" s="90"/>
      <c r="C345" s="86" t="s">
        <v>4620</v>
      </c>
      <c r="D345" s="87" t="s">
        <v>4652</v>
      </c>
      <c r="E345" s="227" t="s">
        <v>4843</v>
      </c>
    </row>
    <row r="346">
      <c r="A346" s="84" t="s">
        <v>1221</v>
      </c>
      <c r="B346" s="90"/>
      <c r="C346" s="86" t="s">
        <v>4623</v>
      </c>
      <c r="D346" s="87" t="s">
        <v>4626</v>
      </c>
      <c r="E346" s="227" t="s">
        <v>4844</v>
      </c>
    </row>
    <row r="347">
      <c r="A347" s="84" t="s">
        <v>1224</v>
      </c>
      <c r="B347" s="90"/>
      <c r="C347" s="86" t="s">
        <v>4625</v>
      </c>
      <c r="D347" s="87" t="s">
        <v>4626</v>
      </c>
      <c r="E347" s="227" t="s">
        <v>4845</v>
      </c>
    </row>
    <row r="348">
      <c r="A348" s="84" t="s">
        <v>1226</v>
      </c>
      <c r="B348" s="90"/>
      <c r="C348" s="86" t="s">
        <v>4627</v>
      </c>
      <c r="D348" s="87" t="s">
        <v>4626</v>
      </c>
      <c r="E348" s="227" t="s">
        <v>4846</v>
      </c>
    </row>
    <row r="349">
      <c r="A349" s="84" t="s">
        <v>2862</v>
      </c>
      <c r="B349" s="90"/>
      <c r="C349" s="86" t="s">
        <v>4653</v>
      </c>
      <c r="D349" s="87" t="s">
        <v>4654</v>
      </c>
      <c r="E349" s="227" t="s">
        <v>4831</v>
      </c>
    </row>
    <row r="350">
      <c r="A350" s="84" t="s">
        <v>2866</v>
      </c>
      <c r="B350" s="90" t="s">
        <v>4631</v>
      </c>
      <c r="C350" s="86" t="s">
        <v>4699</v>
      </c>
      <c r="D350" s="87" t="s">
        <v>4656</v>
      </c>
      <c r="E350" s="82" t="s">
        <v>4832</v>
      </c>
    </row>
    <row r="351">
      <c r="A351" s="84" t="s">
        <v>2870</v>
      </c>
      <c r="B351" s="90"/>
      <c r="C351" s="86" t="s">
        <v>4657</v>
      </c>
      <c r="D351" s="87" t="s">
        <v>4658</v>
      </c>
      <c r="E351" s="82" t="s">
        <v>4833</v>
      </c>
    </row>
    <row r="352">
      <c r="A352" s="84" t="s">
        <v>4415</v>
      </c>
      <c r="B352" s="90"/>
      <c r="C352" s="86" t="s">
        <v>4638</v>
      </c>
      <c r="D352" s="87"/>
      <c r="E352" s="82" t="s">
        <v>4834</v>
      </c>
    </row>
    <row r="353">
      <c r="A353" s="84" t="s">
        <v>4847</v>
      </c>
      <c r="B353" s="90"/>
      <c r="C353" s="86" t="s">
        <v>4640</v>
      </c>
      <c r="D353" s="87"/>
      <c r="E353" s="227" t="s">
        <v>4825</v>
      </c>
    </row>
    <row r="354">
      <c r="A354" s="84" t="s">
        <v>1228</v>
      </c>
      <c r="B354" s="90"/>
      <c r="C354" s="86" t="s">
        <v>4620</v>
      </c>
      <c r="D354" s="87" t="s">
        <v>4660</v>
      </c>
      <c r="E354" s="227" t="s">
        <v>4848</v>
      </c>
    </row>
    <row r="355">
      <c r="A355" s="84" t="s">
        <v>1232</v>
      </c>
      <c r="B355" s="90"/>
      <c r="C355" s="86" t="s">
        <v>4623</v>
      </c>
      <c r="D355" s="87" t="s">
        <v>4661</v>
      </c>
      <c r="E355" s="227" t="s">
        <v>4849</v>
      </c>
    </row>
    <row r="356">
      <c r="A356" s="84" t="s">
        <v>1234</v>
      </c>
      <c r="B356" s="90"/>
      <c r="C356" s="86" t="s">
        <v>4625</v>
      </c>
      <c r="D356" s="87" t="s">
        <v>4661</v>
      </c>
      <c r="E356" s="227" t="s">
        <v>4850</v>
      </c>
    </row>
    <row r="357">
      <c r="A357" s="84" t="s">
        <v>1237</v>
      </c>
      <c r="B357" s="90"/>
      <c r="C357" s="86" t="s">
        <v>4627</v>
      </c>
      <c r="D357" s="87" t="s">
        <v>4661</v>
      </c>
      <c r="E357" s="227" t="s">
        <v>4851</v>
      </c>
    </row>
    <row r="358">
      <c r="A358" s="84" t="s">
        <v>2894</v>
      </c>
      <c r="B358" s="90"/>
      <c r="C358" s="86" t="s">
        <v>4662</v>
      </c>
      <c r="D358" s="87" t="s">
        <v>4663</v>
      </c>
      <c r="E358" s="227" t="s">
        <v>4831</v>
      </c>
    </row>
    <row r="359">
      <c r="A359" s="84" t="s">
        <v>2899</v>
      </c>
      <c r="B359" s="90"/>
      <c r="C359" s="86" t="s">
        <v>4664</v>
      </c>
      <c r="D359" s="87" t="s">
        <v>3596</v>
      </c>
      <c r="E359" s="164" t="s">
        <v>3596</v>
      </c>
    </row>
    <row r="360">
      <c r="A360" s="84" t="s">
        <v>2903</v>
      </c>
      <c r="B360" s="90" t="s">
        <v>4666</v>
      </c>
      <c r="C360" s="86" t="s">
        <v>4667</v>
      </c>
      <c r="D360" s="87" t="s">
        <v>4668</v>
      </c>
      <c r="E360" s="217" t="s">
        <v>4832</v>
      </c>
    </row>
    <row r="361">
      <c r="A361" s="84" t="s">
        <v>2907</v>
      </c>
      <c r="B361" s="90"/>
      <c r="C361" s="86" t="s">
        <v>4670</v>
      </c>
      <c r="D361" s="87" t="s">
        <v>4658</v>
      </c>
      <c r="E361" s="217" t="s">
        <v>4833</v>
      </c>
    </row>
    <row r="362">
      <c r="A362" s="84" t="s">
        <v>4852</v>
      </c>
      <c r="B362" s="90"/>
      <c r="C362" s="86" t="s">
        <v>4672</v>
      </c>
      <c r="D362" s="87"/>
      <c r="E362" s="217" t="s">
        <v>4834</v>
      </c>
    </row>
    <row r="363">
      <c r="A363" s="84" t="s">
        <v>4853</v>
      </c>
      <c r="B363" s="90"/>
      <c r="C363" s="194" t="s">
        <v>4758</v>
      </c>
      <c r="D363" s="226"/>
      <c r="E363" s="227" t="s">
        <v>4825</v>
      </c>
    </row>
    <row r="364">
      <c r="A364" s="84" t="s">
        <v>4854</v>
      </c>
      <c r="B364" s="90"/>
      <c r="C364" s="194" t="s">
        <v>4620</v>
      </c>
      <c r="D364" s="164" t="s">
        <v>4674</v>
      </c>
      <c r="E364" s="227" t="s">
        <v>4855</v>
      </c>
    </row>
    <row r="365">
      <c r="A365" s="84" t="s">
        <v>1244</v>
      </c>
      <c r="B365" s="90"/>
      <c r="C365" s="194" t="s">
        <v>4623</v>
      </c>
      <c r="D365" s="164" t="s">
        <v>4626</v>
      </c>
      <c r="E365" s="227" t="s">
        <v>4856</v>
      </c>
    </row>
    <row r="366">
      <c r="A366" s="84" t="s">
        <v>1246</v>
      </c>
      <c r="B366" s="90"/>
      <c r="C366" s="194" t="s">
        <v>4625</v>
      </c>
      <c r="D366" s="164" t="s">
        <v>4626</v>
      </c>
      <c r="E366" s="227" t="s">
        <v>4857</v>
      </c>
    </row>
    <row r="367">
      <c r="A367" s="84" t="s">
        <v>1248</v>
      </c>
      <c r="B367" s="90"/>
      <c r="C367" s="194" t="s">
        <v>4726</v>
      </c>
      <c r="D367" s="164" t="s">
        <v>4626</v>
      </c>
      <c r="E367" s="227" t="s">
        <v>4858</v>
      </c>
    </row>
    <row r="368">
      <c r="A368" s="84" t="s">
        <v>1250</v>
      </c>
      <c r="B368" s="90"/>
      <c r="C368" s="93" t="s">
        <v>4859</v>
      </c>
      <c r="D368" s="164" t="s">
        <v>4626</v>
      </c>
      <c r="E368" s="227" t="s">
        <v>4860</v>
      </c>
    </row>
    <row r="369">
      <c r="A369" s="84" t="s">
        <v>2941</v>
      </c>
      <c r="B369" s="90"/>
      <c r="C369" s="93" t="s">
        <v>4728</v>
      </c>
      <c r="D369" s="164" t="s">
        <v>4663</v>
      </c>
      <c r="E369" s="227" t="s">
        <v>4831</v>
      </c>
    </row>
    <row r="370">
      <c r="A370" s="84" t="s">
        <v>4861</v>
      </c>
      <c r="B370" s="90" t="s">
        <v>4677</v>
      </c>
      <c r="C370" s="93" t="s">
        <v>4729</v>
      </c>
      <c r="D370" s="164" t="s">
        <v>4679</v>
      </c>
      <c r="E370" s="82" t="s">
        <v>4862</v>
      </c>
    </row>
    <row r="371">
      <c r="A371" s="84" t="s">
        <v>4863</v>
      </c>
      <c r="B371" s="90"/>
      <c r="C371" s="93" t="s">
        <v>4731</v>
      </c>
      <c r="D371" s="164" t="s">
        <v>4636</v>
      </c>
      <c r="E371" s="217" t="s">
        <v>4833</v>
      </c>
    </row>
    <row r="372">
      <c r="A372" s="84" t="s">
        <v>4454</v>
      </c>
      <c r="B372" s="90"/>
      <c r="C372" s="93" t="s">
        <v>4672</v>
      </c>
      <c r="D372" s="226"/>
      <c r="E372" s="217" t="s">
        <v>4834</v>
      </c>
    </row>
    <row r="373">
      <c r="A373" s="84" t="s">
        <v>4864</v>
      </c>
      <c r="B373" s="90"/>
      <c r="C373" s="219" t="s">
        <v>4683</v>
      </c>
      <c r="D373" s="220"/>
      <c r="E373" s="227" t="s">
        <v>4825</v>
      </c>
    </row>
    <row r="374">
      <c r="A374" s="84" t="s">
        <v>1254</v>
      </c>
      <c r="B374" s="90"/>
      <c r="C374" s="93" t="s">
        <v>4684</v>
      </c>
      <c r="D374" s="221" t="s">
        <v>4685</v>
      </c>
      <c r="E374" s="227" t="s">
        <v>4865</v>
      </c>
    </row>
    <row r="375">
      <c r="A375" s="84" t="s">
        <v>1259</v>
      </c>
      <c r="B375" s="90"/>
      <c r="C375" s="93" t="s">
        <v>4686</v>
      </c>
      <c r="D375" s="225" t="s">
        <v>4687</v>
      </c>
      <c r="E375" s="227" t="s">
        <v>4866</v>
      </c>
    </row>
    <row r="376">
      <c r="A376" s="84" t="s">
        <v>1262</v>
      </c>
      <c r="B376" s="90"/>
      <c r="C376" s="93" t="s">
        <v>4688</v>
      </c>
      <c r="D376" s="225" t="s">
        <v>4687</v>
      </c>
      <c r="E376" s="227" t="s">
        <v>4867</v>
      </c>
    </row>
    <row r="377">
      <c r="A377" s="84" t="s">
        <v>1264</v>
      </c>
      <c r="B377" s="90"/>
      <c r="C377" s="93" t="s">
        <v>4734</v>
      </c>
      <c r="D377" s="225" t="s">
        <v>4687</v>
      </c>
      <c r="E377" s="227" t="s">
        <v>4868</v>
      </c>
    </row>
    <row r="378">
      <c r="A378" s="84" t="s">
        <v>2971</v>
      </c>
      <c r="B378" s="90"/>
      <c r="C378" s="93" t="s">
        <v>4690</v>
      </c>
      <c r="D378" s="141" t="s">
        <v>4691</v>
      </c>
      <c r="E378" s="227" t="s">
        <v>4831</v>
      </c>
    </row>
    <row r="379">
      <c r="A379" s="84" t="s">
        <v>2975</v>
      </c>
      <c r="B379" s="90" t="s">
        <v>4692</v>
      </c>
      <c r="C379" s="219" t="s">
        <v>4693</v>
      </c>
      <c r="D379" s="225" t="s">
        <v>4692</v>
      </c>
      <c r="E379" s="123" t="s">
        <v>4869</v>
      </c>
    </row>
    <row r="380">
      <c r="A380" s="84" t="s">
        <v>2977</v>
      </c>
      <c r="B380" s="90"/>
      <c r="C380" s="219" t="s">
        <v>4694</v>
      </c>
      <c r="D380" s="221" t="s">
        <v>4658</v>
      </c>
      <c r="E380" s="217" t="s">
        <v>4833</v>
      </c>
    </row>
    <row r="381">
      <c r="A381" s="84" t="s">
        <v>4870</v>
      </c>
      <c r="B381" s="90"/>
      <c r="C381" s="219" t="s">
        <v>4638</v>
      </c>
      <c r="D381" s="224"/>
      <c r="E381" s="217" t="s">
        <v>4834</v>
      </c>
    </row>
    <row r="382">
      <c r="A382" s="84" t="s">
        <v>4871</v>
      </c>
      <c r="B382" s="90"/>
      <c r="C382" s="194" t="s">
        <v>4695</v>
      </c>
      <c r="D382" s="226"/>
      <c r="E382" s="227" t="s">
        <v>4825</v>
      </c>
    </row>
    <row r="383">
      <c r="A383" s="84" t="s">
        <v>1266</v>
      </c>
      <c r="B383" s="90"/>
      <c r="C383" s="194" t="s">
        <v>4620</v>
      </c>
      <c r="D383" s="164" t="s">
        <v>4696</v>
      </c>
      <c r="E383" s="227" t="s">
        <v>4872</v>
      </c>
    </row>
    <row r="384">
      <c r="A384" s="84" t="s">
        <v>1271</v>
      </c>
      <c r="B384" s="90"/>
      <c r="C384" s="194" t="s">
        <v>4623</v>
      </c>
      <c r="D384" s="164" t="s">
        <v>4687</v>
      </c>
      <c r="E384" s="227" t="s">
        <v>4873</v>
      </c>
    </row>
    <row r="385">
      <c r="A385" s="84" t="s">
        <v>1272</v>
      </c>
      <c r="B385" s="90"/>
      <c r="C385" s="194" t="s">
        <v>4625</v>
      </c>
      <c r="D385" s="164" t="s">
        <v>4687</v>
      </c>
      <c r="E385" s="227" t="s">
        <v>4874</v>
      </c>
    </row>
    <row r="386">
      <c r="A386" s="84" t="s">
        <v>1276</v>
      </c>
      <c r="B386" s="90"/>
      <c r="C386" s="93" t="s">
        <v>4627</v>
      </c>
      <c r="D386" s="164" t="s">
        <v>4687</v>
      </c>
      <c r="E386" s="227" t="s">
        <v>4875</v>
      </c>
    </row>
    <row r="387">
      <c r="A387" s="84" t="s">
        <v>3005</v>
      </c>
      <c r="B387" s="90"/>
      <c r="C387" s="93" t="s">
        <v>4876</v>
      </c>
      <c r="D387" s="164" t="s">
        <v>4698</v>
      </c>
      <c r="E387" s="227" t="s">
        <v>4831</v>
      </c>
    </row>
    <row r="388">
      <c r="A388" s="84" t="s">
        <v>3008</v>
      </c>
      <c r="B388" s="90" t="s">
        <v>4631</v>
      </c>
      <c r="C388" s="93" t="s">
        <v>4699</v>
      </c>
      <c r="D388" s="164" t="s">
        <v>4700</v>
      </c>
      <c r="E388" s="82" t="s">
        <v>4832</v>
      </c>
    </row>
    <row r="389">
      <c r="A389" s="84" t="s">
        <v>3010</v>
      </c>
      <c r="B389" s="90"/>
      <c r="C389" s="93" t="s">
        <v>4701</v>
      </c>
      <c r="D389" s="164" t="s">
        <v>4658</v>
      </c>
      <c r="E389" s="82" t="s">
        <v>4833</v>
      </c>
    </row>
    <row r="390">
      <c r="A390" s="84" t="s">
        <v>4877</v>
      </c>
      <c r="B390" s="90"/>
      <c r="C390" s="86" t="s">
        <v>4638</v>
      </c>
      <c r="D390" s="87"/>
      <c r="E390" s="82" t="s">
        <v>4834</v>
      </c>
    </row>
    <row r="391">
      <c r="A391" s="84" t="s">
        <v>3018</v>
      </c>
      <c r="B391" s="90"/>
      <c r="C391" s="86" t="s">
        <v>4703</v>
      </c>
      <c r="D391" s="87"/>
      <c r="E391" s="227" t="s">
        <v>4825</v>
      </c>
    </row>
    <row r="392">
      <c r="A392" s="84" t="s">
        <v>1279</v>
      </c>
      <c r="B392" s="90"/>
      <c r="C392" s="86" t="s">
        <v>4620</v>
      </c>
      <c r="D392" s="87" t="s">
        <v>4621</v>
      </c>
      <c r="E392" s="227" t="s">
        <v>4878</v>
      </c>
    </row>
    <row r="393">
      <c r="A393" s="84" t="s">
        <v>1283</v>
      </c>
      <c r="B393" s="90"/>
      <c r="C393" s="86" t="s">
        <v>4623</v>
      </c>
      <c r="D393" s="87" t="s">
        <v>4624</v>
      </c>
      <c r="E393" s="227" t="s">
        <v>4879</v>
      </c>
    </row>
    <row r="394">
      <c r="A394" s="84" t="s">
        <v>1284</v>
      </c>
      <c r="B394" s="90"/>
      <c r="C394" s="86" t="s">
        <v>4625</v>
      </c>
      <c r="D394" s="87" t="s">
        <v>4626</v>
      </c>
      <c r="E394" s="227" t="s">
        <v>4880</v>
      </c>
    </row>
    <row r="395">
      <c r="A395" s="84" t="s">
        <v>1286</v>
      </c>
      <c r="B395" s="90"/>
      <c r="C395" s="86" t="s">
        <v>4627</v>
      </c>
      <c r="D395" s="87" t="s">
        <v>4624</v>
      </c>
      <c r="E395" s="227" t="s">
        <v>4881</v>
      </c>
    </row>
    <row r="396">
      <c r="A396" s="84" t="s">
        <v>3040</v>
      </c>
      <c r="B396" s="90"/>
      <c r="C396" s="86" t="s">
        <v>4706</v>
      </c>
      <c r="D396" s="87" t="s">
        <v>4629</v>
      </c>
      <c r="E396" s="227" t="s">
        <v>4831</v>
      </c>
    </row>
    <row r="397">
      <c r="A397" s="84" t="s">
        <v>3044</v>
      </c>
      <c r="B397" s="90" t="s">
        <v>4631</v>
      </c>
      <c r="C397" s="86" t="s">
        <v>4708</v>
      </c>
      <c r="D397" s="87" t="s">
        <v>4633</v>
      </c>
      <c r="E397" s="82" t="s">
        <v>4832</v>
      </c>
    </row>
    <row r="398">
      <c r="A398" s="84" t="s">
        <v>3046</v>
      </c>
      <c r="B398" s="90"/>
      <c r="C398" s="86" t="s">
        <v>4635</v>
      </c>
      <c r="D398" s="87" t="s">
        <v>4636</v>
      </c>
      <c r="E398" s="82" t="s">
        <v>4833</v>
      </c>
    </row>
    <row r="399">
      <c r="A399" s="84" t="s">
        <v>4510</v>
      </c>
      <c r="B399" s="90"/>
      <c r="C399" s="86" t="s">
        <v>4638</v>
      </c>
      <c r="D399" s="87"/>
      <c r="E399" s="82" t="s">
        <v>4834</v>
      </c>
    </row>
    <row r="400">
      <c r="A400" s="84" t="s">
        <v>3052</v>
      </c>
      <c r="B400" s="90"/>
      <c r="C400" s="86" t="s">
        <v>4882</v>
      </c>
      <c r="D400" s="87"/>
      <c r="E400" s="227" t="s">
        <v>4825</v>
      </c>
    </row>
    <row r="401">
      <c r="A401" s="84" t="s">
        <v>1289</v>
      </c>
      <c r="B401" s="90"/>
      <c r="C401" s="86" t="s">
        <v>4883</v>
      </c>
      <c r="D401" s="87" t="s">
        <v>4641</v>
      </c>
      <c r="E401" s="227" t="s">
        <v>4884</v>
      </c>
    </row>
    <row r="402">
      <c r="A402" s="84" t="s">
        <v>1293</v>
      </c>
      <c r="B402" s="90"/>
      <c r="C402" s="86" t="s">
        <v>4885</v>
      </c>
      <c r="D402" s="87" t="s">
        <v>4642</v>
      </c>
      <c r="E402" s="227" t="s">
        <v>4886</v>
      </c>
    </row>
    <row r="403">
      <c r="A403" s="228" t="s">
        <v>1296</v>
      </c>
      <c r="B403" s="90"/>
      <c r="C403" s="86" t="s">
        <v>4887</v>
      </c>
      <c r="D403" s="87" t="s">
        <v>4642</v>
      </c>
      <c r="E403" s="227" t="s">
        <v>4888</v>
      </c>
    </row>
    <row r="404">
      <c r="A404" s="228" t="s">
        <v>1299</v>
      </c>
      <c r="B404" s="90"/>
      <c r="C404" s="86" t="s">
        <v>4889</v>
      </c>
      <c r="D404" s="87" t="s">
        <v>4643</v>
      </c>
      <c r="E404" s="227" t="s">
        <v>4890</v>
      </c>
    </row>
    <row r="405">
      <c r="A405" s="228" t="s">
        <v>3068</v>
      </c>
      <c r="B405" s="90"/>
      <c r="C405" s="86" t="s">
        <v>4891</v>
      </c>
      <c r="D405" s="87" t="s">
        <v>4645</v>
      </c>
      <c r="E405" s="227" t="s">
        <v>4831</v>
      </c>
    </row>
    <row r="406">
      <c r="A406" s="228" t="s">
        <v>3070</v>
      </c>
      <c r="B406" s="90" t="s">
        <v>4646</v>
      </c>
      <c r="C406" s="86" t="s">
        <v>4647</v>
      </c>
      <c r="D406" s="87" t="s">
        <v>4648</v>
      </c>
      <c r="E406" s="82" t="s">
        <v>4840</v>
      </c>
    </row>
    <row r="407">
      <c r="A407" s="228" t="s">
        <v>3073</v>
      </c>
      <c r="B407" s="90"/>
      <c r="C407" s="86" t="s">
        <v>4892</v>
      </c>
      <c r="D407" s="87" t="s">
        <v>4636</v>
      </c>
      <c r="E407" s="82" t="s">
        <v>4833</v>
      </c>
    </row>
    <row r="408">
      <c r="A408" s="228" t="s">
        <v>4525</v>
      </c>
      <c r="B408" s="90"/>
      <c r="C408" s="86" t="s">
        <v>4638</v>
      </c>
      <c r="D408" s="87"/>
      <c r="E408" s="82" t="s">
        <v>4834</v>
      </c>
    </row>
    <row r="409">
      <c r="A409" s="228" t="s">
        <v>3079</v>
      </c>
      <c r="B409" s="90"/>
      <c r="C409" s="86" t="s">
        <v>4703</v>
      </c>
      <c r="D409" s="87"/>
      <c r="E409" s="227" t="s">
        <v>4825</v>
      </c>
    </row>
    <row r="410">
      <c r="A410" s="228" t="s">
        <v>1302</v>
      </c>
      <c r="B410" s="90"/>
      <c r="C410" s="86" t="s">
        <v>4620</v>
      </c>
      <c r="D410" s="87" t="s">
        <v>4652</v>
      </c>
      <c r="E410" s="227" t="s">
        <v>4893</v>
      </c>
    </row>
    <row r="411">
      <c r="A411" s="228" t="s">
        <v>1306</v>
      </c>
      <c r="B411" s="90"/>
      <c r="C411" s="86" t="s">
        <v>4623</v>
      </c>
      <c r="D411" s="87" t="s">
        <v>4626</v>
      </c>
      <c r="E411" s="227" t="s">
        <v>4894</v>
      </c>
    </row>
    <row r="412">
      <c r="A412" s="228" t="s">
        <v>1308</v>
      </c>
      <c r="B412" s="90"/>
      <c r="C412" s="86" t="s">
        <v>4625</v>
      </c>
      <c r="D412" s="87" t="s">
        <v>4626</v>
      </c>
      <c r="E412" s="227" t="s">
        <v>4895</v>
      </c>
    </row>
    <row r="413">
      <c r="A413" s="228" t="s">
        <v>1309</v>
      </c>
      <c r="B413" s="90"/>
      <c r="C413" s="86" t="s">
        <v>4627</v>
      </c>
      <c r="D413" s="87" t="s">
        <v>4626</v>
      </c>
      <c r="E413" s="227" t="s">
        <v>4896</v>
      </c>
    </row>
    <row r="414">
      <c r="A414" s="228" t="s">
        <v>3101</v>
      </c>
      <c r="B414" s="90"/>
      <c r="C414" s="86" t="s">
        <v>4653</v>
      </c>
      <c r="D414" s="87" t="s">
        <v>4654</v>
      </c>
      <c r="E414" s="227" t="s">
        <v>4831</v>
      </c>
    </row>
    <row r="415">
      <c r="A415" s="228" t="s">
        <v>3105</v>
      </c>
      <c r="B415" s="90" t="s">
        <v>4631</v>
      </c>
      <c r="C415" s="86" t="s">
        <v>4699</v>
      </c>
      <c r="D415" s="87" t="s">
        <v>4656</v>
      </c>
      <c r="E415" s="82" t="s">
        <v>4832</v>
      </c>
    </row>
    <row r="416">
      <c r="A416" s="228" t="s">
        <v>3108</v>
      </c>
      <c r="B416" s="90"/>
      <c r="C416" s="86" t="s">
        <v>4657</v>
      </c>
      <c r="D416" s="87" t="s">
        <v>4658</v>
      </c>
      <c r="E416" s="82" t="s">
        <v>4833</v>
      </c>
    </row>
    <row r="417">
      <c r="A417" s="228" t="s">
        <v>4544</v>
      </c>
      <c r="B417" s="90"/>
      <c r="C417" s="86" t="s">
        <v>4638</v>
      </c>
      <c r="D417" s="87"/>
      <c r="E417" s="82" t="s">
        <v>4834</v>
      </c>
    </row>
    <row r="418">
      <c r="A418" s="228" t="s">
        <v>4897</v>
      </c>
      <c r="B418" s="90"/>
      <c r="C418" s="86" t="s">
        <v>4640</v>
      </c>
      <c r="D418" s="87"/>
      <c r="E418" s="227" t="s">
        <v>4825</v>
      </c>
    </row>
    <row r="419">
      <c r="A419" s="228" t="s">
        <v>1311</v>
      </c>
      <c r="B419" s="90"/>
      <c r="C419" s="194" t="s">
        <v>4620</v>
      </c>
      <c r="D419" s="164" t="s">
        <v>4660</v>
      </c>
      <c r="E419" s="227" t="s">
        <v>4898</v>
      </c>
    </row>
    <row r="420">
      <c r="A420" s="228" t="s">
        <v>1316</v>
      </c>
      <c r="B420" s="90"/>
      <c r="C420" s="194" t="s">
        <v>4623</v>
      </c>
      <c r="D420" s="164" t="s">
        <v>4661</v>
      </c>
      <c r="E420" s="227" t="s">
        <v>4899</v>
      </c>
    </row>
    <row r="421">
      <c r="A421" s="228" t="s">
        <v>1317</v>
      </c>
      <c r="B421" s="90"/>
      <c r="C421" s="194" t="s">
        <v>4625</v>
      </c>
      <c r="D421" s="164" t="s">
        <v>4661</v>
      </c>
      <c r="E421" s="227" t="s">
        <v>4900</v>
      </c>
    </row>
    <row r="422">
      <c r="A422" s="228" t="s">
        <v>1319</v>
      </c>
      <c r="B422" s="90"/>
      <c r="C422" s="93" t="s">
        <v>4627</v>
      </c>
      <c r="D422" s="164" t="s">
        <v>4661</v>
      </c>
      <c r="E422" s="227" t="s">
        <v>4901</v>
      </c>
    </row>
    <row r="423">
      <c r="A423" s="228" t="s">
        <v>3132</v>
      </c>
      <c r="B423" s="90"/>
      <c r="C423" s="194" t="s">
        <v>4662</v>
      </c>
      <c r="D423" s="164" t="s">
        <v>4663</v>
      </c>
      <c r="E423" s="227" t="s">
        <v>4831</v>
      </c>
    </row>
    <row r="424">
      <c r="A424" s="228" t="s">
        <v>3137</v>
      </c>
      <c r="B424" s="90"/>
      <c r="C424" s="194" t="s">
        <v>4664</v>
      </c>
      <c r="D424" s="164" t="s">
        <v>3596</v>
      </c>
      <c r="E424" s="164" t="s">
        <v>3596</v>
      </c>
    </row>
    <row r="425">
      <c r="A425" s="228" t="s">
        <v>3141</v>
      </c>
      <c r="B425" s="90"/>
      <c r="C425" s="194" t="s">
        <v>4667</v>
      </c>
      <c r="D425" s="164" t="s">
        <v>4668</v>
      </c>
      <c r="E425" s="217" t="s">
        <v>4832</v>
      </c>
    </row>
    <row r="426">
      <c r="A426" s="228" t="s">
        <v>3144</v>
      </c>
      <c r="B426" s="90"/>
      <c r="C426" s="194" t="s">
        <v>4670</v>
      </c>
      <c r="D426" s="164" t="s">
        <v>4658</v>
      </c>
      <c r="E426" s="217" t="s">
        <v>4833</v>
      </c>
    </row>
    <row r="427">
      <c r="A427" s="228" t="s">
        <v>4902</v>
      </c>
      <c r="B427" s="90"/>
      <c r="C427" s="194" t="s">
        <v>4672</v>
      </c>
      <c r="D427" s="226"/>
      <c r="E427" s="217" t="s">
        <v>4834</v>
      </c>
    </row>
    <row r="428">
      <c r="A428" s="228" t="s">
        <v>4903</v>
      </c>
      <c r="B428" s="90"/>
      <c r="C428" s="194" t="s">
        <v>4758</v>
      </c>
      <c r="D428" s="226"/>
      <c r="E428" s="227" t="s">
        <v>4825</v>
      </c>
    </row>
    <row r="429">
      <c r="A429" s="228" t="s">
        <v>1323</v>
      </c>
      <c r="B429" s="90"/>
      <c r="C429" s="194" t="s">
        <v>4620</v>
      </c>
      <c r="D429" s="164" t="s">
        <v>4674</v>
      </c>
      <c r="E429" s="227" t="s">
        <v>4904</v>
      </c>
    </row>
    <row r="430">
      <c r="A430" s="228" t="s">
        <v>1327</v>
      </c>
      <c r="B430" s="90"/>
      <c r="C430" s="194" t="s">
        <v>4623</v>
      </c>
      <c r="D430" s="164" t="s">
        <v>4626</v>
      </c>
      <c r="E430" s="227" t="s">
        <v>4905</v>
      </c>
    </row>
    <row r="431">
      <c r="A431" s="228" t="s">
        <v>1329</v>
      </c>
      <c r="B431" s="90"/>
      <c r="C431" s="93" t="s">
        <v>4675</v>
      </c>
      <c r="D431" s="164" t="s">
        <v>4626</v>
      </c>
      <c r="E431" s="227" t="s">
        <v>4906</v>
      </c>
    </row>
    <row r="432">
      <c r="A432" s="228" t="s">
        <v>3169</v>
      </c>
      <c r="B432" s="90"/>
      <c r="C432" s="93" t="s">
        <v>4907</v>
      </c>
      <c r="D432" s="164" t="s">
        <v>4663</v>
      </c>
      <c r="E432" s="217" t="s">
        <v>4831</v>
      </c>
    </row>
    <row r="433">
      <c r="A433" s="228" t="s">
        <v>3173</v>
      </c>
      <c r="B433" s="90" t="s">
        <v>4677</v>
      </c>
      <c r="C433" s="93" t="s">
        <v>4908</v>
      </c>
      <c r="D433" s="164" t="s">
        <v>4679</v>
      </c>
      <c r="E433" s="217" t="s">
        <v>4862</v>
      </c>
    </row>
    <row r="434">
      <c r="A434" s="228" t="s">
        <v>3176</v>
      </c>
      <c r="B434" s="90"/>
      <c r="C434" s="93" t="s">
        <v>4681</v>
      </c>
      <c r="D434" s="164" t="s">
        <v>4636</v>
      </c>
      <c r="E434" s="217" t="s">
        <v>4833</v>
      </c>
    </row>
    <row r="435">
      <c r="A435" s="228" t="s">
        <v>4573</v>
      </c>
      <c r="B435" s="90"/>
      <c r="C435" s="93" t="s">
        <v>4682</v>
      </c>
      <c r="D435" s="164"/>
      <c r="E435" s="217" t="s">
        <v>4834</v>
      </c>
    </row>
    <row r="436">
      <c r="A436" s="228" t="s">
        <v>4909</v>
      </c>
      <c r="B436" s="90"/>
      <c r="C436" s="219" t="s">
        <v>4683</v>
      </c>
      <c r="D436" s="220"/>
      <c r="E436" s="82" t="s">
        <v>4825</v>
      </c>
    </row>
    <row r="437">
      <c r="A437" s="228" t="s">
        <v>1333</v>
      </c>
      <c r="B437" s="90"/>
      <c r="C437" s="93" t="s">
        <v>4684</v>
      </c>
      <c r="D437" s="221" t="s">
        <v>4685</v>
      </c>
      <c r="E437" s="82" t="s">
        <v>4910</v>
      </c>
    </row>
    <row r="438">
      <c r="A438" s="228" t="s">
        <v>1337</v>
      </c>
      <c r="B438" s="90"/>
      <c r="C438" s="93" t="s">
        <v>4686</v>
      </c>
      <c r="D438" s="225" t="s">
        <v>4687</v>
      </c>
      <c r="E438" s="82" t="s">
        <v>4911</v>
      </c>
    </row>
    <row r="439">
      <c r="A439" s="228" t="s">
        <v>1338</v>
      </c>
      <c r="B439" s="90"/>
      <c r="C439" s="93" t="s">
        <v>4688</v>
      </c>
      <c r="D439" s="225" t="s">
        <v>4687</v>
      </c>
      <c r="E439" s="82" t="s">
        <v>4912</v>
      </c>
    </row>
    <row r="440">
      <c r="A440" s="228" t="s">
        <v>1341</v>
      </c>
      <c r="B440" s="90"/>
      <c r="C440" s="93" t="s">
        <v>4734</v>
      </c>
      <c r="D440" s="225" t="s">
        <v>4687</v>
      </c>
      <c r="E440" s="82" t="s">
        <v>4913</v>
      </c>
    </row>
    <row r="441">
      <c r="A441" s="228" t="s">
        <v>3200</v>
      </c>
      <c r="B441" s="90"/>
      <c r="C441" s="93" t="s">
        <v>4690</v>
      </c>
      <c r="D441" s="141" t="s">
        <v>4691</v>
      </c>
      <c r="E441" s="217" t="s">
        <v>4831</v>
      </c>
    </row>
    <row r="442">
      <c r="A442" s="228" t="s">
        <v>3204</v>
      </c>
      <c r="B442" s="90" t="s">
        <v>4692</v>
      </c>
      <c r="C442" s="219" t="s">
        <v>4693</v>
      </c>
      <c r="D442" s="225" t="s">
        <v>4692</v>
      </c>
      <c r="E442" s="217" t="s">
        <v>4869</v>
      </c>
    </row>
    <row r="443">
      <c r="A443" s="228" t="s">
        <v>4914</v>
      </c>
      <c r="B443" s="90"/>
      <c r="C443" s="219" t="s">
        <v>4694</v>
      </c>
      <c r="D443" s="221" t="s">
        <v>4658</v>
      </c>
      <c r="E443" s="217" t="s">
        <v>4833</v>
      </c>
    </row>
    <row r="444">
      <c r="A444" s="228" t="s">
        <v>4588</v>
      </c>
      <c r="B444" s="90"/>
      <c r="C444" s="219" t="s">
        <v>4638</v>
      </c>
      <c r="D444" s="224"/>
      <c r="E444" s="217" t="s">
        <v>4834</v>
      </c>
    </row>
    <row r="445">
      <c r="A445" s="228" t="s">
        <v>4915</v>
      </c>
      <c r="B445" s="90"/>
      <c r="C445" s="194" t="s">
        <v>4695</v>
      </c>
      <c r="D445" s="226"/>
      <c r="E445" s="82" t="s">
        <v>4825</v>
      </c>
    </row>
    <row r="446">
      <c r="A446" s="228" t="s">
        <v>1344</v>
      </c>
      <c r="B446" s="90"/>
      <c r="C446" s="194" t="s">
        <v>4620</v>
      </c>
      <c r="D446" s="164" t="s">
        <v>4696</v>
      </c>
      <c r="E446" s="82" t="s">
        <v>4916</v>
      </c>
    </row>
    <row r="447">
      <c r="A447" s="228" t="s">
        <v>1348</v>
      </c>
      <c r="B447" s="90"/>
      <c r="C447" s="194" t="s">
        <v>4623</v>
      </c>
      <c r="D447" s="164" t="s">
        <v>4687</v>
      </c>
      <c r="E447" s="82" t="s">
        <v>4917</v>
      </c>
    </row>
    <row r="448">
      <c r="A448" s="228" t="s">
        <v>1349</v>
      </c>
      <c r="B448" s="90"/>
      <c r="C448" s="194" t="s">
        <v>4625</v>
      </c>
      <c r="D448" s="164" t="s">
        <v>4687</v>
      </c>
      <c r="E448" s="82" t="s">
        <v>4918</v>
      </c>
    </row>
    <row r="449">
      <c r="A449" s="228" t="s">
        <v>1351</v>
      </c>
      <c r="B449" s="90"/>
      <c r="C449" s="93" t="s">
        <v>4627</v>
      </c>
      <c r="D449" s="164" t="s">
        <v>4687</v>
      </c>
      <c r="E449" s="82" t="s">
        <v>4919</v>
      </c>
    </row>
    <row r="450">
      <c r="A450" s="228" t="s">
        <v>3232</v>
      </c>
      <c r="B450" s="90"/>
      <c r="C450" s="93" t="s">
        <v>4920</v>
      </c>
      <c r="D450" s="164" t="s">
        <v>4698</v>
      </c>
      <c r="E450" s="217" t="s">
        <v>4831</v>
      </c>
    </row>
    <row r="451">
      <c r="A451" s="228" t="s">
        <v>3234</v>
      </c>
      <c r="B451" s="90" t="s">
        <v>4631</v>
      </c>
      <c r="C451" s="93" t="s">
        <v>4699</v>
      </c>
      <c r="D451" s="164" t="s">
        <v>4700</v>
      </c>
      <c r="E451" s="217" t="s">
        <v>4832</v>
      </c>
    </row>
    <row r="452">
      <c r="A452" s="228" t="s">
        <v>3236</v>
      </c>
      <c r="B452" s="90"/>
      <c r="C452" s="93" t="s">
        <v>4701</v>
      </c>
      <c r="D452" s="164" t="s">
        <v>4658</v>
      </c>
      <c r="E452" s="217" t="s">
        <v>4833</v>
      </c>
    </row>
    <row r="453">
      <c r="A453" s="228" t="s">
        <v>4609</v>
      </c>
      <c r="B453" s="90"/>
      <c r="C453" s="86" t="s">
        <v>4638</v>
      </c>
      <c r="D453" s="87"/>
      <c r="E453" s="217" t="s">
        <v>4834</v>
      </c>
    </row>
    <row r="454">
      <c r="A454" s="91"/>
      <c r="B454" s="90"/>
      <c r="C454" s="86"/>
      <c r="D454" s="87"/>
      <c r="E454" s="82"/>
    </row>
    <row r="455">
      <c r="A455" s="91"/>
      <c r="B455" s="90"/>
      <c r="C455" s="86"/>
      <c r="D455" s="87"/>
      <c r="E455" s="82"/>
    </row>
  </sheetData>
  <autoFilter ref="$A$1:$E$453"/>
  <mergeCells count="1">
    <mergeCell ref="A1:D1"/>
  </mergeCells>
  <hyperlinks>
    <hyperlink r:id="rId1" ref="E21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3" width="25.75"/>
    <col customWidth="1" min="4" max="4" width="16.63"/>
    <col customWidth="1" min="5" max="10" width="25.75"/>
  </cols>
  <sheetData>
    <row r="1">
      <c r="A1" s="80"/>
      <c r="B1" s="95"/>
      <c r="C1" s="80" t="s">
        <v>709</v>
      </c>
      <c r="E1" s="80" t="s">
        <v>710</v>
      </c>
      <c r="F1" s="80" t="s">
        <v>4921</v>
      </c>
      <c r="G1" s="80" t="s">
        <v>4922</v>
      </c>
      <c r="H1" s="80" t="s">
        <v>714</v>
      </c>
      <c r="I1" s="80"/>
      <c r="J1" s="80"/>
    </row>
    <row r="2">
      <c r="A2" s="83"/>
      <c r="B2" s="229"/>
      <c r="C2" s="230" t="s">
        <v>4923</v>
      </c>
      <c r="D2" s="83" t="s">
        <v>4924</v>
      </c>
      <c r="E2" s="83" t="s">
        <v>11</v>
      </c>
      <c r="F2" s="83" t="s">
        <v>4925</v>
      </c>
      <c r="G2" s="83" t="s">
        <v>4926</v>
      </c>
      <c r="H2" s="83" t="s">
        <v>714</v>
      </c>
      <c r="I2" s="83"/>
      <c r="J2" s="83"/>
    </row>
    <row r="3">
      <c r="A3" s="84" t="s">
        <v>720</v>
      </c>
      <c r="B3" s="89" t="s">
        <v>727</v>
      </c>
      <c r="C3" s="231" t="s">
        <v>4927</v>
      </c>
      <c r="D3" s="91"/>
      <c r="E3" s="232" t="s">
        <v>4928</v>
      </c>
      <c r="F3" s="87" t="s">
        <v>4929</v>
      </c>
      <c r="G3" s="87"/>
      <c r="H3" s="82" t="s">
        <v>4930</v>
      </c>
      <c r="I3" s="87">
        <v>611.0</v>
      </c>
      <c r="J3" s="87" t="str">
        <f t="shared" ref="J3:J7" si="1">CONCATENATE(E3, I3)</f>
        <v>Sharpen Your Sentences: Expand the Sentence611</v>
      </c>
    </row>
    <row r="4">
      <c r="B4" s="89" t="s">
        <v>732</v>
      </c>
      <c r="C4" s="193" t="s">
        <v>4931</v>
      </c>
      <c r="D4" s="90" t="s">
        <v>4932</v>
      </c>
      <c r="E4" s="232" t="s">
        <v>4933</v>
      </c>
      <c r="F4" s="87" t="s">
        <v>4932</v>
      </c>
      <c r="G4" s="87"/>
      <c r="H4" s="82" t="s">
        <v>4930</v>
      </c>
      <c r="I4" s="87">
        <v>612.0</v>
      </c>
      <c r="J4" s="87" t="str">
        <f t="shared" si="1"/>
        <v>Write to Impress: Use Case Pronouns: Quill: Replacing a Noun612</v>
      </c>
    </row>
    <row r="5">
      <c r="B5" s="89" t="s">
        <v>736</v>
      </c>
      <c r="C5" s="193" t="s">
        <v>4934</v>
      </c>
      <c r="D5" s="90" t="s">
        <v>4935</v>
      </c>
      <c r="E5" s="232" t="s">
        <v>4936</v>
      </c>
      <c r="F5" s="87" t="s">
        <v>4937</v>
      </c>
      <c r="G5" s="87"/>
      <c r="H5" s="82" t="s">
        <v>4938</v>
      </c>
      <c r="I5" s="87">
        <v>613.0</v>
      </c>
      <c r="J5" s="87" t="str">
        <f t="shared" si="1"/>
        <v>Write to Impress: Correcting Variations of Standard English613</v>
      </c>
    </row>
    <row r="6">
      <c r="B6" s="89" t="s">
        <v>740</v>
      </c>
      <c r="C6" s="231" t="s">
        <v>4939</v>
      </c>
      <c r="D6" s="91"/>
      <c r="E6" s="232" t="s">
        <v>4940</v>
      </c>
      <c r="F6" s="87" t="s">
        <v>4932</v>
      </c>
      <c r="G6" s="87" t="s">
        <v>4941</v>
      </c>
      <c r="H6" s="82" t="s">
        <v>4942</v>
      </c>
      <c r="I6" s="87">
        <v>614.0</v>
      </c>
      <c r="J6" s="87" t="str">
        <f t="shared" si="1"/>
        <v>Write to Impress: Use Intensive Pronouns
Quill: Emphasizing a Person or Thing614</v>
      </c>
    </row>
    <row r="7">
      <c r="B7" s="89" t="s">
        <v>1408</v>
      </c>
      <c r="C7" s="231" t="s">
        <v>4943</v>
      </c>
      <c r="D7" s="91"/>
      <c r="E7" s="233" t="s">
        <v>4944</v>
      </c>
      <c r="F7" s="87" t="s">
        <v>4945</v>
      </c>
      <c r="G7" s="87"/>
      <c r="H7" s="82" t="s">
        <v>4946</v>
      </c>
      <c r="I7" s="234">
        <v>617.0</v>
      </c>
      <c r="J7" s="87" t="str">
        <f t="shared" si="1"/>
        <v>Edit the Draft Together: Peer Edit: Give and Get Feedback; Capitalization and Spelling; Punctuation and End Punctuation617</v>
      </c>
    </row>
    <row r="8">
      <c r="A8" s="80"/>
      <c r="B8" s="80"/>
      <c r="C8" s="80" t="s">
        <v>4947</v>
      </c>
      <c r="D8" s="80"/>
      <c r="E8" s="80"/>
      <c r="F8" s="80"/>
      <c r="G8" s="80"/>
      <c r="H8" s="80"/>
      <c r="I8" s="80"/>
      <c r="J8" s="80"/>
    </row>
    <row r="9">
      <c r="A9" s="83"/>
      <c r="B9" s="83"/>
      <c r="C9" s="230" t="s">
        <v>4923</v>
      </c>
      <c r="D9" s="83" t="s">
        <v>4924</v>
      </c>
      <c r="E9" s="83" t="s">
        <v>11</v>
      </c>
      <c r="F9" s="83" t="s">
        <v>4925</v>
      </c>
      <c r="G9" s="83" t="s">
        <v>4926</v>
      </c>
      <c r="H9" s="83" t="s">
        <v>714</v>
      </c>
      <c r="I9" s="83"/>
      <c r="J9" s="83"/>
    </row>
    <row r="10">
      <c r="A10" s="84" t="s">
        <v>744</v>
      </c>
      <c r="B10" s="116" t="s">
        <v>745</v>
      </c>
      <c r="C10" s="231" t="s">
        <v>4948</v>
      </c>
      <c r="D10" s="91" t="s">
        <v>4949</v>
      </c>
      <c r="E10" s="86" t="s">
        <v>4950</v>
      </c>
      <c r="F10" s="87" t="s">
        <v>4951</v>
      </c>
      <c r="G10" s="87" t="s">
        <v>4952</v>
      </c>
      <c r="H10" s="82" t="s">
        <v>4930</v>
      </c>
      <c r="I10" s="234">
        <v>621.0</v>
      </c>
      <c r="J10" s="87" t="str">
        <f t="shared" ref="J10:J13" si="2">CONCATENATE(E10, I10)</f>
        <v>Write to Impress: Vary Your Sentence Patterns 621</v>
      </c>
    </row>
    <row r="11">
      <c r="B11" s="119" t="s">
        <v>752</v>
      </c>
      <c r="C11" s="231" t="s">
        <v>4953</v>
      </c>
      <c r="D11" s="91"/>
      <c r="E11" s="86" t="s">
        <v>4954</v>
      </c>
      <c r="F11" s="87" t="s">
        <v>4951</v>
      </c>
      <c r="G11" s="87" t="s">
        <v>4952</v>
      </c>
      <c r="H11" s="82" t="s">
        <v>4930</v>
      </c>
      <c r="I11" s="234">
        <v>622.0</v>
      </c>
      <c r="J11" s="87" t="str">
        <f t="shared" si="2"/>
        <v>Sharpen Your Sentences: Sentence Expansion in Counterclaims622</v>
      </c>
    </row>
    <row r="12">
      <c r="B12" s="116" t="s">
        <v>760</v>
      </c>
      <c r="C12" s="231" t="s">
        <v>4955</v>
      </c>
      <c r="D12" s="91" t="s">
        <v>4956</v>
      </c>
      <c r="E12" s="188" t="s">
        <v>4957</v>
      </c>
      <c r="F12" s="87" t="s">
        <v>4937</v>
      </c>
      <c r="G12" s="87"/>
      <c r="H12" s="82" t="s">
        <v>4958</v>
      </c>
      <c r="I12" s="87">
        <v>624.0</v>
      </c>
      <c r="J12" s="87" t="str">
        <f t="shared" si="2"/>
        <v>Write to Impress: Maintain Consistent Sentences for Style and Tone624</v>
      </c>
    </row>
    <row r="13">
      <c r="B13" s="119" t="s">
        <v>1457</v>
      </c>
      <c r="C13" s="231" t="s">
        <v>4959</v>
      </c>
      <c r="D13" s="91"/>
      <c r="E13" s="93" t="s">
        <v>4960</v>
      </c>
      <c r="F13" s="87" t="s">
        <v>4961</v>
      </c>
      <c r="G13" s="87"/>
      <c r="H13" s="82" t="s">
        <v>4962</v>
      </c>
      <c r="I13" s="234">
        <v>627.0</v>
      </c>
      <c r="J13" s="87" t="str">
        <f t="shared" si="2"/>
        <v>Edit the Draft Together: Peer Edit: Give and Get Feedback; Subjects and Predicates; Subject-Verb Agreement; Tense627</v>
      </c>
    </row>
    <row r="14">
      <c r="A14" s="80"/>
      <c r="B14" s="95"/>
      <c r="C14" s="80" t="s">
        <v>4947</v>
      </c>
      <c r="D14" s="80"/>
      <c r="E14" s="80"/>
      <c r="F14" s="80"/>
      <c r="G14" s="80"/>
      <c r="H14" s="80"/>
      <c r="I14" s="80"/>
      <c r="J14" s="80"/>
    </row>
    <row r="15">
      <c r="A15" s="128"/>
      <c r="B15" s="229"/>
      <c r="C15" s="235" t="s">
        <v>4923</v>
      </c>
      <c r="D15" s="236" t="s">
        <v>4924</v>
      </c>
      <c r="E15" s="236" t="s">
        <v>11</v>
      </c>
      <c r="F15" s="236" t="s">
        <v>4925</v>
      </c>
      <c r="G15" s="236" t="s">
        <v>4926</v>
      </c>
      <c r="H15" s="236" t="s">
        <v>714</v>
      </c>
      <c r="I15" s="128"/>
      <c r="J15" s="128"/>
    </row>
    <row r="16">
      <c r="A16" s="84" t="s">
        <v>764</v>
      </c>
      <c r="B16" s="110" t="s">
        <v>765</v>
      </c>
      <c r="C16" s="192" t="s">
        <v>4963</v>
      </c>
      <c r="D16" s="96" t="s">
        <v>4964</v>
      </c>
      <c r="E16" s="86" t="s">
        <v>4965</v>
      </c>
      <c r="F16" s="87" t="s">
        <v>4966</v>
      </c>
      <c r="G16" s="87" t="s">
        <v>4967</v>
      </c>
      <c r="H16" s="82" t="s">
        <v>4968</v>
      </c>
      <c r="I16" s="87">
        <v>631.0</v>
      </c>
      <c r="J16" s="87" t="str">
        <f t="shared" ref="J16:J18" si="3">CONCATENATE(E16, I16)</f>
        <v>Write to Impress: Spell Correctly631</v>
      </c>
    </row>
    <row r="17">
      <c r="B17" s="110" t="s">
        <v>772</v>
      </c>
      <c r="C17" s="193" t="s">
        <v>4969</v>
      </c>
      <c r="D17" s="90"/>
      <c r="E17" s="93" t="s">
        <v>4970</v>
      </c>
      <c r="F17" s="87" t="s">
        <v>4951</v>
      </c>
      <c r="G17" s="87"/>
      <c r="H17" s="82" t="s">
        <v>4971</v>
      </c>
      <c r="I17" s="234">
        <v>632.0</v>
      </c>
      <c r="J17" s="87" t="str">
        <f t="shared" si="3"/>
        <v>Sharpen Your Sentences: Use an Appositive in a Sentence632</v>
      </c>
    </row>
    <row r="18">
      <c r="B18" s="110" t="s">
        <v>1498</v>
      </c>
      <c r="C18" s="231" t="s">
        <v>4972</v>
      </c>
      <c r="D18" s="91"/>
      <c r="E18" s="93" t="s">
        <v>4973</v>
      </c>
      <c r="F18" s="87" t="s">
        <v>4974</v>
      </c>
      <c r="G18" s="87"/>
      <c r="H18" s="82" t="s">
        <v>4975</v>
      </c>
      <c r="I18" s="237">
        <v>637.0</v>
      </c>
      <c r="J18" s="87" t="str">
        <f t="shared" si="3"/>
        <v>Edit the Draft Together: Peer Edit: Give and Get Feedback;  Commas and Varied Sentence Structure637</v>
      </c>
    </row>
    <row r="19">
      <c r="A19" s="80"/>
      <c r="B19" s="80"/>
      <c r="C19" s="80" t="s">
        <v>4947</v>
      </c>
      <c r="D19" s="80"/>
      <c r="E19" s="80"/>
      <c r="F19" s="80"/>
      <c r="G19" s="80"/>
      <c r="H19" s="80"/>
      <c r="I19" s="80"/>
      <c r="J19" s="80"/>
    </row>
    <row r="20">
      <c r="A20" s="128"/>
      <c r="B20" s="83"/>
      <c r="C20" s="235" t="s">
        <v>4923</v>
      </c>
      <c r="D20" s="236" t="s">
        <v>4924</v>
      </c>
      <c r="E20" s="236" t="s">
        <v>11</v>
      </c>
      <c r="F20" s="236" t="s">
        <v>4925</v>
      </c>
      <c r="G20" s="236" t="s">
        <v>4926</v>
      </c>
      <c r="H20" s="236" t="s">
        <v>714</v>
      </c>
      <c r="I20" s="128"/>
      <c r="J20" s="128"/>
    </row>
    <row r="21" ht="30.0" customHeight="1">
      <c r="A21" s="192" t="s">
        <v>4976</v>
      </c>
      <c r="B21" s="110" t="s">
        <v>792</v>
      </c>
      <c r="C21" s="193" t="s">
        <v>4977</v>
      </c>
      <c r="D21" s="90"/>
      <c r="E21" s="86" t="s">
        <v>4978</v>
      </c>
      <c r="F21" s="87" t="s">
        <v>4951</v>
      </c>
      <c r="G21" s="87"/>
      <c r="H21" s="82" t="s">
        <v>4979</v>
      </c>
      <c r="I21" s="234">
        <v>642.0</v>
      </c>
      <c r="J21" s="87" t="str">
        <f t="shared" ref="J21:J23" si="4">CONCATENATE(E21, I21)</f>
        <v>Sharpen Your Sentences: Integrating Quotations Effectively642</v>
      </c>
    </row>
    <row r="22">
      <c r="A22" s="90"/>
      <c r="B22" s="110" t="s">
        <v>1547</v>
      </c>
      <c r="C22" s="193" t="s">
        <v>4980</v>
      </c>
      <c r="D22" s="90"/>
      <c r="E22" s="93" t="s">
        <v>4981</v>
      </c>
      <c r="F22" s="87" t="s">
        <v>4982</v>
      </c>
      <c r="G22" s="87"/>
      <c r="H22" s="82" t="s">
        <v>4983</v>
      </c>
      <c r="I22" s="238">
        <v>648.0</v>
      </c>
      <c r="J22" s="87" t="str">
        <f t="shared" si="4"/>
        <v>Edit the Draft Together: Peer Edit: Give and Get Feedback; Redundancy648</v>
      </c>
    </row>
    <row r="23">
      <c r="A23" s="80"/>
      <c r="B23" s="80"/>
      <c r="C23" s="80" t="s">
        <v>4947</v>
      </c>
      <c r="D23" s="80"/>
      <c r="E23" s="80"/>
      <c r="F23" s="80"/>
      <c r="G23" s="80"/>
      <c r="H23" s="80"/>
      <c r="I23" s="80"/>
      <c r="J23" s="87" t="str">
        <f t="shared" si="4"/>
        <v/>
      </c>
    </row>
    <row r="24">
      <c r="A24" s="128"/>
      <c r="B24" s="83"/>
      <c r="C24" s="235" t="s">
        <v>4923</v>
      </c>
      <c r="D24" s="236" t="s">
        <v>4924</v>
      </c>
      <c r="E24" s="236" t="s">
        <v>11</v>
      </c>
      <c r="F24" s="236" t="s">
        <v>4925</v>
      </c>
      <c r="G24" s="236" t="s">
        <v>4926</v>
      </c>
      <c r="H24" s="236" t="s">
        <v>714</v>
      </c>
      <c r="I24" s="128"/>
      <c r="J24" s="128"/>
    </row>
    <row r="25">
      <c r="A25" s="84" t="s">
        <v>803</v>
      </c>
      <c r="B25" s="110" t="s">
        <v>804</v>
      </c>
      <c r="C25" s="192" t="s">
        <v>4984</v>
      </c>
      <c r="D25" s="96"/>
      <c r="E25" s="239" t="s">
        <v>4985</v>
      </c>
      <c r="F25" s="87" t="s">
        <v>4986</v>
      </c>
      <c r="G25" s="87" t="s">
        <v>4987</v>
      </c>
      <c r="H25" s="82" t="s">
        <v>4988</v>
      </c>
      <c r="I25" s="87">
        <v>651.0</v>
      </c>
      <c r="J25" s="87" t="str">
        <f t="shared" ref="J25:J29" si="5">CONCATENATE(E25, I25)</f>
        <v>Sharpen Your Sentences: Creating Cause-and-Effect Sentences
Write to Impress: Use Punctuation651</v>
      </c>
    </row>
    <row r="26">
      <c r="B26" s="110" t="s">
        <v>804</v>
      </c>
      <c r="C26" s="193" t="s">
        <v>4989</v>
      </c>
      <c r="D26" s="90" t="s">
        <v>4990</v>
      </c>
      <c r="E26" s="93" t="s">
        <v>4991</v>
      </c>
      <c r="F26" s="87"/>
      <c r="G26" s="87"/>
      <c r="H26" s="82" t="s">
        <v>4988</v>
      </c>
      <c r="I26" s="234">
        <v>651.0</v>
      </c>
      <c r="J26" s="87" t="str">
        <f t="shared" si="5"/>
        <v>Write to Impress: Use Punctuation651</v>
      </c>
    </row>
    <row r="27">
      <c r="B27" s="110" t="s">
        <v>811</v>
      </c>
      <c r="C27" s="193" t="s">
        <v>4992</v>
      </c>
      <c r="D27" s="90"/>
      <c r="E27" s="93" t="s">
        <v>4993</v>
      </c>
      <c r="F27" s="87" t="s">
        <v>4951</v>
      </c>
      <c r="G27" s="87"/>
      <c r="H27" s="82" t="s">
        <v>4994</v>
      </c>
      <c r="I27" s="234">
        <v>652.0</v>
      </c>
      <c r="J27" s="87" t="str">
        <f t="shared" si="5"/>
        <v>Sharpen Your Sentences: Vary Your Sentence Length and Structure652</v>
      </c>
    </row>
    <row r="28">
      <c r="B28" s="110" t="s">
        <v>1591</v>
      </c>
      <c r="C28" s="193" t="s">
        <v>4995</v>
      </c>
      <c r="D28" s="90"/>
      <c r="E28" s="93" t="s">
        <v>4996</v>
      </c>
      <c r="F28" s="87" t="s">
        <v>4997</v>
      </c>
      <c r="G28" s="87"/>
      <c r="H28" s="82" t="s">
        <v>4998</v>
      </c>
      <c r="I28" s="237">
        <v>656.0</v>
      </c>
      <c r="J28" s="87" t="str">
        <f t="shared" si="5"/>
        <v>Edit the Draft Together: Peer Edit: Give and Get Feedback; Pronouns and Modifiers656</v>
      </c>
    </row>
    <row r="29">
      <c r="A29" s="80"/>
      <c r="B29" s="80"/>
      <c r="C29" s="80" t="s">
        <v>4947</v>
      </c>
      <c r="D29" s="80"/>
      <c r="E29" s="80"/>
      <c r="F29" s="80"/>
      <c r="G29" s="80"/>
      <c r="H29" s="80"/>
      <c r="I29" s="80"/>
      <c r="J29" s="87" t="str">
        <f t="shared" si="5"/>
        <v/>
      </c>
    </row>
    <row r="30">
      <c r="A30" s="128"/>
      <c r="B30" s="83"/>
      <c r="C30" s="235" t="s">
        <v>4923</v>
      </c>
      <c r="D30" s="236" t="s">
        <v>4924</v>
      </c>
      <c r="E30" s="236" t="s">
        <v>11</v>
      </c>
      <c r="F30" s="236" t="s">
        <v>4925</v>
      </c>
      <c r="G30" s="236" t="s">
        <v>4926</v>
      </c>
      <c r="H30" s="236" t="s">
        <v>714</v>
      </c>
      <c r="I30" s="128"/>
      <c r="J30" s="128"/>
    </row>
    <row r="31">
      <c r="A31" s="84" t="s">
        <v>818</v>
      </c>
      <c r="B31" s="110" t="s">
        <v>827</v>
      </c>
      <c r="C31" s="192" t="s">
        <v>4999</v>
      </c>
      <c r="D31" s="96"/>
      <c r="E31" s="93" t="s">
        <v>5000</v>
      </c>
      <c r="F31" s="87" t="s">
        <v>5001</v>
      </c>
      <c r="G31" s="87"/>
      <c r="H31" s="82" t="s">
        <v>5002</v>
      </c>
      <c r="I31" s="87">
        <v>662.0</v>
      </c>
      <c r="J31" s="87" t="str">
        <f t="shared" ref="J31:J33" si="6">CONCATENATE(E31, I31)</f>
        <v>Sharpen Your Sentences: Sentence Combining: Appositives, Pronouns, Conjunctions662</v>
      </c>
    </row>
    <row r="32">
      <c r="A32" s="84"/>
      <c r="B32" s="110" t="s">
        <v>1634</v>
      </c>
      <c r="C32" s="192" t="s">
        <v>5003</v>
      </c>
      <c r="D32" s="96"/>
      <c r="E32" s="93" t="s">
        <v>5004</v>
      </c>
      <c r="F32" s="87" t="s">
        <v>5005</v>
      </c>
      <c r="G32" s="87"/>
      <c r="H32" s="82" t="s">
        <v>5006</v>
      </c>
      <c r="I32" s="237">
        <v>667.0</v>
      </c>
      <c r="J32" s="87" t="str">
        <f t="shared" si="6"/>
        <v>Edit the Draft Together: Peer Edit: Give and Get Feedback; Parallelism; Objective and Formal Style667</v>
      </c>
    </row>
    <row r="33">
      <c r="A33" s="80"/>
      <c r="B33" s="80"/>
      <c r="C33" s="80" t="s">
        <v>4947</v>
      </c>
      <c r="D33" s="80"/>
      <c r="E33" s="80"/>
      <c r="F33" s="80"/>
      <c r="G33" s="80"/>
      <c r="H33" s="80"/>
      <c r="I33" s="80"/>
      <c r="J33" s="87" t="str">
        <f t="shared" si="6"/>
        <v/>
      </c>
    </row>
    <row r="34">
      <c r="A34" s="128"/>
      <c r="B34" s="83"/>
      <c r="C34" s="235" t="s">
        <v>4923</v>
      </c>
      <c r="D34" s="236" t="s">
        <v>4924</v>
      </c>
      <c r="E34" s="236" t="s">
        <v>11</v>
      </c>
      <c r="F34" s="236" t="s">
        <v>4925</v>
      </c>
      <c r="G34" s="236" t="s">
        <v>4926</v>
      </c>
      <c r="H34" s="236" t="s">
        <v>714</v>
      </c>
      <c r="I34" s="128"/>
      <c r="J34" s="128"/>
    </row>
    <row r="35">
      <c r="A35" s="84" t="s">
        <v>838</v>
      </c>
      <c r="B35" s="110" t="s">
        <v>839</v>
      </c>
      <c r="C35" s="192" t="s">
        <v>5007</v>
      </c>
      <c r="D35" s="96" t="s">
        <v>4932</v>
      </c>
      <c r="E35" s="93" t="s">
        <v>5008</v>
      </c>
      <c r="F35" s="87" t="s">
        <v>4932</v>
      </c>
      <c r="G35" s="87"/>
      <c r="H35" s="82" t="s">
        <v>5009</v>
      </c>
      <c r="I35" s="87">
        <v>671.0</v>
      </c>
      <c r="J35" s="87" t="str">
        <f t="shared" ref="J35:J46" si="7">CONCATENATE(E35, I35)</f>
        <v>Write to Impress: Recognize Inappropriate Shifts in Pronouns: Quill: Choose the Correct Pronoun671</v>
      </c>
    </row>
    <row r="36">
      <c r="B36" s="110" t="s">
        <v>839</v>
      </c>
      <c r="C36" s="193" t="s">
        <v>5010</v>
      </c>
      <c r="D36" s="90"/>
      <c r="E36" s="93" t="s">
        <v>5011</v>
      </c>
      <c r="F36" s="87" t="s">
        <v>4951</v>
      </c>
      <c r="G36" s="87" t="s">
        <v>5012</v>
      </c>
      <c r="H36" s="82" t="s">
        <v>5009</v>
      </c>
      <c r="I36" s="87">
        <v>671.0</v>
      </c>
      <c r="J36" s="87" t="str">
        <f t="shared" si="7"/>
        <v>Sharpen Your Sentences: Comparing Character Traits671</v>
      </c>
    </row>
    <row r="37">
      <c r="B37" s="110" t="s">
        <v>845</v>
      </c>
      <c r="C37" s="193" t="s">
        <v>5013</v>
      </c>
      <c r="D37" s="90" t="s">
        <v>5014</v>
      </c>
      <c r="E37" s="93" t="s">
        <v>5015</v>
      </c>
      <c r="F37" s="87" t="s">
        <v>4932</v>
      </c>
      <c r="G37" s="87" t="s">
        <v>5012</v>
      </c>
      <c r="H37" s="82" t="s">
        <v>5016</v>
      </c>
      <c r="I37" s="87">
        <v>672.0</v>
      </c>
      <c r="J37" s="87" t="str">
        <f t="shared" si="7"/>
        <v>Write to Impress: Recognize and Correct Vague Pronouns672</v>
      </c>
    </row>
    <row r="38">
      <c r="B38" s="110" t="s">
        <v>849</v>
      </c>
      <c r="C38" s="193" t="s">
        <v>5017</v>
      </c>
      <c r="D38" s="90"/>
      <c r="E38" s="93" t="s">
        <v>5018</v>
      </c>
      <c r="F38" s="87" t="s">
        <v>4951</v>
      </c>
      <c r="G38" s="87"/>
      <c r="H38" s="82" t="s">
        <v>731</v>
      </c>
      <c r="I38" s="87">
        <v>673.0</v>
      </c>
      <c r="J38" s="87" t="str">
        <f t="shared" si="7"/>
        <v>Sharpen Your Sentences: Analyzing Traditional Tales673</v>
      </c>
    </row>
    <row r="39">
      <c r="B39" s="110" t="s">
        <v>1670</v>
      </c>
      <c r="C39" s="193" t="s">
        <v>5019</v>
      </c>
      <c r="D39" s="90"/>
      <c r="E39" s="93" t="s">
        <v>5020</v>
      </c>
      <c r="F39" s="87" t="s">
        <v>5021</v>
      </c>
      <c r="G39" s="87"/>
      <c r="H39" s="82" t="s">
        <v>5022</v>
      </c>
      <c r="I39" s="238">
        <v>677.0</v>
      </c>
      <c r="J39" s="87" t="str">
        <f t="shared" si="7"/>
        <v>Edit the Draft Together: Peer Edit: Give and Get Feedback; Active Versus Passive Language677</v>
      </c>
    </row>
    <row r="40">
      <c r="A40" s="80"/>
      <c r="B40" s="80"/>
      <c r="C40" s="80" t="s">
        <v>4947</v>
      </c>
      <c r="D40" s="80"/>
      <c r="E40" s="80"/>
      <c r="F40" s="80"/>
      <c r="G40" s="80"/>
      <c r="H40" s="80"/>
      <c r="I40" s="80"/>
      <c r="J40" s="87" t="str">
        <f t="shared" si="7"/>
        <v/>
      </c>
    </row>
    <row r="41">
      <c r="A41" s="83"/>
      <c r="B41" s="83"/>
      <c r="C41" s="235" t="s">
        <v>4923</v>
      </c>
      <c r="D41" s="83" t="s">
        <v>4924</v>
      </c>
      <c r="E41" s="83" t="s">
        <v>11</v>
      </c>
      <c r="F41" s="236" t="s">
        <v>4925</v>
      </c>
      <c r="G41" s="236" t="s">
        <v>4926</v>
      </c>
      <c r="H41" s="83" t="s">
        <v>714</v>
      </c>
      <c r="I41" s="83"/>
      <c r="J41" s="87" t="str">
        <f t="shared" si="7"/>
        <v>Collaborative and Independent Student Practice Tasks</v>
      </c>
    </row>
    <row r="42">
      <c r="A42" s="84" t="s">
        <v>857</v>
      </c>
      <c r="B42" s="116" t="s">
        <v>858</v>
      </c>
      <c r="C42" s="192" t="s">
        <v>5023</v>
      </c>
      <c r="D42" s="96" t="s">
        <v>5024</v>
      </c>
      <c r="E42" s="93" t="s">
        <v>5025</v>
      </c>
      <c r="F42" s="87" t="s">
        <v>4951</v>
      </c>
      <c r="G42" s="87" t="s">
        <v>5026</v>
      </c>
      <c r="H42" s="82" t="s">
        <v>5027</v>
      </c>
      <c r="I42" s="234">
        <v>711.0</v>
      </c>
      <c r="J42" s="87" t="str">
        <f t="shared" si="7"/>
        <v>Write to Impress: Use Sentence Types
Quill: Joining Words711</v>
      </c>
    </row>
    <row r="43">
      <c r="B43" s="119" t="s">
        <v>864</v>
      </c>
      <c r="C43" s="192" t="s">
        <v>5028</v>
      </c>
      <c r="D43" s="96" t="s">
        <v>5029</v>
      </c>
      <c r="E43" s="93" t="s">
        <v>5030</v>
      </c>
      <c r="F43" s="87" t="s">
        <v>4961</v>
      </c>
      <c r="G43" s="87" t="s">
        <v>5031</v>
      </c>
      <c r="H43" s="82" t="s">
        <v>5032</v>
      </c>
      <c r="I43" s="87">
        <v>712.0</v>
      </c>
      <c r="J43" s="87" t="str">
        <f t="shared" si="7"/>
        <v>Write to Impress: Use Phrases and Clauses
Quill: Telling More About a Person or Thing712</v>
      </c>
    </row>
    <row r="44">
      <c r="B44" s="116" t="s">
        <v>866</v>
      </c>
      <c r="C44" s="192" t="s">
        <v>5033</v>
      </c>
      <c r="D44" s="96"/>
      <c r="E44" s="93" t="s">
        <v>4928</v>
      </c>
      <c r="F44" s="87" t="s">
        <v>5034</v>
      </c>
      <c r="G44" s="87" t="s">
        <v>5031</v>
      </c>
      <c r="H44" s="82" t="s">
        <v>5035</v>
      </c>
      <c r="I44" s="207">
        <v>713.0</v>
      </c>
      <c r="J44" s="87" t="str">
        <f t="shared" si="7"/>
        <v>Sharpen Your Sentences: Expand the Sentence713</v>
      </c>
    </row>
    <row r="45">
      <c r="B45" s="119" t="s">
        <v>1715</v>
      </c>
      <c r="C45" s="192" t="s">
        <v>5036</v>
      </c>
      <c r="D45" s="96"/>
      <c r="E45" s="93" t="s">
        <v>4944</v>
      </c>
      <c r="F45" s="87" t="s">
        <v>4945</v>
      </c>
      <c r="G45" s="87"/>
      <c r="H45" s="82" t="s">
        <v>5037</v>
      </c>
      <c r="I45" s="234">
        <v>717.0</v>
      </c>
      <c r="J45" s="87" t="str">
        <f t="shared" si="7"/>
        <v>Edit the Draft Together: Peer Edit: Give and Get Feedback; Capitalization and Spelling; Punctuation and End Punctuation717</v>
      </c>
    </row>
    <row r="46">
      <c r="A46" s="80"/>
      <c r="B46" s="80"/>
      <c r="C46" s="80" t="s">
        <v>4947</v>
      </c>
      <c r="D46" s="80"/>
      <c r="E46" s="80"/>
      <c r="F46" s="80"/>
      <c r="G46" s="80"/>
      <c r="H46" s="80"/>
      <c r="I46" s="80"/>
      <c r="J46" s="87" t="str">
        <f t="shared" si="7"/>
        <v/>
      </c>
    </row>
    <row r="47">
      <c r="A47" s="128"/>
      <c r="B47" s="83"/>
      <c r="C47" s="235" t="s">
        <v>4923</v>
      </c>
      <c r="D47" s="236" t="s">
        <v>4924</v>
      </c>
      <c r="E47" s="236" t="s">
        <v>11</v>
      </c>
      <c r="F47" s="236" t="s">
        <v>4925</v>
      </c>
      <c r="G47" s="236" t="s">
        <v>4926</v>
      </c>
      <c r="H47" s="236" t="s">
        <v>714</v>
      </c>
      <c r="I47" s="128"/>
      <c r="J47" s="128"/>
    </row>
    <row r="48">
      <c r="A48" s="84" t="s">
        <v>872</v>
      </c>
      <c r="B48" s="110" t="s">
        <v>873</v>
      </c>
      <c r="C48" s="192" t="s">
        <v>5038</v>
      </c>
      <c r="D48" s="96"/>
      <c r="E48" s="93" t="s">
        <v>5039</v>
      </c>
      <c r="F48" s="87" t="s">
        <v>4982</v>
      </c>
      <c r="G48" s="87" t="s">
        <v>5040</v>
      </c>
      <c r="H48" s="82" t="s">
        <v>5035</v>
      </c>
      <c r="I48" s="87">
        <v>721.0</v>
      </c>
      <c r="J48" s="87" t="str">
        <f t="shared" ref="J48:J51" si="8">CONCATENATE(E48, I48)</f>
        <v>Write to Impress: Use Precise Language721</v>
      </c>
    </row>
    <row r="49">
      <c r="B49" s="110" t="s">
        <v>877</v>
      </c>
      <c r="C49" s="192" t="s">
        <v>4953</v>
      </c>
      <c r="D49" s="96"/>
      <c r="E49" s="93" t="s">
        <v>4954</v>
      </c>
      <c r="F49" s="87" t="s">
        <v>4951</v>
      </c>
      <c r="G49" s="87" t="s">
        <v>5040</v>
      </c>
      <c r="H49" s="82" t="s">
        <v>5035</v>
      </c>
      <c r="I49" s="234">
        <v>722.0</v>
      </c>
      <c r="J49" s="87" t="str">
        <f t="shared" si="8"/>
        <v>Sharpen Your Sentences: Sentence Expansion in Counterclaims722</v>
      </c>
    </row>
    <row r="50">
      <c r="B50" s="110" t="s">
        <v>1761</v>
      </c>
      <c r="C50" s="192" t="s">
        <v>5041</v>
      </c>
      <c r="D50" s="96"/>
      <c r="E50" s="93" t="s">
        <v>5042</v>
      </c>
      <c r="F50" s="87" t="s">
        <v>5043</v>
      </c>
      <c r="G50" s="87"/>
      <c r="H50" s="82" t="s">
        <v>5044</v>
      </c>
      <c r="I50" s="238">
        <v>727.0</v>
      </c>
      <c r="J50" s="87" t="str">
        <f t="shared" si="8"/>
        <v>Edit the Draft Together: Peer Edit: Give and Get Feedback; Subjects and Predicates; Subject-Verb Agreement727</v>
      </c>
    </row>
    <row r="51">
      <c r="A51" s="80"/>
      <c r="B51" s="80"/>
      <c r="C51" s="80" t="s">
        <v>4947</v>
      </c>
      <c r="D51" s="80"/>
      <c r="E51" s="80"/>
      <c r="F51" s="80"/>
      <c r="G51" s="80"/>
      <c r="H51" s="80"/>
      <c r="I51" s="80"/>
      <c r="J51" s="87" t="str">
        <f t="shared" si="8"/>
        <v/>
      </c>
    </row>
    <row r="52">
      <c r="A52" s="128"/>
      <c r="B52" s="83"/>
      <c r="C52" s="235" t="s">
        <v>4923</v>
      </c>
      <c r="D52" s="236" t="s">
        <v>4924</v>
      </c>
      <c r="E52" s="236" t="s">
        <v>11</v>
      </c>
      <c r="F52" s="236" t="s">
        <v>4925</v>
      </c>
      <c r="G52" s="236" t="s">
        <v>4926</v>
      </c>
      <c r="H52" s="236" t="s">
        <v>714</v>
      </c>
      <c r="I52" s="128"/>
      <c r="J52" s="128"/>
    </row>
    <row r="53">
      <c r="A53" s="84" t="s">
        <v>884</v>
      </c>
      <c r="B53" s="116" t="s">
        <v>885</v>
      </c>
      <c r="C53" s="192" t="s">
        <v>4963</v>
      </c>
      <c r="D53" s="96" t="s">
        <v>4964</v>
      </c>
      <c r="E53" s="93" t="s">
        <v>4965</v>
      </c>
      <c r="F53" s="87" t="s">
        <v>4964</v>
      </c>
      <c r="G53" s="87" t="s">
        <v>4967</v>
      </c>
      <c r="H53" s="82" t="s">
        <v>5045</v>
      </c>
      <c r="I53" s="87">
        <v>731.0</v>
      </c>
      <c r="J53" s="87" t="str">
        <f t="shared" ref="J53:J56" si="9">CONCATENATE(E53, I53)</f>
        <v>Write to Impress: Spell Correctly731</v>
      </c>
    </row>
    <row r="54">
      <c r="B54" s="119" t="s">
        <v>890</v>
      </c>
      <c r="C54" s="192" t="s">
        <v>4969</v>
      </c>
      <c r="D54" s="96"/>
      <c r="E54" s="93" t="s">
        <v>4970</v>
      </c>
      <c r="F54" s="87" t="s">
        <v>5034</v>
      </c>
      <c r="G54" s="87"/>
      <c r="H54" s="82" t="s">
        <v>5046</v>
      </c>
      <c r="I54" s="87">
        <v>732.0</v>
      </c>
      <c r="J54" s="87" t="str">
        <f t="shared" si="9"/>
        <v>Sharpen Your Sentences: Use an Appositive in a Sentence732</v>
      </c>
    </row>
    <row r="55">
      <c r="B55" s="116" t="s">
        <v>1806</v>
      </c>
      <c r="C55" s="192" t="s">
        <v>5047</v>
      </c>
      <c r="D55" s="96"/>
      <c r="E55" s="93" t="s">
        <v>5048</v>
      </c>
      <c r="F55" s="87" t="s">
        <v>5049</v>
      </c>
      <c r="G55" s="87"/>
      <c r="H55" s="82" t="s">
        <v>5050</v>
      </c>
      <c r="I55" s="240">
        <v>737.0</v>
      </c>
      <c r="J55" s="87" t="str">
        <f t="shared" si="9"/>
        <v>Edit the Draft Together: Peer Edit: Give and Get Feedback; Tense and Commas737</v>
      </c>
    </row>
    <row r="56">
      <c r="A56" s="80"/>
      <c r="B56" s="80"/>
      <c r="C56" s="80" t="s">
        <v>4947</v>
      </c>
      <c r="D56" s="80"/>
      <c r="E56" s="80"/>
      <c r="F56" s="80"/>
      <c r="G56" s="80"/>
      <c r="H56" s="80"/>
      <c r="I56" s="80"/>
      <c r="J56" s="87" t="str">
        <f t="shared" si="9"/>
        <v/>
      </c>
    </row>
    <row r="57">
      <c r="A57" s="128"/>
      <c r="B57" s="83"/>
      <c r="C57" s="235" t="s">
        <v>4923</v>
      </c>
      <c r="D57" s="236" t="s">
        <v>4924</v>
      </c>
      <c r="E57" s="236" t="s">
        <v>11</v>
      </c>
      <c r="F57" s="236" t="s">
        <v>4925</v>
      </c>
      <c r="G57" s="236" t="s">
        <v>4926</v>
      </c>
      <c r="H57" s="236" t="s">
        <v>714</v>
      </c>
      <c r="I57" s="128"/>
      <c r="J57" s="128"/>
    </row>
    <row r="58">
      <c r="A58" s="84" t="s">
        <v>900</v>
      </c>
      <c r="B58" s="110" t="s">
        <v>907</v>
      </c>
      <c r="C58" s="192" t="s">
        <v>5051</v>
      </c>
      <c r="D58" s="96"/>
      <c r="E58" s="93" t="s">
        <v>4978</v>
      </c>
      <c r="F58" s="87" t="s">
        <v>5052</v>
      </c>
      <c r="G58" s="87"/>
      <c r="H58" s="82" t="s">
        <v>5053</v>
      </c>
      <c r="I58" s="241">
        <v>742.0</v>
      </c>
      <c r="J58" s="87" t="str">
        <f t="shared" ref="J58:J60" si="10">CONCATENATE(E58, I58)</f>
        <v>Sharpen Your Sentences: Integrating Quotations Effectively742</v>
      </c>
    </row>
    <row r="59">
      <c r="B59" s="110" t="s">
        <v>1846</v>
      </c>
      <c r="C59" s="192" t="s">
        <v>5054</v>
      </c>
      <c r="D59" s="96"/>
      <c r="E59" s="93" t="s">
        <v>5055</v>
      </c>
      <c r="F59" s="87" t="s">
        <v>5052</v>
      </c>
      <c r="G59" s="87"/>
      <c r="H59" s="82" t="s">
        <v>5056</v>
      </c>
      <c r="I59" s="241">
        <v>748.0</v>
      </c>
      <c r="J59" s="87" t="str">
        <f t="shared" si="10"/>
        <v>Edit the Draft Together: Peer Edit: Give and Get Feedback; Varied Sentence Structure; Redundancy and Clarity748</v>
      </c>
    </row>
    <row r="60">
      <c r="A60" s="80"/>
      <c r="B60" s="80"/>
      <c r="C60" s="80" t="s">
        <v>4947</v>
      </c>
      <c r="D60" s="80"/>
      <c r="E60" s="80"/>
      <c r="F60" s="80"/>
      <c r="G60" s="80"/>
      <c r="H60" s="80"/>
      <c r="I60" s="80"/>
      <c r="J60" s="87" t="str">
        <f t="shared" si="10"/>
        <v/>
      </c>
    </row>
    <row r="61">
      <c r="A61" s="128"/>
      <c r="B61" s="83"/>
      <c r="C61" s="235" t="s">
        <v>4923</v>
      </c>
      <c r="D61" s="236" t="s">
        <v>4924</v>
      </c>
      <c r="E61" s="236" t="s">
        <v>11</v>
      </c>
      <c r="F61" s="236" t="s">
        <v>4925</v>
      </c>
      <c r="G61" s="236" t="s">
        <v>4926</v>
      </c>
      <c r="H61" s="236" t="s">
        <v>714</v>
      </c>
      <c r="I61" s="128"/>
      <c r="J61" s="128"/>
    </row>
    <row r="62">
      <c r="A62" s="84" t="s">
        <v>911</v>
      </c>
      <c r="B62" s="116" t="s">
        <v>912</v>
      </c>
      <c r="C62" s="192" t="s">
        <v>5057</v>
      </c>
      <c r="D62" s="96" t="s">
        <v>4935</v>
      </c>
      <c r="E62" s="93" t="s">
        <v>5058</v>
      </c>
      <c r="F62" s="87" t="s">
        <v>4951</v>
      </c>
      <c r="G62" s="87"/>
      <c r="H62" s="82" t="s">
        <v>5046</v>
      </c>
      <c r="I62" s="207">
        <v>751.0</v>
      </c>
      <c r="J62" s="87" t="str">
        <f t="shared" ref="J62:J65" si="11">CONCATENATE(E62, I62)</f>
        <v>Sharpen Your Sentences: Creating Cause-and-Effect Sentences751</v>
      </c>
    </row>
    <row r="63">
      <c r="B63" s="119" t="s">
        <v>918</v>
      </c>
      <c r="C63" s="192" t="s">
        <v>5059</v>
      </c>
      <c r="D63" s="96"/>
      <c r="E63" s="93" t="s">
        <v>5060</v>
      </c>
      <c r="F63" s="87" t="s">
        <v>5052</v>
      </c>
      <c r="G63" s="87"/>
      <c r="H63" s="82" t="s">
        <v>5061</v>
      </c>
      <c r="I63" s="87">
        <v>752.0</v>
      </c>
      <c r="J63" s="87" t="str">
        <f t="shared" si="11"/>
        <v>Sharpen Your Sentences: Vary Your Sentence Structure752</v>
      </c>
    </row>
    <row r="64">
      <c r="B64" s="116" t="s">
        <v>1890</v>
      </c>
      <c r="C64" s="192" t="s">
        <v>5062</v>
      </c>
      <c r="D64" s="96"/>
      <c r="E64" s="93" t="s">
        <v>5063</v>
      </c>
      <c r="F64" s="87" t="s">
        <v>5064</v>
      </c>
      <c r="G64" s="87" t="s">
        <v>5065</v>
      </c>
      <c r="H64" s="82" t="s">
        <v>5066</v>
      </c>
      <c r="I64" s="240">
        <v>758.0</v>
      </c>
      <c r="J64" s="87" t="str">
        <f t="shared" si="11"/>
        <v>Edit the Draft Together: Peer Edit: Give and Get Feedback; Modifiers and Parallelism758</v>
      </c>
    </row>
    <row r="65">
      <c r="A65" s="80"/>
      <c r="B65" s="80"/>
      <c r="C65" s="80" t="s">
        <v>4947</v>
      </c>
      <c r="D65" s="80"/>
      <c r="E65" s="80"/>
      <c r="F65" s="80"/>
      <c r="G65" s="80"/>
      <c r="H65" s="80"/>
      <c r="I65" s="80"/>
      <c r="J65" s="87" t="str">
        <f t="shared" si="11"/>
        <v/>
      </c>
    </row>
    <row r="66">
      <c r="A66" s="128"/>
      <c r="B66" s="83"/>
      <c r="C66" s="235" t="s">
        <v>4923</v>
      </c>
      <c r="D66" s="236" t="s">
        <v>4924</v>
      </c>
      <c r="E66" s="236" t="s">
        <v>11</v>
      </c>
      <c r="F66" s="236" t="s">
        <v>4925</v>
      </c>
      <c r="G66" s="236" t="s">
        <v>4926</v>
      </c>
      <c r="H66" s="236" t="s">
        <v>714</v>
      </c>
      <c r="I66" s="128"/>
      <c r="J66" s="128"/>
    </row>
    <row r="67">
      <c r="A67" s="84" t="s">
        <v>930</v>
      </c>
      <c r="B67" s="116" t="s">
        <v>931</v>
      </c>
      <c r="C67" s="192" t="s">
        <v>5067</v>
      </c>
      <c r="D67" s="96" t="s">
        <v>5034</v>
      </c>
      <c r="E67" s="93" t="s">
        <v>5068</v>
      </c>
      <c r="F67" s="87" t="s">
        <v>5034</v>
      </c>
      <c r="G67" s="87" t="s">
        <v>5069</v>
      </c>
      <c r="H67" s="82" t="s">
        <v>5070</v>
      </c>
      <c r="I67" s="87">
        <v>761.0</v>
      </c>
      <c r="J67" s="87" t="str">
        <f t="shared" ref="J67:J70" si="12">CONCATENATE(E67, I67)</f>
        <v>Write to Impress: Punctuate Sentences with Coordinate Adjectives: Quill: Two Describing Words761</v>
      </c>
    </row>
    <row r="68">
      <c r="B68" s="119" t="s">
        <v>936</v>
      </c>
      <c r="C68" s="192" t="s">
        <v>5071</v>
      </c>
      <c r="D68" s="96"/>
      <c r="E68" s="93" t="s">
        <v>5072</v>
      </c>
      <c r="F68" s="87" t="s">
        <v>5073</v>
      </c>
      <c r="G68" s="87"/>
      <c r="H68" s="82" t="s">
        <v>5074</v>
      </c>
      <c r="I68" s="87">
        <v>762.0</v>
      </c>
      <c r="J68" s="87" t="str">
        <f t="shared" si="12"/>
        <v>Sharpen Your Sentences: Sentence Combining: Appositives,                         Pronouns, Conjunctions762</v>
      </c>
    </row>
    <row r="69">
      <c r="B69" s="116" t="s">
        <v>1928</v>
      </c>
      <c r="C69" s="192" t="s">
        <v>5075</v>
      </c>
      <c r="D69" s="96"/>
      <c r="E69" s="93" t="s">
        <v>5076</v>
      </c>
      <c r="F69" s="87" t="s">
        <v>5077</v>
      </c>
      <c r="G69" s="87"/>
      <c r="H69" s="82" t="s">
        <v>5078</v>
      </c>
      <c r="I69" s="240">
        <v>767.0</v>
      </c>
      <c r="J69" s="87" t="str">
        <f t="shared" si="12"/>
        <v>Edit the Draft Together: Peer Edit: Give and Get Feedback; Formal and Objective Style767</v>
      </c>
    </row>
    <row r="70">
      <c r="A70" s="80"/>
      <c r="B70" s="80"/>
      <c r="C70" s="80" t="s">
        <v>4947</v>
      </c>
      <c r="D70" s="80"/>
      <c r="E70" s="80"/>
      <c r="F70" s="80"/>
      <c r="G70" s="80"/>
      <c r="H70" s="80"/>
      <c r="I70" s="80"/>
      <c r="J70" s="87" t="str">
        <f t="shared" si="12"/>
        <v/>
      </c>
    </row>
    <row r="71">
      <c r="A71" s="128"/>
      <c r="B71" s="83"/>
      <c r="C71" s="235" t="s">
        <v>4923</v>
      </c>
      <c r="D71" s="236" t="s">
        <v>4924</v>
      </c>
      <c r="E71" s="236" t="s">
        <v>11</v>
      </c>
      <c r="F71" s="236" t="s">
        <v>4925</v>
      </c>
      <c r="G71" s="236" t="s">
        <v>4926</v>
      </c>
      <c r="H71" s="236" t="s">
        <v>714</v>
      </c>
      <c r="I71" s="128"/>
      <c r="J71" s="128"/>
    </row>
    <row r="72">
      <c r="A72" s="84" t="s">
        <v>945</v>
      </c>
      <c r="B72" s="116" t="s">
        <v>946</v>
      </c>
      <c r="C72" s="193" t="s">
        <v>5079</v>
      </c>
      <c r="D72" s="90"/>
      <c r="E72" s="93" t="s">
        <v>5080</v>
      </c>
      <c r="F72" s="87" t="s">
        <v>5081</v>
      </c>
      <c r="G72" s="87"/>
      <c r="H72" s="82" t="s">
        <v>5046</v>
      </c>
      <c r="I72" s="87">
        <v>771.0</v>
      </c>
      <c r="J72" s="87" t="str">
        <f t="shared" ref="J72:J76" si="13">CONCATENATE(E72, I72)</f>
        <v>Sharpen Your Sentences: Comparing Settings771</v>
      </c>
    </row>
    <row r="73">
      <c r="B73" s="119" t="s">
        <v>951</v>
      </c>
      <c r="C73" s="193" t="s">
        <v>5082</v>
      </c>
      <c r="D73" s="90"/>
      <c r="E73" s="93" t="s">
        <v>5083</v>
      </c>
      <c r="F73" s="87" t="s">
        <v>5052</v>
      </c>
      <c r="G73" s="87"/>
      <c r="H73" s="82" t="s">
        <v>5046</v>
      </c>
      <c r="I73" s="87">
        <v>772.0</v>
      </c>
      <c r="J73" s="87" t="str">
        <f t="shared" si="13"/>
        <v>Sharpen Your Sentences: Connect Evidence to Claims with Reasoning772</v>
      </c>
    </row>
    <row r="74">
      <c r="B74" s="116" t="s">
        <v>953</v>
      </c>
      <c r="C74" s="193" t="s">
        <v>5084</v>
      </c>
      <c r="D74" s="90"/>
      <c r="E74" s="93" t="s">
        <v>5085</v>
      </c>
      <c r="F74" s="87" t="s">
        <v>5086</v>
      </c>
      <c r="G74" s="87"/>
      <c r="H74" s="82" t="s">
        <v>5046</v>
      </c>
      <c r="I74" s="207">
        <v>773.0</v>
      </c>
      <c r="J74" s="87" t="str">
        <f t="shared" si="13"/>
        <v>Sharpen Your Sentences: Writing Focused Summaries 773</v>
      </c>
    </row>
    <row r="75">
      <c r="B75" s="119" t="s">
        <v>1964</v>
      </c>
      <c r="C75" s="193" t="s">
        <v>5087</v>
      </c>
      <c r="D75" s="90"/>
      <c r="E75" s="93" t="s">
        <v>5020</v>
      </c>
      <c r="F75" s="87" t="s">
        <v>5021</v>
      </c>
      <c r="G75" s="87"/>
      <c r="H75" s="82" t="s">
        <v>5056</v>
      </c>
      <c r="I75" s="87">
        <v>776.0</v>
      </c>
      <c r="J75" s="87" t="str">
        <f t="shared" si="13"/>
        <v>Edit the Draft Together: Peer Edit: Give and Get Feedback; Active Versus Passive Language776</v>
      </c>
    </row>
    <row r="76">
      <c r="A76" s="80"/>
      <c r="B76" s="80"/>
      <c r="C76" s="80" t="s">
        <v>4947</v>
      </c>
      <c r="D76" s="80"/>
      <c r="E76" s="80"/>
      <c r="F76" s="80"/>
      <c r="G76" s="80"/>
      <c r="H76" s="80"/>
      <c r="I76" s="80"/>
      <c r="J76" s="87" t="str">
        <f t="shared" si="13"/>
        <v/>
      </c>
    </row>
    <row r="77">
      <c r="A77" s="128"/>
      <c r="B77" s="83"/>
      <c r="C77" s="235" t="s">
        <v>4923</v>
      </c>
      <c r="D77" s="236" t="s">
        <v>4924</v>
      </c>
      <c r="E77" s="236" t="s">
        <v>11</v>
      </c>
      <c r="F77" s="236" t="s">
        <v>4925</v>
      </c>
      <c r="G77" s="236" t="s">
        <v>4926</v>
      </c>
      <c r="H77" s="236" t="s">
        <v>714</v>
      </c>
      <c r="I77" s="128"/>
      <c r="J77" s="128"/>
    </row>
    <row r="78">
      <c r="A78" s="84" t="s">
        <v>954</v>
      </c>
      <c r="B78" s="116" t="s">
        <v>955</v>
      </c>
      <c r="C78" s="96" t="s">
        <v>5088</v>
      </c>
      <c r="D78" s="96"/>
      <c r="E78" s="93" t="s">
        <v>4928</v>
      </c>
      <c r="F78" s="87" t="s">
        <v>4929</v>
      </c>
      <c r="G78" s="87"/>
      <c r="H78" s="82" t="s">
        <v>5089</v>
      </c>
      <c r="I78" s="87">
        <v>811.0</v>
      </c>
      <c r="J78" s="87" t="str">
        <f t="shared" ref="J78:J82" si="14">CONCATENATE(E78, I78)</f>
        <v>Sharpen Your Sentences: Expand the Sentence811</v>
      </c>
    </row>
    <row r="79">
      <c r="B79" s="119" t="s">
        <v>955</v>
      </c>
      <c r="C79" s="96" t="s">
        <v>5090</v>
      </c>
      <c r="D79" s="96" t="s">
        <v>5091</v>
      </c>
      <c r="E79" s="93" t="s">
        <v>5092</v>
      </c>
      <c r="F79" s="87" t="s">
        <v>5093</v>
      </c>
      <c r="G79" s="87" t="s">
        <v>5094</v>
      </c>
      <c r="H79" s="82" t="s">
        <v>5089</v>
      </c>
      <c r="I79" s="87">
        <v>811.0</v>
      </c>
      <c r="J79" s="87" t="str">
        <f t="shared" si="14"/>
        <v>Write to Impress: Use Verbals in Sentences 811</v>
      </c>
    </row>
    <row r="80">
      <c r="B80" s="116" t="s">
        <v>960</v>
      </c>
      <c r="C80" s="96" t="s">
        <v>5095</v>
      </c>
      <c r="D80" s="96"/>
      <c r="E80" s="93" t="s">
        <v>5096</v>
      </c>
      <c r="F80" s="87" t="s">
        <v>5097</v>
      </c>
      <c r="G80" s="87" t="s">
        <v>5094</v>
      </c>
      <c r="H80" s="82" t="s">
        <v>5089</v>
      </c>
      <c r="I80" s="207">
        <v>812.0</v>
      </c>
      <c r="J80" s="87" t="str">
        <f t="shared" si="14"/>
        <v>Write to Impress: Understand Active vs. Passive Verbs: 
Quill: Active Voice812</v>
      </c>
    </row>
    <row r="81">
      <c r="B81" s="119" t="s">
        <v>2007</v>
      </c>
      <c r="C81" s="90" t="s">
        <v>5036</v>
      </c>
      <c r="D81" s="90"/>
      <c r="E81" s="93" t="s">
        <v>4944</v>
      </c>
      <c r="F81" s="87" t="s">
        <v>4945</v>
      </c>
      <c r="G81" s="87"/>
      <c r="H81" s="82" t="s">
        <v>5098</v>
      </c>
      <c r="I81" s="234">
        <v>817.0</v>
      </c>
      <c r="J81" s="87" t="str">
        <f t="shared" si="14"/>
        <v>Edit the Draft Together: Peer Edit: Give and Get Feedback; Capitalization and Spelling; Punctuation and End Punctuation817</v>
      </c>
    </row>
    <row r="82">
      <c r="A82" s="80"/>
      <c r="B82" s="80"/>
      <c r="C82" s="80" t="s">
        <v>4947</v>
      </c>
      <c r="D82" s="80"/>
      <c r="E82" s="80"/>
      <c r="F82" s="80"/>
      <c r="G82" s="80"/>
      <c r="H82" s="80"/>
      <c r="I82" s="80"/>
      <c r="J82" s="87" t="str">
        <f t="shared" si="14"/>
        <v/>
      </c>
    </row>
    <row r="83">
      <c r="A83" s="128"/>
      <c r="B83" s="83"/>
      <c r="C83" s="235" t="s">
        <v>4923</v>
      </c>
      <c r="D83" s="236" t="s">
        <v>4924</v>
      </c>
      <c r="E83" s="236" t="s">
        <v>11</v>
      </c>
      <c r="F83" s="236" t="s">
        <v>4925</v>
      </c>
      <c r="G83" s="236" t="s">
        <v>4926</v>
      </c>
      <c r="H83" s="236" t="s">
        <v>714</v>
      </c>
      <c r="I83" s="128"/>
      <c r="J83" s="128"/>
    </row>
    <row r="84">
      <c r="A84" s="84" t="s">
        <v>967</v>
      </c>
      <c r="B84" s="110" t="s">
        <v>968</v>
      </c>
      <c r="C84" s="96" t="s">
        <v>5099</v>
      </c>
      <c r="D84" s="96" t="s">
        <v>5100</v>
      </c>
      <c r="E84" s="86" t="s">
        <v>5101</v>
      </c>
      <c r="F84" s="87" t="s">
        <v>5102</v>
      </c>
      <c r="G84" s="87" t="s">
        <v>5094</v>
      </c>
      <c r="H84" s="82" t="s">
        <v>5103</v>
      </c>
      <c r="I84" s="87">
        <v>821.0</v>
      </c>
      <c r="J84" s="87" t="str">
        <f t="shared" ref="J84:J87" si="15">CONCATENATE(E84, I84)</f>
        <v>Write to Impress: Understand Active vs. Passive Voice: Quill: Passive Voice821</v>
      </c>
    </row>
    <row r="85">
      <c r="B85" s="110" t="s">
        <v>972</v>
      </c>
      <c r="C85" s="90" t="s">
        <v>4953</v>
      </c>
      <c r="D85" s="90" t="s">
        <v>4990</v>
      </c>
      <c r="E85" s="86" t="s">
        <v>4954</v>
      </c>
      <c r="F85" s="87" t="s">
        <v>5104</v>
      </c>
      <c r="G85" s="87"/>
      <c r="H85" s="82" t="s">
        <v>5105</v>
      </c>
      <c r="I85" s="87">
        <v>822.0</v>
      </c>
      <c r="J85" s="87" t="str">
        <f t="shared" si="15"/>
        <v>Sharpen Your Sentences: Sentence Expansion in Counterclaims822</v>
      </c>
    </row>
    <row r="86">
      <c r="B86" s="110" t="s">
        <v>2046</v>
      </c>
      <c r="C86" s="90" t="s">
        <v>5041</v>
      </c>
      <c r="D86" s="90" t="s">
        <v>4956</v>
      </c>
      <c r="E86" s="93" t="s">
        <v>5042</v>
      </c>
      <c r="F86" s="87" t="s">
        <v>5043</v>
      </c>
      <c r="G86" s="87" t="s">
        <v>5094</v>
      </c>
      <c r="H86" s="82" t="s">
        <v>5106</v>
      </c>
      <c r="I86" s="237">
        <v>827.0</v>
      </c>
      <c r="J86" s="87" t="str">
        <f t="shared" si="15"/>
        <v>Edit the Draft Together: Peer Edit: Give and Get Feedback; Subjects and Predicates; Subject-Verb Agreement827</v>
      </c>
    </row>
    <row r="87">
      <c r="A87" s="80"/>
      <c r="B87" s="80"/>
      <c r="C87" s="80" t="s">
        <v>4947</v>
      </c>
      <c r="D87" s="80"/>
      <c r="E87" s="80"/>
      <c r="F87" s="80"/>
      <c r="G87" s="80"/>
      <c r="H87" s="80"/>
      <c r="I87" s="80"/>
      <c r="J87" s="87" t="str">
        <f t="shared" si="15"/>
        <v/>
      </c>
    </row>
    <row r="88">
      <c r="A88" s="128"/>
      <c r="B88" s="83"/>
      <c r="C88" s="235" t="s">
        <v>4923</v>
      </c>
      <c r="D88" s="236" t="s">
        <v>4924</v>
      </c>
      <c r="E88" s="236" t="s">
        <v>11</v>
      </c>
      <c r="F88" s="236" t="s">
        <v>4925</v>
      </c>
      <c r="G88" s="236" t="s">
        <v>4926</v>
      </c>
      <c r="H88" s="236" t="s">
        <v>714</v>
      </c>
      <c r="I88" s="128"/>
      <c r="J88" s="128"/>
    </row>
    <row r="89">
      <c r="A89" s="84" t="s">
        <v>978</v>
      </c>
      <c r="B89" s="116" t="s">
        <v>984</v>
      </c>
      <c r="C89" s="90" t="s">
        <v>4969</v>
      </c>
      <c r="D89" s="90"/>
      <c r="E89" s="242" t="s">
        <v>4970</v>
      </c>
      <c r="F89" s="87" t="s">
        <v>5107</v>
      </c>
      <c r="G89" s="87"/>
      <c r="H89" s="82" t="s">
        <v>5108</v>
      </c>
      <c r="I89" s="87">
        <v>832.0</v>
      </c>
      <c r="J89" s="87" t="str">
        <f t="shared" ref="J89:J92" si="16">CONCATENATE(E89, I89)</f>
        <v>Sharpen Your Sentences: Use an Appositive in a Sentence832</v>
      </c>
    </row>
    <row r="90">
      <c r="B90" s="119" t="s">
        <v>984</v>
      </c>
      <c r="C90" s="90" t="s">
        <v>5109</v>
      </c>
      <c r="D90" s="90" t="s">
        <v>4964</v>
      </c>
      <c r="E90" s="93" t="s">
        <v>4965</v>
      </c>
      <c r="F90" s="87" t="s">
        <v>4964</v>
      </c>
      <c r="G90" s="87" t="s">
        <v>4967</v>
      </c>
      <c r="H90" s="82" t="s">
        <v>5108</v>
      </c>
      <c r="I90" s="87">
        <v>832.0</v>
      </c>
      <c r="J90" s="87" t="str">
        <f t="shared" si="16"/>
        <v>Write to Impress: Spell Correctly832</v>
      </c>
    </row>
    <row r="91">
      <c r="B91" s="116" t="s">
        <v>2087</v>
      </c>
      <c r="C91" s="90" t="s">
        <v>5047</v>
      </c>
      <c r="D91" s="90"/>
      <c r="E91" s="93" t="s">
        <v>5048</v>
      </c>
      <c r="F91" s="87" t="s">
        <v>5049</v>
      </c>
      <c r="G91" s="87"/>
      <c r="H91" s="82" t="s">
        <v>5110</v>
      </c>
      <c r="I91" s="207">
        <v>837.0</v>
      </c>
      <c r="J91" s="87" t="str">
        <f t="shared" si="16"/>
        <v>Edit the Draft Together: Peer Edit: Give and Get Feedback; Tense and Commas837</v>
      </c>
    </row>
    <row r="92">
      <c r="A92" s="80"/>
      <c r="B92" s="80"/>
      <c r="C92" s="80" t="s">
        <v>4947</v>
      </c>
      <c r="D92" s="80"/>
      <c r="E92" s="80"/>
      <c r="F92" s="80"/>
      <c r="G92" s="80"/>
      <c r="H92" s="80"/>
      <c r="I92" s="80"/>
      <c r="J92" s="87" t="str">
        <f t="shared" si="16"/>
        <v/>
      </c>
    </row>
    <row r="93">
      <c r="A93" s="128"/>
      <c r="B93" s="83"/>
      <c r="C93" s="235" t="s">
        <v>4923</v>
      </c>
      <c r="D93" s="236" t="s">
        <v>4924</v>
      </c>
      <c r="E93" s="236" t="s">
        <v>11</v>
      </c>
      <c r="F93" s="236" t="s">
        <v>4925</v>
      </c>
      <c r="G93" s="236" t="s">
        <v>4926</v>
      </c>
      <c r="H93" s="236" t="s">
        <v>714</v>
      </c>
      <c r="I93" s="128"/>
      <c r="J93" s="128"/>
    </row>
    <row r="94">
      <c r="A94" s="84" t="s">
        <v>991</v>
      </c>
      <c r="B94" s="110" t="s">
        <v>996</v>
      </c>
      <c r="C94" s="96" t="s">
        <v>5111</v>
      </c>
      <c r="D94" s="96"/>
      <c r="E94" s="93" t="s">
        <v>5112</v>
      </c>
      <c r="F94" s="87" t="s">
        <v>5052</v>
      </c>
      <c r="G94" s="87"/>
      <c r="H94" s="82" t="s">
        <v>5105</v>
      </c>
      <c r="I94" s="241">
        <v>842.0</v>
      </c>
      <c r="J94" s="87" t="str">
        <f t="shared" ref="J94:J96" si="17">CONCATENATE(E94, I94)</f>
        <v>Sharpen Your Sentences: Integrate Quotations Effectively842</v>
      </c>
    </row>
    <row r="95">
      <c r="B95" s="110" t="s">
        <v>2123</v>
      </c>
      <c r="C95" s="96" t="s">
        <v>5113</v>
      </c>
      <c r="D95" s="96"/>
      <c r="E95" s="93" t="s">
        <v>5055</v>
      </c>
      <c r="F95" s="87" t="s">
        <v>5052</v>
      </c>
      <c r="G95" s="87"/>
      <c r="H95" s="82" t="s">
        <v>5114</v>
      </c>
      <c r="I95" s="241">
        <v>848.0</v>
      </c>
      <c r="J95" s="87" t="str">
        <f t="shared" si="17"/>
        <v>Edit the Draft Together: Peer Edit: Give and Get Feedback; Varied Sentence Structure; Redundancy and Clarity848</v>
      </c>
    </row>
    <row r="96">
      <c r="A96" s="80"/>
      <c r="B96" s="80"/>
      <c r="C96" s="80" t="s">
        <v>4947</v>
      </c>
      <c r="D96" s="80"/>
      <c r="E96" s="80"/>
      <c r="F96" s="80"/>
      <c r="G96" s="80"/>
      <c r="H96" s="80"/>
      <c r="I96" s="80"/>
      <c r="J96" s="87" t="str">
        <f t="shared" si="17"/>
        <v/>
      </c>
    </row>
    <row r="97">
      <c r="A97" s="128"/>
      <c r="B97" s="83"/>
      <c r="C97" s="235" t="s">
        <v>4923</v>
      </c>
      <c r="D97" s="236" t="s">
        <v>4924</v>
      </c>
      <c r="E97" s="236" t="s">
        <v>11</v>
      </c>
      <c r="F97" s="236" t="s">
        <v>4925</v>
      </c>
      <c r="G97" s="236" t="s">
        <v>4926</v>
      </c>
      <c r="H97" s="236" t="s">
        <v>714</v>
      </c>
      <c r="I97" s="128"/>
      <c r="J97" s="128"/>
    </row>
    <row r="98">
      <c r="A98" s="84" t="s">
        <v>1003</v>
      </c>
      <c r="B98" s="116" t="s">
        <v>1004</v>
      </c>
      <c r="C98" s="192" t="s">
        <v>5057</v>
      </c>
      <c r="D98" s="96"/>
      <c r="E98" s="93" t="s">
        <v>5058</v>
      </c>
      <c r="F98" s="87" t="s">
        <v>4951</v>
      </c>
      <c r="G98" s="87"/>
      <c r="H98" s="82" t="s">
        <v>5115</v>
      </c>
      <c r="I98" s="87">
        <v>851.0</v>
      </c>
      <c r="J98" s="87" t="str">
        <f t="shared" ref="J98:J102" si="18">CONCATENATE(E98, I98)</f>
        <v>Sharpen Your Sentences: Creating Cause-and-Effect Sentences851</v>
      </c>
    </row>
    <row r="99">
      <c r="B99" s="119" t="s">
        <v>1009</v>
      </c>
      <c r="C99" s="96" t="s">
        <v>5059</v>
      </c>
      <c r="D99" s="96"/>
      <c r="E99" s="93" t="s">
        <v>4993</v>
      </c>
      <c r="F99" s="87" t="s">
        <v>4951</v>
      </c>
      <c r="G99" s="87"/>
      <c r="H99" s="82" t="s">
        <v>5116</v>
      </c>
      <c r="I99" s="87">
        <v>852.0</v>
      </c>
      <c r="J99" s="87" t="str">
        <f t="shared" si="18"/>
        <v>Sharpen Your Sentences: Vary Your Sentence Length and Structure852</v>
      </c>
    </row>
    <row r="100">
      <c r="B100" s="116" t="s">
        <v>1009</v>
      </c>
      <c r="C100" s="96" t="s">
        <v>5117</v>
      </c>
      <c r="D100" s="96"/>
      <c r="E100" s="93" t="s">
        <v>5118</v>
      </c>
      <c r="F100" s="87" t="s">
        <v>5119</v>
      </c>
      <c r="G100" s="87"/>
      <c r="H100" s="82" t="s">
        <v>5116</v>
      </c>
      <c r="I100" s="207">
        <v>852.0</v>
      </c>
      <c r="J100" s="87" t="str">
        <f t="shared" si="18"/>
        <v>Write to Impress: Use the Relationship Between Words to Understand Meanings
Quill: Using Who to Add Information About a Person852</v>
      </c>
    </row>
    <row r="101">
      <c r="B101" s="119" t="s">
        <v>2168</v>
      </c>
      <c r="C101" s="96" t="s">
        <v>5120</v>
      </c>
      <c r="D101" s="96"/>
      <c r="E101" s="93" t="s">
        <v>5121</v>
      </c>
      <c r="F101" s="87" t="s">
        <v>5064</v>
      </c>
      <c r="G101" s="87"/>
      <c r="H101" s="82" t="s">
        <v>5122</v>
      </c>
      <c r="I101" s="234">
        <v>858.0</v>
      </c>
      <c r="J101" s="87" t="str">
        <f t="shared" si="18"/>
        <v>Edit the Draft Together: Peer Edit: Give and Get Feedback;  Modifiers and Parallelism858</v>
      </c>
    </row>
    <row r="102">
      <c r="A102" s="80"/>
      <c r="B102" s="80"/>
      <c r="C102" s="80" t="s">
        <v>4947</v>
      </c>
      <c r="D102" s="80"/>
      <c r="E102" s="80"/>
      <c r="F102" s="80"/>
      <c r="G102" s="80"/>
      <c r="H102" s="80"/>
      <c r="I102" s="80"/>
      <c r="J102" s="87" t="str">
        <f t="shared" si="18"/>
        <v/>
      </c>
    </row>
    <row r="103">
      <c r="A103" s="128"/>
      <c r="B103" s="83"/>
      <c r="C103" s="235" t="s">
        <v>4923</v>
      </c>
      <c r="D103" s="236" t="s">
        <v>4924</v>
      </c>
      <c r="E103" s="236" t="s">
        <v>11</v>
      </c>
      <c r="F103" s="236" t="s">
        <v>4925</v>
      </c>
      <c r="G103" s="236" t="s">
        <v>4926</v>
      </c>
      <c r="H103" s="236" t="s">
        <v>714</v>
      </c>
      <c r="I103" s="128"/>
      <c r="J103" s="128"/>
    </row>
    <row r="104">
      <c r="A104" s="84" t="s">
        <v>1020</v>
      </c>
      <c r="B104" s="116" t="s">
        <v>1027</v>
      </c>
      <c r="C104" s="193" t="s">
        <v>5123</v>
      </c>
      <c r="D104" s="90" t="s">
        <v>4990</v>
      </c>
      <c r="E104" s="93" t="s">
        <v>5124</v>
      </c>
      <c r="F104" s="87" t="s">
        <v>4990</v>
      </c>
      <c r="G104" s="87" t="s">
        <v>4987</v>
      </c>
      <c r="H104" s="82" t="s">
        <v>5125</v>
      </c>
      <c r="I104" s="87">
        <v>862.0</v>
      </c>
      <c r="J104" s="87" t="str">
        <f>CONCATENATE(#REF!, I104)</f>
        <v>#REF!</v>
      </c>
    </row>
    <row r="105">
      <c r="B105" s="243" t="s">
        <v>1027</v>
      </c>
      <c r="C105" s="192" t="s">
        <v>5071</v>
      </c>
      <c r="D105" s="96"/>
      <c r="E105" s="93" t="s">
        <v>5000</v>
      </c>
      <c r="F105" s="87" t="s">
        <v>5034</v>
      </c>
      <c r="G105" s="87" t="s">
        <v>4987</v>
      </c>
      <c r="H105" s="82" t="s">
        <v>5125</v>
      </c>
      <c r="I105" s="87"/>
      <c r="J105" s="87"/>
    </row>
    <row r="106">
      <c r="B106" s="116" t="s">
        <v>1029</v>
      </c>
      <c r="C106" s="193" t="s">
        <v>5126</v>
      </c>
      <c r="D106" s="90" t="s">
        <v>5127</v>
      </c>
      <c r="E106" s="93" t="s">
        <v>4991</v>
      </c>
      <c r="F106" s="87" t="s">
        <v>4990</v>
      </c>
      <c r="G106" s="87" t="s">
        <v>4987</v>
      </c>
      <c r="H106" s="82" t="s">
        <v>5128</v>
      </c>
      <c r="I106" s="87"/>
      <c r="J106" s="87"/>
    </row>
    <row r="107">
      <c r="B107" s="119" t="s">
        <v>2211</v>
      </c>
      <c r="C107" s="90" t="s">
        <v>5075</v>
      </c>
      <c r="D107" s="90"/>
      <c r="E107" s="93" t="s">
        <v>5076</v>
      </c>
      <c r="F107" s="87" t="s">
        <v>5077</v>
      </c>
      <c r="G107" s="87"/>
      <c r="H107" s="82" t="s">
        <v>5122</v>
      </c>
      <c r="I107" s="234">
        <v>867.0</v>
      </c>
      <c r="J107" s="87" t="str">
        <f t="shared" ref="J107:J108" si="19">CONCATENATE(E107, I107)</f>
        <v>Edit the Draft Together: Peer Edit: Give and Get Feedback; Formal and Objective Style867</v>
      </c>
    </row>
    <row r="108">
      <c r="A108" s="80"/>
      <c r="B108" s="80"/>
      <c r="C108" s="80" t="s">
        <v>4947</v>
      </c>
      <c r="D108" s="80"/>
      <c r="E108" s="80"/>
      <c r="F108" s="80"/>
      <c r="G108" s="80"/>
      <c r="H108" s="80"/>
      <c r="I108" s="80"/>
      <c r="J108" s="87" t="str">
        <f t="shared" si="19"/>
        <v/>
      </c>
    </row>
    <row r="109">
      <c r="A109" s="128"/>
      <c r="B109" s="83"/>
      <c r="C109" s="235" t="s">
        <v>4923</v>
      </c>
      <c r="D109" s="236" t="s">
        <v>4924</v>
      </c>
      <c r="E109" s="236" t="s">
        <v>11</v>
      </c>
      <c r="F109" s="236" t="s">
        <v>4925</v>
      </c>
      <c r="G109" s="236" t="s">
        <v>4926</v>
      </c>
      <c r="H109" s="236" t="s">
        <v>714</v>
      </c>
      <c r="I109" s="128"/>
      <c r="J109" s="128"/>
    </row>
    <row r="110">
      <c r="A110" s="84" t="s">
        <v>1033</v>
      </c>
      <c r="B110" s="116" t="s">
        <v>1034</v>
      </c>
      <c r="C110" s="96" t="s">
        <v>5129</v>
      </c>
      <c r="D110" s="96" t="s">
        <v>5100</v>
      </c>
      <c r="E110" s="93" t="s">
        <v>5130</v>
      </c>
      <c r="F110" s="87" t="s">
        <v>5131</v>
      </c>
      <c r="G110" s="87"/>
      <c r="H110" s="82" t="s">
        <v>5132</v>
      </c>
      <c r="I110" s="87">
        <v>871.0</v>
      </c>
      <c r="J110" s="87" t="str">
        <f t="shared" ref="J110:J116" si="20">CONCATENATE(E110, I110)</f>
        <v>Write to Impress: Use Verbs871</v>
      </c>
    </row>
    <row r="111">
      <c r="B111" s="119" t="s">
        <v>1034</v>
      </c>
      <c r="C111" s="96" t="s">
        <v>5010</v>
      </c>
      <c r="D111" s="96"/>
      <c r="E111" s="93" t="s">
        <v>5133</v>
      </c>
      <c r="F111" s="87" t="s">
        <v>4951</v>
      </c>
      <c r="G111" s="87"/>
      <c r="H111" s="82" t="s">
        <v>5134</v>
      </c>
      <c r="I111" s="87">
        <v>872.0</v>
      </c>
      <c r="J111" s="87" t="str">
        <f t="shared" si="20"/>
        <v>Sharpen Your Sentences: Making Arguments About Character Traits872</v>
      </c>
    </row>
    <row r="112">
      <c r="B112" s="116" t="s">
        <v>1038</v>
      </c>
      <c r="C112" s="193" t="s">
        <v>5135</v>
      </c>
      <c r="D112" s="90"/>
      <c r="E112" s="93" t="s">
        <v>5083</v>
      </c>
      <c r="F112" s="87" t="s">
        <v>5052</v>
      </c>
      <c r="G112" s="87"/>
      <c r="H112" s="82" t="s">
        <v>5136</v>
      </c>
      <c r="I112" s="207">
        <v>872.0</v>
      </c>
      <c r="J112" s="87" t="str">
        <f t="shared" si="20"/>
        <v>Sharpen Your Sentences: Connect Evidence to Claims with Reasoning872</v>
      </c>
    </row>
    <row r="113">
      <c r="B113" s="119" t="s">
        <v>1038</v>
      </c>
      <c r="C113" s="193" t="s">
        <v>5137</v>
      </c>
      <c r="D113" s="90" t="s">
        <v>5100</v>
      </c>
      <c r="E113" s="239" t="s">
        <v>5138</v>
      </c>
      <c r="F113" s="87" t="s">
        <v>5131</v>
      </c>
      <c r="G113" s="87"/>
      <c r="H113" s="82" t="s">
        <v>5136</v>
      </c>
      <c r="I113" s="87">
        <v>872.0</v>
      </c>
      <c r="J113" s="87" t="str">
        <f t="shared" si="20"/>
        <v>Write to Impress: Recognize and Correct Inappropriate Verb Shifts: Quill: Shifts in Mood872</v>
      </c>
    </row>
    <row r="114">
      <c r="B114" s="116" t="s">
        <v>2232</v>
      </c>
      <c r="C114" s="96" t="s">
        <v>5139</v>
      </c>
      <c r="D114" s="96"/>
      <c r="E114" s="93" t="s">
        <v>5140</v>
      </c>
      <c r="F114" s="87" t="s">
        <v>5052</v>
      </c>
      <c r="G114" s="87"/>
      <c r="H114" s="82" t="s">
        <v>5141</v>
      </c>
      <c r="I114" s="207">
        <v>873.0</v>
      </c>
      <c r="J114" s="87" t="str">
        <f t="shared" si="20"/>
        <v>Sharpen Your Sentences: Sentence Structures873</v>
      </c>
    </row>
    <row r="115">
      <c r="B115" s="119" t="s">
        <v>2250</v>
      </c>
      <c r="C115" s="96" t="s">
        <v>5142</v>
      </c>
      <c r="D115" s="96"/>
      <c r="E115" s="93" t="s">
        <v>5143</v>
      </c>
      <c r="F115" s="87" t="s">
        <v>5144</v>
      </c>
      <c r="G115" s="87"/>
      <c r="H115" s="82" t="s">
        <v>5145</v>
      </c>
      <c r="I115" s="87">
        <v>877.0</v>
      </c>
      <c r="J115" s="87" t="str">
        <f t="shared" si="20"/>
        <v>Edit the Draft Together: Peer Edit: Give and Get Feedback; Active Versus Passive Language and Style877</v>
      </c>
    </row>
    <row r="116">
      <c r="A116" s="80"/>
      <c r="B116" s="80"/>
      <c r="C116" s="80" t="s">
        <v>4947</v>
      </c>
      <c r="D116" s="80"/>
      <c r="E116" s="80"/>
      <c r="F116" s="80"/>
      <c r="G116" s="80"/>
      <c r="H116" s="80"/>
      <c r="I116" s="80"/>
      <c r="J116" s="87" t="str">
        <f t="shared" si="20"/>
        <v/>
      </c>
    </row>
    <row r="117">
      <c r="A117" s="128"/>
      <c r="B117" s="83"/>
      <c r="C117" s="235" t="s">
        <v>4923</v>
      </c>
      <c r="D117" s="236" t="s">
        <v>4924</v>
      </c>
      <c r="E117" s="236" t="s">
        <v>11</v>
      </c>
      <c r="F117" s="236" t="s">
        <v>4925</v>
      </c>
      <c r="G117" s="236" t="s">
        <v>4926</v>
      </c>
      <c r="H117" s="236" t="s">
        <v>714</v>
      </c>
      <c r="I117" s="128"/>
      <c r="J117" s="128"/>
    </row>
    <row r="118">
      <c r="A118" s="84" t="s">
        <v>1040</v>
      </c>
      <c r="B118" s="116" t="s">
        <v>1041</v>
      </c>
      <c r="C118" s="192" t="s">
        <v>5146</v>
      </c>
      <c r="D118" s="96" t="s">
        <v>4949</v>
      </c>
      <c r="E118" s="93" t="s">
        <v>5147</v>
      </c>
      <c r="F118" s="87" t="s">
        <v>5148</v>
      </c>
      <c r="G118" s="87" t="s">
        <v>5149</v>
      </c>
      <c r="H118" s="82" t="s">
        <v>5150</v>
      </c>
      <c r="I118" s="87">
        <v>911.0</v>
      </c>
      <c r="J118" s="87" t="str">
        <f t="shared" ref="J118:J121" si="21">CONCATENATE(E118, I118)</f>
        <v>Write to Impress: Use Phrases and Clauses: 
Quill: Combining Sentences911</v>
      </c>
    </row>
    <row r="119">
      <c r="B119" s="119" t="s">
        <v>1046</v>
      </c>
      <c r="C119" s="90" t="s">
        <v>4953</v>
      </c>
      <c r="D119" s="90"/>
      <c r="E119" s="93" t="s">
        <v>4928</v>
      </c>
      <c r="F119" s="87" t="s">
        <v>5151</v>
      </c>
      <c r="G119" s="87" t="s">
        <v>5149</v>
      </c>
      <c r="H119" s="82" t="s">
        <v>5152</v>
      </c>
      <c r="I119" s="87">
        <v>912.0</v>
      </c>
      <c r="J119" s="87" t="str">
        <f t="shared" si="21"/>
        <v>Sharpen Your Sentences: Expand the Sentence912</v>
      </c>
    </row>
    <row r="120">
      <c r="B120" s="116" t="s">
        <v>2290</v>
      </c>
      <c r="C120" s="90" t="s">
        <v>4943</v>
      </c>
      <c r="D120" s="90"/>
      <c r="E120" s="93" t="s">
        <v>4944</v>
      </c>
      <c r="F120" s="87" t="s">
        <v>4945</v>
      </c>
      <c r="G120" s="87"/>
      <c r="H120" s="82" t="s">
        <v>5153</v>
      </c>
      <c r="I120" s="207">
        <v>917.0</v>
      </c>
      <c r="J120" s="87" t="str">
        <f t="shared" si="21"/>
        <v>Edit the Draft Together: Peer Edit: Give and Get Feedback; Capitalization and Spelling; Punctuation and End Punctuation917</v>
      </c>
    </row>
    <row r="121">
      <c r="A121" s="80"/>
      <c r="B121" s="80"/>
      <c r="C121" s="80" t="s">
        <v>4947</v>
      </c>
      <c r="D121" s="80"/>
      <c r="E121" s="80"/>
      <c r="F121" s="80"/>
      <c r="G121" s="80"/>
      <c r="H121" s="80"/>
      <c r="I121" s="80"/>
      <c r="J121" s="87" t="str">
        <f t="shared" si="21"/>
        <v/>
      </c>
    </row>
    <row r="122">
      <c r="A122" s="128"/>
      <c r="B122" s="83"/>
      <c r="C122" s="235" t="s">
        <v>4923</v>
      </c>
      <c r="D122" s="236" t="s">
        <v>4924</v>
      </c>
      <c r="E122" s="236" t="s">
        <v>11</v>
      </c>
      <c r="F122" s="236" t="s">
        <v>4925</v>
      </c>
      <c r="G122" s="236" t="s">
        <v>4926</v>
      </c>
      <c r="H122" s="236" t="s">
        <v>714</v>
      </c>
      <c r="I122" s="128"/>
      <c r="J122" s="128"/>
    </row>
    <row r="123">
      <c r="A123" s="84" t="s">
        <v>1052</v>
      </c>
      <c r="B123" s="110" t="s">
        <v>1053</v>
      </c>
      <c r="C123" s="96" t="s">
        <v>5154</v>
      </c>
      <c r="D123" s="96" t="s">
        <v>5155</v>
      </c>
      <c r="E123" s="86" t="s">
        <v>5156</v>
      </c>
      <c r="F123" s="87" t="s">
        <v>5077</v>
      </c>
      <c r="G123" s="87" t="s">
        <v>5157</v>
      </c>
      <c r="H123" s="82" t="s">
        <v>5158</v>
      </c>
      <c r="I123" s="87">
        <v>921.0</v>
      </c>
      <c r="J123" s="87" t="str">
        <f t="shared" ref="J123:J127" si="22">CONCATENATE(E123, I123)</f>
        <v>Write to Impress: Using Evidence from Sources921</v>
      </c>
    </row>
    <row r="124">
      <c r="B124" s="110" t="s">
        <v>1057</v>
      </c>
      <c r="C124" s="192" t="s">
        <v>4953</v>
      </c>
      <c r="D124" s="96"/>
      <c r="E124" s="93" t="s">
        <v>4954</v>
      </c>
      <c r="F124" s="87" t="s">
        <v>4951</v>
      </c>
      <c r="G124" s="87"/>
      <c r="H124" s="82" t="s">
        <v>5152</v>
      </c>
      <c r="I124" s="87">
        <v>922.0</v>
      </c>
      <c r="J124" s="87" t="str">
        <f t="shared" si="22"/>
        <v>Sharpen Your Sentences: Sentence Expansion in Counterclaims922</v>
      </c>
    </row>
    <row r="125">
      <c r="B125" s="110" t="s">
        <v>1057</v>
      </c>
      <c r="C125" s="96" t="s">
        <v>5159</v>
      </c>
      <c r="D125" s="96" t="s">
        <v>5160</v>
      </c>
      <c r="E125" s="93" t="s">
        <v>5161</v>
      </c>
      <c r="F125" s="87" t="s">
        <v>5077</v>
      </c>
      <c r="G125" s="87" t="s">
        <v>5157</v>
      </c>
      <c r="H125" s="82" t="s">
        <v>5152</v>
      </c>
      <c r="I125" s="237">
        <v>922.0</v>
      </c>
      <c r="J125" s="87" t="str">
        <f t="shared" si="22"/>
        <v>Write to Impress: Edit Citations922</v>
      </c>
    </row>
    <row r="126">
      <c r="B126" s="110" t="s">
        <v>2335</v>
      </c>
      <c r="C126" s="96" t="s">
        <v>5162</v>
      </c>
      <c r="D126" s="96"/>
      <c r="E126" s="93" t="s">
        <v>5042</v>
      </c>
      <c r="F126" s="87" t="s">
        <v>5163</v>
      </c>
      <c r="G126" s="87"/>
      <c r="H126" s="82" t="s">
        <v>5164</v>
      </c>
      <c r="I126" s="237">
        <v>927.0</v>
      </c>
      <c r="J126" s="87" t="str">
        <f t="shared" si="22"/>
        <v>Edit the Draft Together: Peer Edit: Give and Get Feedback; Subjects and Predicates; Subject-Verb Agreement927</v>
      </c>
    </row>
    <row r="127">
      <c r="A127" s="80"/>
      <c r="B127" s="80"/>
      <c r="C127" s="80" t="s">
        <v>4947</v>
      </c>
      <c r="D127" s="80"/>
      <c r="E127" s="80"/>
      <c r="F127" s="80"/>
      <c r="G127" s="80"/>
      <c r="H127" s="80"/>
      <c r="I127" s="80"/>
      <c r="J127" s="87" t="str">
        <f t="shared" si="22"/>
        <v/>
      </c>
    </row>
    <row r="128">
      <c r="A128" s="128"/>
      <c r="B128" s="83"/>
      <c r="C128" s="235" t="s">
        <v>4923</v>
      </c>
      <c r="D128" s="236" t="s">
        <v>4924</v>
      </c>
      <c r="E128" s="236" t="s">
        <v>11</v>
      </c>
      <c r="F128" s="236" t="s">
        <v>4925</v>
      </c>
      <c r="G128" s="236" t="s">
        <v>4926</v>
      </c>
      <c r="H128" s="236" t="s">
        <v>714</v>
      </c>
      <c r="I128" s="128"/>
      <c r="J128" s="128"/>
    </row>
    <row r="129">
      <c r="A129" s="84"/>
      <c r="B129" s="244" t="s">
        <v>1064</v>
      </c>
      <c r="C129" s="96" t="s">
        <v>5165</v>
      </c>
      <c r="D129" s="96" t="s">
        <v>5166</v>
      </c>
      <c r="E129" s="93" t="s">
        <v>5167</v>
      </c>
      <c r="F129" s="87"/>
      <c r="G129" s="87"/>
      <c r="H129" s="82" t="s">
        <v>5168</v>
      </c>
      <c r="I129" s="87"/>
      <c r="J129" s="87"/>
    </row>
    <row r="130">
      <c r="A130" s="84" t="s">
        <v>3432</v>
      </c>
      <c r="B130" s="119" t="s">
        <v>1069</v>
      </c>
      <c r="C130" s="96" t="s">
        <v>4969</v>
      </c>
      <c r="D130" s="96"/>
      <c r="E130" s="93" t="s">
        <v>4970</v>
      </c>
      <c r="F130" s="87" t="s">
        <v>5081</v>
      </c>
      <c r="G130" s="87"/>
      <c r="H130" s="82" t="s">
        <v>5169</v>
      </c>
      <c r="I130" s="87">
        <v>932.0</v>
      </c>
      <c r="J130" s="87" t="str">
        <f t="shared" ref="J130:J133" si="23">CONCATENATE(E130, I130)</f>
        <v>Sharpen Your Sentences: Use an Appositive in a Sentence932</v>
      </c>
    </row>
    <row r="131">
      <c r="B131" s="116" t="s">
        <v>1069</v>
      </c>
      <c r="C131" s="96" t="s">
        <v>5170</v>
      </c>
      <c r="D131" s="96" t="s">
        <v>4964</v>
      </c>
      <c r="E131" s="93" t="s">
        <v>4965</v>
      </c>
      <c r="F131" s="87" t="s">
        <v>4964</v>
      </c>
      <c r="G131" s="87" t="s">
        <v>4967</v>
      </c>
      <c r="H131" s="82" t="s">
        <v>5169</v>
      </c>
      <c r="I131" s="207">
        <v>932.0</v>
      </c>
      <c r="J131" s="87" t="str">
        <f t="shared" si="23"/>
        <v>Write to Impress: Spell Correctly932</v>
      </c>
    </row>
    <row r="132">
      <c r="B132" s="119" t="s">
        <v>2372</v>
      </c>
      <c r="C132" s="96" t="s">
        <v>5047</v>
      </c>
      <c r="D132" s="96"/>
      <c r="E132" s="93" t="s">
        <v>5048</v>
      </c>
      <c r="F132" s="87" t="s">
        <v>5049</v>
      </c>
      <c r="G132" s="87"/>
      <c r="H132" s="82" t="s">
        <v>5171</v>
      </c>
      <c r="I132" s="87">
        <v>937.0</v>
      </c>
      <c r="J132" s="87" t="str">
        <f t="shared" si="23"/>
        <v>Edit the Draft Together: Peer Edit: Give and Get Feedback; Tense and Commas937</v>
      </c>
    </row>
    <row r="133">
      <c r="A133" s="80"/>
      <c r="B133" s="95"/>
      <c r="C133" s="80" t="s">
        <v>4947</v>
      </c>
      <c r="D133" s="80"/>
      <c r="E133" s="80"/>
      <c r="F133" s="80"/>
      <c r="G133" s="80"/>
      <c r="H133" s="80"/>
      <c r="I133" s="80"/>
      <c r="J133" s="87" t="str">
        <f t="shared" si="23"/>
        <v/>
      </c>
    </row>
    <row r="134">
      <c r="A134" s="128"/>
      <c r="B134" s="229"/>
      <c r="C134" s="235" t="s">
        <v>4923</v>
      </c>
      <c r="D134" s="236" t="s">
        <v>4924</v>
      </c>
      <c r="E134" s="236" t="s">
        <v>11</v>
      </c>
      <c r="F134" s="236" t="s">
        <v>4925</v>
      </c>
      <c r="G134" s="236" t="s">
        <v>4926</v>
      </c>
      <c r="H134" s="236" t="s">
        <v>714</v>
      </c>
      <c r="I134" s="128"/>
      <c r="J134" s="128"/>
    </row>
    <row r="135">
      <c r="A135" s="84" t="s">
        <v>3439</v>
      </c>
      <c r="B135" s="110" t="s">
        <v>1080</v>
      </c>
      <c r="C135" s="96" t="s">
        <v>5172</v>
      </c>
      <c r="D135" s="96"/>
      <c r="E135" s="93" t="s">
        <v>5112</v>
      </c>
      <c r="F135" s="87" t="s">
        <v>5052</v>
      </c>
      <c r="G135" s="87"/>
      <c r="H135" s="82" t="s">
        <v>5173</v>
      </c>
      <c r="I135" s="241">
        <v>942.0</v>
      </c>
      <c r="J135" s="87" t="str">
        <f t="shared" ref="J135:J137" si="24">CONCATENATE(E135, I135)</f>
        <v>Sharpen Your Sentences: Integrate Quotations Effectively942</v>
      </c>
    </row>
    <row r="136">
      <c r="B136" s="110" t="s">
        <v>2416</v>
      </c>
      <c r="C136" s="96" t="s">
        <v>5113</v>
      </c>
      <c r="D136" s="96"/>
      <c r="E136" s="93" t="s">
        <v>5055</v>
      </c>
      <c r="F136" s="87" t="s">
        <v>5052</v>
      </c>
      <c r="G136" s="87"/>
      <c r="H136" s="82" t="s">
        <v>5174</v>
      </c>
      <c r="I136" s="241">
        <v>948.0</v>
      </c>
      <c r="J136" s="87" t="str">
        <f t="shared" si="24"/>
        <v>Edit the Draft Together: Peer Edit: Give and Get Feedback; Varied Sentence Structure; Redundancy and Clarity948</v>
      </c>
    </row>
    <row r="137">
      <c r="A137" s="80"/>
      <c r="B137" s="80"/>
      <c r="C137" s="80" t="s">
        <v>4947</v>
      </c>
      <c r="D137" s="80"/>
      <c r="E137" s="80"/>
      <c r="F137" s="80"/>
      <c r="G137" s="80"/>
      <c r="H137" s="80"/>
      <c r="I137" s="80"/>
      <c r="J137" s="87" t="str">
        <f t="shared" si="24"/>
        <v/>
      </c>
    </row>
    <row r="138">
      <c r="A138" s="128"/>
      <c r="B138" s="83"/>
      <c r="C138" s="235" t="s">
        <v>4923</v>
      </c>
      <c r="D138" s="236" t="s">
        <v>4924</v>
      </c>
      <c r="E138" s="236" t="s">
        <v>11</v>
      </c>
      <c r="F138" s="236" t="s">
        <v>4925</v>
      </c>
      <c r="G138" s="236" t="s">
        <v>4926</v>
      </c>
      <c r="H138" s="236" t="s">
        <v>714</v>
      </c>
      <c r="I138" s="128"/>
      <c r="J138" s="128"/>
    </row>
    <row r="139">
      <c r="A139" s="84" t="s">
        <v>1087</v>
      </c>
      <c r="B139" s="116" t="s">
        <v>1093</v>
      </c>
      <c r="C139" s="96" t="s">
        <v>5059</v>
      </c>
      <c r="D139" s="96"/>
      <c r="E139" s="93" t="s">
        <v>4993</v>
      </c>
      <c r="F139" s="87" t="s">
        <v>4951</v>
      </c>
      <c r="G139" s="87"/>
      <c r="H139" s="82" t="s">
        <v>5175</v>
      </c>
      <c r="I139" s="207">
        <v>952.0</v>
      </c>
      <c r="J139" s="87" t="str">
        <f t="shared" ref="J139:J141" si="25">CONCATENATE(E139, I139)</f>
        <v>Sharpen Your Sentences: Vary Your Sentence Length and Structure952</v>
      </c>
    </row>
    <row r="140">
      <c r="B140" s="119" t="s">
        <v>2467</v>
      </c>
      <c r="C140" s="96" t="s">
        <v>5176</v>
      </c>
      <c r="D140" s="96"/>
      <c r="E140" s="93" t="s">
        <v>5063</v>
      </c>
      <c r="F140" s="87" t="s">
        <v>5064</v>
      </c>
      <c r="G140" s="87"/>
      <c r="H140" s="82" t="s">
        <v>5177</v>
      </c>
      <c r="I140" s="87">
        <v>959.0</v>
      </c>
      <c r="J140" s="87" t="str">
        <f t="shared" si="25"/>
        <v>Edit the Draft Together: Peer Edit: Give and Get Feedback; Modifiers and Parallelism959</v>
      </c>
    </row>
    <row r="141">
      <c r="A141" s="80"/>
      <c r="B141" s="80"/>
      <c r="C141" s="80" t="s">
        <v>4947</v>
      </c>
      <c r="D141" s="80"/>
      <c r="E141" s="80"/>
      <c r="F141" s="80"/>
      <c r="G141" s="80"/>
      <c r="H141" s="80"/>
      <c r="I141" s="80"/>
      <c r="J141" s="87" t="str">
        <f t="shared" si="25"/>
        <v/>
      </c>
    </row>
    <row r="142">
      <c r="A142" s="128"/>
      <c r="B142" s="83"/>
      <c r="C142" s="235" t="s">
        <v>4923</v>
      </c>
      <c r="D142" s="236" t="s">
        <v>4924</v>
      </c>
      <c r="E142" s="236" t="s">
        <v>11</v>
      </c>
      <c r="F142" s="236" t="s">
        <v>4925</v>
      </c>
      <c r="G142" s="236" t="s">
        <v>4926</v>
      </c>
      <c r="H142" s="236" t="s">
        <v>714</v>
      </c>
      <c r="I142" s="128"/>
      <c r="J142" s="128"/>
    </row>
    <row r="143">
      <c r="A143" s="84" t="s">
        <v>1104</v>
      </c>
      <c r="B143" s="116" t="s">
        <v>1105</v>
      </c>
      <c r="C143" s="96" t="s">
        <v>5178</v>
      </c>
      <c r="D143" s="96" t="s">
        <v>4990</v>
      </c>
      <c r="E143" s="93" t="s">
        <v>5179</v>
      </c>
      <c r="F143" s="87" t="s">
        <v>4990</v>
      </c>
      <c r="G143" s="87" t="s">
        <v>4987</v>
      </c>
      <c r="H143" s="82" t="s">
        <v>5180</v>
      </c>
      <c r="I143" s="87">
        <v>961.0</v>
      </c>
      <c r="J143" s="87" t="str">
        <f t="shared" ref="J143:J147" si="26">CONCATENATE(E143, I143)</f>
        <v>Write to Impress: Use Punctuation to Link Ideas: Quill: Connecting Sentences with However and Therefore961</v>
      </c>
    </row>
    <row r="144">
      <c r="B144" s="119" t="s">
        <v>1110</v>
      </c>
      <c r="C144" s="96" t="s">
        <v>5071</v>
      </c>
      <c r="D144" s="96"/>
      <c r="E144" s="93" t="s">
        <v>5000</v>
      </c>
      <c r="F144" s="87" t="s">
        <v>4951</v>
      </c>
      <c r="G144" s="87"/>
      <c r="H144" s="82" t="s">
        <v>5181</v>
      </c>
      <c r="I144" s="87">
        <v>962.0</v>
      </c>
      <c r="J144" s="87" t="str">
        <f t="shared" si="26"/>
        <v>Sharpen Your Sentences: Sentence Combining: Appositives, Pronouns, Conjunctions962</v>
      </c>
    </row>
    <row r="145">
      <c r="B145" s="116" t="s">
        <v>1110</v>
      </c>
      <c r="C145" s="96" t="s">
        <v>5182</v>
      </c>
      <c r="D145" s="96" t="s">
        <v>5127</v>
      </c>
      <c r="E145" s="93" t="s">
        <v>5183</v>
      </c>
      <c r="F145" s="87" t="s">
        <v>4990</v>
      </c>
      <c r="G145" s="87" t="s">
        <v>4987</v>
      </c>
      <c r="H145" s="82" t="s">
        <v>5181</v>
      </c>
      <c r="I145" s="207">
        <v>962.0</v>
      </c>
      <c r="J145" s="87" t="str">
        <f t="shared" si="26"/>
        <v>Write to Impress: Use Punctuation to Introduce Ideas: Quill: Colons and Commas in a List962</v>
      </c>
    </row>
    <row r="146">
      <c r="B146" s="119" t="s">
        <v>2501</v>
      </c>
      <c r="C146" s="96" t="s">
        <v>5075</v>
      </c>
      <c r="D146" s="96"/>
      <c r="E146" s="93" t="s">
        <v>5076</v>
      </c>
      <c r="F146" s="87" t="s">
        <v>5077</v>
      </c>
      <c r="G146" s="87"/>
      <c r="H146" s="82" t="s">
        <v>5164</v>
      </c>
      <c r="I146" s="87">
        <v>967.0</v>
      </c>
      <c r="J146" s="87" t="str">
        <f t="shared" si="26"/>
        <v>Edit the Draft Together: Peer Edit: Give and Get Feedback; Formal and Objective Style967</v>
      </c>
    </row>
    <row r="147">
      <c r="A147" s="80"/>
      <c r="B147" s="80"/>
      <c r="C147" s="80" t="s">
        <v>4947</v>
      </c>
      <c r="D147" s="80"/>
      <c r="E147" s="80"/>
      <c r="F147" s="80"/>
      <c r="G147" s="80"/>
      <c r="H147" s="80"/>
      <c r="I147" s="80"/>
      <c r="J147" s="87" t="str">
        <f t="shared" si="26"/>
        <v/>
      </c>
    </row>
    <row r="148">
      <c r="A148" s="128"/>
      <c r="B148" s="83"/>
      <c r="C148" s="235" t="s">
        <v>4923</v>
      </c>
      <c r="D148" s="236" t="s">
        <v>4924</v>
      </c>
      <c r="E148" s="236" t="s">
        <v>11</v>
      </c>
      <c r="F148" s="236" t="s">
        <v>4925</v>
      </c>
      <c r="G148" s="236" t="s">
        <v>4926</v>
      </c>
      <c r="H148" s="236" t="s">
        <v>714</v>
      </c>
      <c r="I148" s="128"/>
      <c r="J148" s="128"/>
    </row>
    <row r="149">
      <c r="A149" s="84" t="s">
        <v>3465</v>
      </c>
      <c r="B149" s="116" t="s">
        <v>1118</v>
      </c>
      <c r="C149" s="96" t="s">
        <v>5184</v>
      </c>
      <c r="D149" s="96" t="s">
        <v>5185</v>
      </c>
      <c r="E149" s="93" t="s">
        <v>5186</v>
      </c>
      <c r="F149" s="87" t="s">
        <v>5187</v>
      </c>
      <c r="G149" s="87"/>
      <c r="H149" s="82" t="s">
        <v>5188</v>
      </c>
      <c r="I149" s="87">
        <v>971.0</v>
      </c>
      <c r="J149" s="87" t="str">
        <f>CONCATENATE(E149, I149)</f>
        <v>Write to Impress: Parallel Structure: Quill: Making Action Words Have The Same Ending971</v>
      </c>
    </row>
    <row r="150">
      <c r="B150" s="119" t="s">
        <v>1118</v>
      </c>
      <c r="C150" s="96" t="s">
        <v>5189</v>
      </c>
      <c r="D150" s="90"/>
      <c r="E150" s="93" t="s">
        <v>5133</v>
      </c>
      <c r="F150" s="87" t="s">
        <v>5034</v>
      </c>
      <c r="G150" s="87"/>
      <c r="H150" s="82" t="s">
        <v>5188</v>
      </c>
      <c r="I150" s="87"/>
      <c r="J150" s="87"/>
    </row>
    <row r="151">
      <c r="B151" s="116" t="s">
        <v>1122</v>
      </c>
      <c r="C151" s="193" t="s">
        <v>5190</v>
      </c>
      <c r="D151" s="90"/>
      <c r="E151" s="93" t="s">
        <v>5083</v>
      </c>
      <c r="F151" s="87" t="s">
        <v>5052</v>
      </c>
      <c r="G151" s="87"/>
      <c r="H151" s="82" t="s">
        <v>5191</v>
      </c>
      <c r="I151" s="207">
        <v>972.0</v>
      </c>
      <c r="J151" s="87" t="str">
        <f t="shared" ref="J151:J154" si="27">CONCATENATE(E151, I151)</f>
        <v>Sharpen Your Sentences: Connect Evidence to Claims with Reasoning972</v>
      </c>
    </row>
    <row r="152">
      <c r="B152" s="119" t="s">
        <v>1124</v>
      </c>
      <c r="C152" s="96" t="s">
        <v>5192</v>
      </c>
      <c r="D152" s="96"/>
      <c r="E152" s="93" t="s">
        <v>5193</v>
      </c>
      <c r="F152" s="87" t="s">
        <v>5052</v>
      </c>
      <c r="G152" s="87"/>
      <c r="H152" s="82" t="s">
        <v>5191</v>
      </c>
      <c r="I152" s="87">
        <v>973.0</v>
      </c>
      <c r="J152" s="87" t="str">
        <f t="shared" si="27"/>
        <v>Sharpen Your Sentences: Making Arguments About Conflict and Resolution973</v>
      </c>
    </row>
    <row r="153">
      <c r="B153" s="116" t="s">
        <v>2539</v>
      </c>
      <c r="C153" s="96" t="s">
        <v>5019</v>
      </c>
      <c r="D153" s="96"/>
      <c r="E153" s="93" t="s">
        <v>5143</v>
      </c>
      <c r="F153" s="87" t="s">
        <v>5144</v>
      </c>
      <c r="G153" s="87"/>
      <c r="H153" s="82" t="s">
        <v>5164</v>
      </c>
      <c r="I153" s="207">
        <v>977.0</v>
      </c>
      <c r="J153" s="87" t="str">
        <f t="shared" si="27"/>
        <v>Edit the Draft Together: Peer Edit: Give and Get Feedback; Active Versus Passive Language and Style977</v>
      </c>
    </row>
    <row r="154">
      <c r="A154" s="80"/>
      <c r="B154" s="80"/>
      <c r="C154" s="80" t="s">
        <v>4947</v>
      </c>
      <c r="D154" s="80"/>
      <c r="E154" s="80"/>
      <c r="F154" s="80"/>
      <c r="G154" s="80"/>
      <c r="H154" s="80"/>
      <c r="I154" s="80"/>
      <c r="J154" s="87" t="str">
        <f t="shared" si="27"/>
        <v/>
      </c>
    </row>
    <row r="155">
      <c r="A155" s="128"/>
      <c r="B155" s="83"/>
      <c r="C155" s="235" t="s">
        <v>4923</v>
      </c>
      <c r="D155" s="236" t="s">
        <v>4924</v>
      </c>
      <c r="E155" s="236" t="s">
        <v>11</v>
      </c>
      <c r="F155" s="236" t="s">
        <v>4925</v>
      </c>
      <c r="G155" s="236" t="s">
        <v>4926</v>
      </c>
      <c r="H155" s="236" t="s">
        <v>714</v>
      </c>
      <c r="I155" s="128"/>
      <c r="J155" s="128"/>
    </row>
    <row r="156">
      <c r="A156" s="84" t="s">
        <v>1129</v>
      </c>
      <c r="B156" s="116" t="s">
        <v>1130</v>
      </c>
      <c r="C156" s="96" t="s">
        <v>5146</v>
      </c>
      <c r="D156" s="96" t="s">
        <v>4949</v>
      </c>
      <c r="E156" s="93" t="s">
        <v>5194</v>
      </c>
      <c r="F156" s="87" t="s">
        <v>4951</v>
      </c>
      <c r="G156" s="87" t="s">
        <v>4952</v>
      </c>
      <c r="H156" s="82" t="s">
        <v>5150</v>
      </c>
      <c r="I156" s="87">
        <v>1011.0</v>
      </c>
      <c r="J156" s="87" t="str">
        <f t="shared" ref="J156:J159" si="28">CONCATENATE(E156, I156)</f>
        <v>Write to Impress: Use Phrases and Clauses: Quill: Joining Words1011</v>
      </c>
    </row>
    <row r="157">
      <c r="B157" s="119" t="s">
        <v>1134</v>
      </c>
      <c r="C157" s="96" t="s">
        <v>4953</v>
      </c>
      <c r="D157" s="96"/>
      <c r="E157" s="93" t="s">
        <v>4928</v>
      </c>
      <c r="F157" s="87" t="s">
        <v>4951</v>
      </c>
      <c r="G157" s="87" t="s">
        <v>1352</v>
      </c>
      <c r="H157" s="82" t="s">
        <v>5152</v>
      </c>
      <c r="I157" s="87">
        <v>1012.0</v>
      </c>
      <c r="J157" s="87" t="str">
        <f t="shared" si="28"/>
        <v>Sharpen Your Sentences: Expand the Sentence1012</v>
      </c>
    </row>
    <row r="158">
      <c r="B158" s="116" t="s">
        <v>2572</v>
      </c>
      <c r="C158" s="96" t="s">
        <v>4943</v>
      </c>
      <c r="D158" s="96"/>
      <c r="E158" s="93" t="s">
        <v>5195</v>
      </c>
      <c r="F158" s="87" t="s">
        <v>5196</v>
      </c>
      <c r="G158" s="87"/>
      <c r="H158" s="82" t="s">
        <v>5153</v>
      </c>
      <c r="I158" s="207">
        <v>1017.0</v>
      </c>
      <c r="J158" s="87" t="str">
        <f t="shared" si="28"/>
        <v>Edit the Draft Together: Peer Edit: Give and Get Feedback; Capitalization; Spelling1017</v>
      </c>
    </row>
    <row r="159">
      <c r="A159" s="80"/>
      <c r="B159" s="95"/>
      <c r="C159" s="80" t="s">
        <v>4947</v>
      </c>
      <c r="D159" s="80"/>
      <c r="E159" s="80"/>
      <c r="F159" s="80"/>
      <c r="G159" s="80"/>
      <c r="H159" s="80"/>
      <c r="I159" s="80"/>
      <c r="J159" s="87" t="str">
        <f t="shared" si="28"/>
        <v/>
      </c>
    </row>
    <row r="160">
      <c r="A160" s="128"/>
      <c r="B160" s="229"/>
      <c r="C160" s="235" t="s">
        <v>4923</v>
      </c>
      <c r="D160" s="236" t="s">
        <v>4924</v>
      </c>
      <c r="E160" s="236" t="s">
        <v>11</v>
      </c>
      <c r="F160" s="236" t="s">
        <v>4925</v>
      </c>
      <c r="G160" s="236" t="s">
        <v>4926</v>
      </c>
      <c r="H160" s="236" t="s">
        <v>714</v>
      </c>
      <c r="I160" s="128"/>
      <c r="J160" s="128"/>
    </row>
    <row r="161">
      <c r="A161" s="84" t="s">
        <v>1138</v>
      </c>
      <c r="B161" s="110" t="s">
        <v>1139</v>
      </c>
      <c r="C161" s="96" t="s">
        <v>5154</v>
      </c>
      <c r="D161" s="96" t="s">
        <v>5155</v>
      </c>
      <c r="E161" s="93" t="s">
        <v>5197</v>
      </c>
      <c r="F161" s="87" t="s">
        <v>5077</v>
      </c>
      <c r="G161" s="87" t="s">
        <v>5157</v>
      </c>
      <c r="H161" s="82" t="s">
        <v>5152</v>
      </c>
      <c r="I161" s="87">
        <v>1021.0</v>
      </c>
      <c r="J161" s="87" t="str">
        <f t="shared" ref="J161:J165" si="29">CONCATENATE(E161, I161)</f>
        <v>Write to Impress: Cite Evidence from Sources1021</v>
      </c>
    </row>
    <row r="162">
      <c r="B162" s="110" t="s">
        <v>1144</v>
      </c>
      <c r="C162" s="96" t="s">
        <v>4953</v>
      </c>
      <c r="D162" s="96"/>
      <c r="E162" s="93" t="s">
        <v>4954</v>
      </c>
      <c r="F162" s="87" t="s">
        <v>5052</v>
      </c>
      <c r="G162" s="87"/>
      <c r="H162" s="82" t="s">
        <v>5152</v>
      </c>
      <c r="I162" s="87">
        <v>1022.0</v>
      </c>
      <c r="J162" s="87" t="str">
        <f t="shared" si="29"/>
        <v>Sharpen Your Sentences: Sentence Expansion in Counterclaims1022</v>
      </c>
    </row>
    <row r="163">
      <c r="B163" s="110" t="s">
        <v>1144</v>
      </c>
      <c r="C163" s="96" t="s">
        <v>5198</v>
      </c>
      <c r="D163" s="96" t="s">
        <v>5160</v>
      </c>
      <c r="E163" s="93" t="s">
        <v>5161</v>
      </c>
      <c r="F163" s="87" t="s">
        <v>5077</v>
      </c>
      <c r="G163" s="87" t="s">
        <v>5157</v>
      </c>
      <c r="H163" s="82" t="s">
        <v>5152</v>
      </c>
      <c r="I163" s="237">
        <v>1022.0</v>
      </c>
      <c r="J163" s="87" t="str">
        <f t="shared" si="29"/>
        <v>Write to Impress: Edit Citations1022</v>
      </c>
    </row>
    <row r="164">
      <c r="B164" s="173" t="s">
        <v>2599</v>
      </c>
      <c r="C164" s="96" t="s">
        <v>5162</v>
      </c>
      <c r="D164" s="96"/>
      <c r="E164" s="93" t="s">
        <v>5042</v>
      </c>
      <c r="F164" s="87" t="s">
        <v>5163</v>
      </c>
      <c r="G164" s="87"/>
      <c r="H164" s="82" t="s">
        <v>5164</v>
      </c>
      <c r="I164" s="237">
        <v>1027.0</v>
      </c>
      <c r="J164" s="87" t="str">
        <f t="shared" si="29"/>
        <v>Edit the Draft Together: Peer Edit: Give and Get Feedback; Subjects and Predicates; Subject-Verb Agreement1027</v>
      </c>
    </row>
    <row r="165">
      <c r="A165" s="80"/>
      <c r="B165" s="80"/>
      <c r="C165" s="80" t="s">
        <v>4947</v>
      </c>
      <c r="D165" s="80"/>
      <c r="E165" s="80"/>
      <c r="F165" s="80"/>
      <c r="G165" s="80"/>
      <c r="H165" s="80"/>
      <c r="I165" s="80"/>
      <c r="J165" s="87" t="str">
        <f t="shared" si="29"/>
        <v/>
      </c>
    </row>
    <row r="166">
      <c r="A166" s="128"/>
      <c r="B166" s="83"/>
      <c r="C166" s="235" t="s">
        <v>4923</v>
      </c>
      <c r="D166" s="236" t="s">
        <v>4924</v>
      </c>
      <c r="E166" s="236" t="s">
        <v>11</v>
      </c>
      <c r="F166" s="236" t="s">
        <v>4925</v>
      </c>
      <c r="G166" s="236" t="s">
        <v>4926</v>
      </c>
      <c r="H166" s="236" t="s">
        <v>714</v>
      </c>
      <c r="I166" s="128"/>
      <c r="J166" s="128"/>
    </row>
    <row r="167">
      <c r="A167" s="84" t="s">
        <v>1147</v>
      </c>
      <c r="B167" s="170" t="s">
        <v>1152</v>
      </c>
      <c r="C167" s="96" t="s">
        <v>4969</v>
      </c>
      <c r="D167" s="96"/>
      <c r="E167" s="93" t="s">
        <v>4970</v>
      </c>
      <c r="F167" s="87" t="s">
        <v>5199</v>
      </c>
      <c r="G167" s="87"/>
      <c r="H167" s="82" t="s">
        <v>5169</v>
      </c>
      <c r="I167" s="87">
        <v>1032.0</v>
      </c>
      <c r="J167" s="87" t="str">
        <f t="shared" ref="J167:J168" si="30">CONCATENATE(E167, I167)</f>
        <v>Sharpen Your Sentences: Use an Appositive in a Sentence1032</v>
      </c>
    </row>
    <row r="168">
      <c r="B168" s="169" t="s">
        <v>1152</v>
      </c>
      <c r="C168" s="96" t="s">
        <v>5200</v>
      </c>
      <c r="D168" s="96" t="s">
        <v>5201</v>
      </c>
      <c r="E168" s="93" t="s">
        <v>5202</v>
      </c>
      <c r="F168" s="87" t="s">
        <v>4964</v>
      </c>
      <c r="G168" s="87" t="s">
        <v>4967</v>
      </c>
      <c r="H168" s="82" t="s">
        <v>5169</v>
      </c>
      <c r="I168" s="87">
        <v>1032.0</v>
      </c>
      <c r="J168" s="87" t="str">
        <f t="shared" si="30"/>
        <v>Write to Impress: Spell Correctly: Quill: Proofreading Commonly Confused Words1032</v>
      </c>
    </row>
    <row r="169">
      <c r="B169" s="168" t="s">
        <v>1154</v>
      </c>
      <c r="C169" s="96" t="s">
        <v>5203</v>
      </c>
      <c r="D169" s="96" t="s">
        <v>5166</v>
      </c>
      <c r="E169" s="93" t="s">
        <v>5204</v>
      </c>
      <c r="F169" s="87"/>
      <c r="G169" s="87"/>
      <c r="H169" s="82" t="s">
        <v>5168</v>
      </c>
      <c r="I169" s="207"/>
      <c r="J169" s="87"/>
    </row>
    <row r="170">
      <c r="B170" s="169" t="s">
        <v>2636</v>
      </c>
      <c r="C170" s="96" t="s">
        <v>5047</v>
      </c>
      <c r="D170" s="96"/>
      <c r="E170" s="93" t="s">
        <v>5048</v>
      </c>
      <c r="F170" s="87" t="s">
        <v>5049</v>
      </c>
      <c r="G170" s="87"/>
      <c r="H170" s="82" t="s">
        <v>5171</v>
      </c>
      <c r="I170" s="87">
        <v>1037.0</v>
      </c>
      <c r="J170" s="87" t="str">
        <f t="shared" ref="J170:J171" si="31">CONCATENATE(E170, I170)</f>
        <v>Edit the Draft Together: Peer Edit: Give and Get Feedback; Tense and Commas1037</v>
      </c>
    </row>
    <row r="171">
      <c r="A171" s="80"/>
      <c r="B171" s="95"/>
      <c r="C171" s="80" t="s">
        <v>4947</v>
      </c>
      <c r="D171" s="80"/>
      <c r="E171" s="80"/>
      <c r="F171" s="80"/>
      <c r="G171" s="80"/>
      <c r="H171" s="80"/>
      <c r="I171" s="80"/>
      <c r="J171" s="87" t="str">
        <f t="shared" si="31"/>
        <v/>
      </c>
    </row>
    <row r="172">
      <c r="A172" s="128"/>
      <c r="B172" s="229"/>
      <c r="C172" s="235" t="s">
        <v>4923</v>
      </c>
      <c r="D172" s="236" t="s">
        <v>4924</v>
      </c>
      <c r="E172" s="236" t="s">
        <v>11</v>
      </c>
      <c r="F172" s="236" t="s">
        <v>4925</v>
      </c>
      <c r="G172" s="236" t="s">
        <v>4926</v>
      </c>
      <c r="H172" s="236" t="s">
        <v>714</v>
      </c>
      <c r="I172" s="128"/>
      <c r="J172" s="128"/>
    </row>
    <row r="173">
      <c r="A173" s="84" t="s">
        <v>3478</v>
      </c>
      <c r="B173" s="173" t="s">
        <v>1161</v>
      </c>
      <c r="C173" s="96" t="s">
        <v>5205</v>
      </c>
      <c r="D173" s="96"/>
      <c r="E173" s="93" t="s">
        <v>5112</v>
      </c>
      <c r="F173" s="87" t="s">
        <v>5206</v>
      </c>
      <c r="G173" s="87"/>
      <c r="H173" s="82" t="s">
        <v>5173</v>
      </c>
      <c r="I173" s="241">
        <v>1042.0</v>
      </c>
      <c r="J173" s="87" t="str">
        <f t="shared" ref="J173:J175" si="32">CONCATENATE(E173, I173)</f>
        <v>Sharpen Your Sentences: Integrate Quotations Effectively1042</v>
      </c>
    </row>
    <row r="174">
      <c r="B174" s="173" t="s">
        <v>2671</v>
      </c>
      <c r="C174" s="96" t="s">
        <v>5207</v>
      </c>
      <c r="D174" s="96"/>
      <c r="E174" s="93" t="s">
        <v>5208</v>
      </c>
      <c r="F174" s="87" t="s">
        <v>5052</v>
      </c>
      <c r="G174" s="87"/>
      <c r="H174" s="82" t="s">
        <v>5174</v>
      </c>
      <c r="I174" s="241">
        <v>1048.0</v>
      </c>
      <c r="J174" s="87" t="str">
        <f t="shared" si="32"/>
        <v>Edit the Draft Together: Peer Edit: Give and Get Feedback: Varied Sentence Structure; Redundancy and Clarity1048</v>
      </c>
    </row>
    <row r="175">
      <c r="A175" s="80"/>
      <c r="B175" s="80"/>
      <c r="C175" s="80" t="s">
        <v>4947</v>
      </c>
      <c r="D175" s="80"/>
      <c r="E175" s="80"/>
      <c r="F175" s="80"/>
      <c r="G175" s="80"/>
      <c r="H175" s="80"/>
      <c r="I175" s="80"/>
      <c r="J175" s="87" t="str">
        <f t="shared" si="32"/>
        <v/>
      </c>
    </row>
    <row r="176">
      <c r="A176" s="128"/>
      <c r="B176" s="83"/>
      <c r="C176" s="235" t="s">
        <v>4923</v>
      </c>
      <c r="D176" s="236" t="s">
        <v>4924</v>
      </c>
      <c r="E176" s="236" t="s">
        <v>11</v>
      </c>
      <c r="F176" s="236" t="s">
        <v>4925</v>
      </c>
      <c r="G176" s="236" t="s">
        <v>4926</v>
      </c>
      <c r="H176" s="236" t="s">
        <v>714</v>
      </c>
      <c r="I176" s="128"/>
      <c r="J176" s="128"/>
    </row>
    <row r="177">
      <c r="A177" s="84" t="s">
        <v>3491</v>
      </c>
      <c r="B177" s="170" t="s">
        <v>1165</v>
      </c>
      <c r="C177" s="96" t="s">
        <v>5057</v>
      </c>
      <c r="D177" s="96"/>
      <c r="E177" s="93" t="s">
        <v>5058</v>
      </c>
      <c r="F177" s="87" t="s">
        <v>4951</v>
      </c>
      <c r="G177" s="87"/>
      <c r="H177" s="82" t="s">
        <v>5209</v>
      </c>
      <c r="I177" s="87">
        <v>1051.0</v>
      </c>
      <c r="J177" s="87" t="str">
        <f t="shared" ref="J177:J180" si="33">CONCATENATE(E177, I177)</f>
        <v>Sharpen Your Sentences: Creating Cause-and-Effect Sentences1051</v>
      </c>
    </row>
    <row r="178">
      <c r="B178" s="169" t="s">
        <v>1169</v>
      </c>
      <c r="C178" s="96" t="s">
        <v>5059</v>
      </c>
      <c r="D178" s="96"/>
      <c r="E178" s="93" t="s">
        <v>4993</v>
      </c>
      <c r="F178" s="87" t="s">
        <v>4951</v>
      </c>
      <c r="G178" s="87"/>
      <c r="H178" s="82" t="s">
        <v>5150</v>
      </c>
      <c r="I178" s="87">
        <v>1052.0</v>
      </c>
      <c r="J178" s="87" t="str">
        <f t="shared" si="33"/>
        <v>Sharpen Your Sentences: Vary Your Sentence Length and Structure1052</v>
      </c>
    </row>
    <row r="179">
      <c r="B179" s="170" t="s">
        <v>2709</v>
      </c>
      <c r="C179" s="96" t="s">
        <v>5176</v>
      </c>
      <c r="D179" s="96"/>
      <c r="E179" s="93" t="s">
        <v>5063</v>
      </c>
      <c r="F179" s="87" t="s">
        <v>5064</v>
      </c>
      <c r="G179" s="87"/>
      <c r="H179" s="82" t="s">
        <v>5177</v>
      </c>
      <c r="I179" s="207">
        <v>1059.0</v>
      </c>
      <c r="J179" s="87" t="str">
        <f t="shared" si="33"/>
        <v>Edit the Draft Together: Peer Edit: Give and Get Feedback; Modifiers and Parallelism1059</v>
      </c>
    </row>
    <row r="180">
      <c r="A180" s="80"/>
      <c r="B180" s="80"/>
      <c r="C180" s="80" t="s">
        <v>4947</v>
      </c>
      <c r="D180" s="80"/>
      <c r="E180" s="80"/>
      <c r="F180" s="80"/>
      <c r="G180" s="80"/>
      <c r="H180" s="80"/>
      <c r="I180" s="80"/>
      <c r="J180" s="87" t="str">
        <f t="shared" si="33"/>
        <v/>
      </c>
    </row>
    <row r="181">
      <c r="A181" s="128"/>
      <c r="B181" s="83"/>
      <c r="C181" s="235" t="s">
        <v>4923</v>
      </c>
      <c r="D181" s="236" t="s">
        <v>4924</v>
      </c>
      <c r="E181" s="236" t="s">
        <v>11</v>
      </c>
      <c r="F181" s="236" t="s">
        <v>4925</v>
      </c>
      <c r="G181" s="236" t="s">
        <v>4926</v>
      </c>
      <c r="H181" s="236" t="s">
        <v>714</v>
      </c>
      <c r="I181" s="128"/>
      <c r="J181" s="128"/>
    </row>
    <row r="182">
      <c r="A182" s="84" t="s">
        <v>1178</v>
      </c>
      <c r="B182" s="170" t="s">
        <v>1179</v>
      </c>
      <c r="C182" s="96" t="s">
        <v>5178</v>
      </c>
      <c r="D182" s="96" t="s">
        <v>4990</v>
      </c>
      <c r="E182" s="93" t="s">
        <v>5210</v>
      </c>
      <c r="F182" s="87" t="s">
        <v>4990</v>
      </c>
      <c r="G182" s="87" t="s">
        <v>4987</v>
      </c>
      <c r="H182" s="82" t="s">
        <v>5180</v>
      </c>
      <c r="I182" s="87">
        <v>1061.0</v>
      </c>
      <c r="J182" s="87" t="str">
        <f t="shared" ref="J182:J185" si="34">CONCATENATE(E182, I182)</f>
        <v>Write to Impress: Use Punctuation to Link Ideas: Quill: Connecting Sentences with However and Therefore1061</v>
      </c>
    </row>
    <row r="183">
      <c r="B183" s="169" t="s">
        <v>1183</v>
      </c>
      <c r="C183" s="96" t="s">
        <v>4969</v>
      </c>
      <c r="D183" s="96"/>
      <c r="E183" s="93" t="s">
        <v>5211</v>
      </c>
      <c r="F183" s="87" t="s">
        <v>4951</v>
      </c>
      <c r="G183" s="87"/>
      <c r="H183" s="82" t="s">
        <v>5181</v>
      </c>
      <c r="I183" s="87">
        <v>1062.0</v>
      </c>
      <c r="J183" s="87" t="str">
        <f t="shared" si="34"/>
        <v>Sharpen Your Sentences: Sentence Combining: Appositives,                       Pronouns, Conjunctions; Write to Impress: Use Punctuation to Introduce Lists and Quotations1062</v>
      </c>
    </row>
    <row r="184">
      <c r="B184" s="170" t="s">
        <v>2737</v>
      </c>
      <c r="C184" s="96" t="s">
        <v>5075</v>
      </c>
      <c r="D184" s="96"/>
      <c r="E184" s="93" t="s">
        <v>5076</v>
      </c>
      <c r="F184" s="87" t="s">
        <v>5077</v>
      </c>
      <c r="G184" s="87"/>
      <c r="H184" s="82" t="s">
        <v>5164</v>
      </c>
      <c r="I184" s="207">
        <v>1067.0</v>
      </c>
      <c r="J184" s="87" t="str">
        <f t="shared" si="34"/>
        <v>Edit the Draft Together: Peer Edit: Give and Get Feedback; Formal and Objective Style1067</v>
      </c>
    </row>
    <row r="185">
      <c r="A185" s="80"/>
      <c r="B185" s="80"/>
      <c r="C185" s="80" t="s">
        <v>4947</v>
      </c>
      <c r="D185" s="80"/>
      <c r="E185" s="80"/>
      <c r="F185" s="80"/>
      <c r="G185" s="80"/>
      <c r="H185" s="80"/>
      <c r="I185" s="80"/>
      <c r="J185" s="87" t="str">
        <f t="shared" si="34"/>
        <v/>
      </c>
    </row>
    <row r="186">
      <c r="A186" s="128"/>
      <c r="B186" s="83"/>
      <c r="C186" s="235" t="s">
        <v>4923</v>
      </c>
      <c r="D186" s="236" t="s">
        <v>4924</v>
      </c>
      <c r="E186" s="236" t="s">
        <v>11</v>
      </c>
      <c r="F186" s="236" t="s">
        <v>4925</v>
      </c>
      <c r="G186" s="236" t="s">
        <v>4926</v>
      </c>
      <c r="H186" s="236" t="s">
        <v>714</v>
      </c>
      <c r="I186" s="128"/>
      <c r="J186" s="128"/>
    </row>
    <row r="187">
      <c r="A187" s="195" t="s">
        <v>3497</v>
      </c>
      <c r="B187" s="170" t="s">
        <v>1187</v>
      </c>
      <c r="C187" s="96" t="s">
        <v>5184</v>
      </c>
      <c r="D187" s="96" t="s">
        <v>5185</v>
      </c>
      <c r="E187" s="93" t="s">
        <v>5212</v>
      </c>
      <c r="F187" s="87" t="s">
        <v>5213</v>
      </c>
      <c r="G187" s="87"/>
      <c r="H187" s="82" t="s">
        <v>5188</v>
      </c>
      <c r="I187" s="87">
        <v>1071.0</v>
      </c>
      <c r="J187" s="87" t="str">
        <f>CONCATENATE(E187, I187)</f>
        <v>Write to Impress: Parallel Structure: Quill: Writing Sentences That Flow1071</v>
      </c>
    </row>
    <row r="188">
      <c r="B188" s="169" t="s">
        <v>1187</v>
      </c>
      <c r="C188" s="96" t="s">
        <v>5189</v>
      </c>
      <c r="D188" s="96"/>
      <c r="E188" s="93" t="s">
        <v>5214</v>
      </c>
      <c r="F188" s="87" t="s">
        <v>5034</v>
      </c>
      <c r="G188" s="87"/>
      <c r="H188" s="82" t="s">
        <v>5188</v>
      </c>
      <c r="I188" s="87"/>
      <c r="J188" s="87"/>
    </row>
    <row r="189">
      <c r="B189" s="170" t="s">
        <v>2765</v>
      </c>
      <c r="C189" s="96" t="s">
        <v>5215</v>
      </c>
      <c r="D189" s="96"/>
      <c r="E189" s="93" t="s">
        <v>5143</v>
      </c>
      <c r="F189" s="87" t="s">
        <v>5144</v>
      </c>
      <c r="G189" s="87"/>
      <c r="H189" s="82" t="s">
        <v>5164</v>
      </c>
      <c r="I189" s="207">
        <v>1076.0</v>
      </c>
      <c r="J189" s="87" t="str">
        <f t="shared" ref="J189:J190" si="35">CONCATENATE(E189, I189)</f>
        <v>Edit the Draft Together: Peer Edit: Give and Get Feedback; Active Versus Passive Language and Style1076</v>
      </c>
    </row>
    <row r="190">
      <c r="A190" s="80"/>
      <c r="B190" s="80"/>
      <c r="C190" s="80" t="s">
        <v>4947</v>
      </c>
      <c r="D190" s="80"/>
      <c r="E190" s="80"/>
      <c r="F190" s="80"/>
      <c r="G190" s="80"/>
      <c r="H190" s="80"/>
      <c r="I190" s="80"/>
      <c r="J190" s="87" t="str">
        <f t="shared" si="35"/>
        <v/>
      </c>
    </row>
    <row r="191">
      <c r="A191" s="128"/>
      <c r="B191" s="83"/>
      <c r="C191" s="235" t="s">
        <v>4923</v>
      </c>
      <c r="D191" s="236" t="s">
        <v>4924</v>
      </c>
      <c r="E191" s="236" t="s">
        <v>11</v>
      </c>
      <c r="F191" s="236" t="s">
        <v>4925</v>
      </c>
      <c r="G191" s="236" t="s">
        <v>4926</v>
      </c>
      <c r="H191" s="236" t="s">
        <v>714</v>
      </c>
      <c r="I191" s="128"/>
      <c r="J191" s="128"/>
    </row>
    <row r="192">
      <c r="A192" s="84" t="s">
        <v>1192</v>
      </c>
      <c r="B192" s="170" t="s">
        <v>1193</v>
      </c>
      <c r="C192" s="96" t="s">
        <v>5216</v>
      </c>
      <c r="D192" s="96" t="s">
        <v>5217</v>
      </c>
      <c r="E192" s="93" t="s">
        <v>5218</v>
      </c>
      <c r="F192" s="87" t="s">
        <v>5077</v>
      </c>
      <c r="G192" s="87"/>
      <c r="H192" s="82" t="s">
        <v>4587</v>
      </c>
      <c r="I192" s="87">
        <v>1111.0</v>
      </c>
      <c r="J192" s="87" t="str">
        <f t="shared" ref="J192:J193" si="36">CONCATENATE(E192, I192)</f>
        <v>Write to Impress: Understand How Usage and Conventions Change Over Time: Quill:  Grammar1111</v>
      </c>
    </row>
    <row r="193">
      <c r="B193" s="169" t="s">
        <v>1198</v>
      </c>
      <c r="C193" s="96" t="s">
        <v>4953</v>
      </c>
      <c r="D193" s="96"/>
      <c r="E193" s="93" t="s">
        <v>5219</v>
      </c>
      <c r="F193" s="87" t="s">
        <v>5220</v>
      </c>
      <c r="G193" s="87"/>
      <c r="H193" s="82" t="s">
        <v>5221</v>
      </c>
      <c r="I193" s="87">
        <v>1112.0</v>
      </c>
      <c r="J193" s="87" t="str">
        <f t="shared" si="36"/>
        <v>Sharpen Your Sentences: Expand the Sentence
1112</v>
      </c>
    </row>
    <row r="194">
      <c r="B194" s="170" t="s">
        <v>1198</v>
      </c>
      <c r="C194" s="96" t="s">
        <v>5222</v>
      </c>
      <c r="D194" s="96" t="s">
        <v>5223</v>
      </c>
      <c r="E194" s="93" t="s">
        <v>5224</v>
      </c>
      <c r="F194" s="87" t="s">
        <v>5225</v>
      </c>
      <c r="G194" s="87"/>
      <c r="H194" s="82" t="s">
        <v>4587</v>
      </c>
      <c r="I194" s="245"/>
      <c r="J194" s="87"/>
    </row>
    <row r="195">
      <c r="B195" s="169" t="s">
        <v>2800</v>
      </c>
      <c r="C195" s="96"/>
      <c r="D195" s="96"/>
      <c r="E195" s="93"/>
      <c r="F195" s="87"/>
      <c r="G195" s="87"/>
      <c r="H195" s="82"/>
      <c r="I195" s="87">
        <v>1112.0</v>
      </c>
      <c r="J195" s="87" t="str">
        <f t="shared" ref="J195:J197" si="37">CONCATENATE(E195, I195)</f>
        <v>1112</v>
      </c>
    </row>
    <row r="196">
      <c r="B196" s="170" t="s">
        <v>2800</v>
      </c>
      <c r="C196" s="96" t="s">
        <v>4943</v>
      </c>
      <c r="D196" s="96"/>
      <c r="E196" s="93" t="s">
        <v>4944</v>
      </c>
      <c r="F196" s="87" t="s">
        <v>5196</v>
      </c>
      <c r="G196" s="87" t="s">
        <v>5226</v>
      </c>
      <c r="H196" s="82" t="s">
        <v>5227</v>
      </c>
      <c r="I196" s="207">
        <v>1117.0</v>
      </c>
      <c r="J196" s="87" t="str">
        <f t="shared" si="37"/>
        <v>Edit the Draft Together: Peer Edit: Give and Get Feedback; Capitalization and Spelling; Punctuation and End Punctuation1117</v>
      </c>
    </row>
    <row r="197">
      <c r="A197" s="80"/>
      <c r="B197" s="80"/>
      <c r="C197" s="80" t="s">
        <v>4947</v>
      </c>
      <c r="D197" s="80"/>
      <c r="E197" s="80"/>
      <c r="F197" s="80"/>
      <c r="G197" s="80"/>
      <c r="H197" s="80"/>
      <c r="I197" s="80"/>
      <c r="J197" s="87" t="str">
        <f t="shared" si="37"/>
        <v/>
      </c>
    </row>
    <row r="198">
      <c r="A198" s="128"/>
      <c r="B198" s="128"/>
      <c r="C198" s="235" t="s">
        <v>4923</v>
      </c>
      <c r="D198" s="236" t="s">
        <v>4924</v>
      </c>
      <c r="E198" s="236" t="s">
        <v>11</v>
      </c>
      <c r="F198" s="236" t="s">
        <v>4925</v>
      </c>
      <c r="G198" s="236" t="s">
        <v>4926</v>
      </c>
      <c r="H198" s="236" t="s">
        <v>714</v>
      </c>
      <c r="I198" s="128"/>
      <c r="J198" s="128"/>
    </row>
    <row r="199">
      <c r="A199" s="84" t="s">
        <v>1204</v>
      </c>
      <c r="B199" s="92" t="s">
        <v>1205</v>
      </c>
      <c r="C199" s="96" t="s">
        <v>5228</v>
      </c>
      <c r="D199" s="96" t="s">
        <v>4949</v>
      </c>
      <c r="E199" s="93" t="s">
        <v>5229</v>
      </c>
      <c r="F199" s="87" t="s">
        <v>4951</v>
      </c>
      <c r="G199" s="87" t="s">
        <v>5149</v>
      </c>
      <c r="H199" s="82" t="s">
        <v>5230</v>
      </c>
      <c r="I199" s="87">
        <v>1121.0</v>
      </c>
      <c r="J199" s="87" t="str">
        <f t="shared" ref="J199:J202" si="38">CONCATENATE(E199, I199)</f>
        <v>Write to Impress: Vary Syntax for Effect: Quill: Sentence Combining1121</v>
      </c>
    </row>
    <row r="200">
      <c r="B200" s="173" t="s">
        <v>1210</v>
      </c>
      <c r="C200" s="96" t="s">
        <v>4953</v>
      </c>
      <c r="D200" s="96"/>
      <c r="E200" s="93" t="s">
        <v>4954</v>
      </c>
      <c r="F200" s="87" t="s">
        <v>5052</v>
      </c>
      <c r="G200" s="87" t="s">
        <v>5149</v>
      </c>
      <c r="H200" s="82" t="s">
        <v>5230</v>
      </c>
      <c r="I200" s="87">
        <v>1122.0</v>
      </c>
      <c r="J200" s="87" t="str">
        <f t="shared" si="38"/>
        <v>Sharpen Your Sentences: Sentence Expansion in Counterclaims1122</v>
      </c>
    </row>
    <row r="201">
      <c r="B201" s="173" t="s">
        <v>2832</v>
      </c>
      <c r="C201" s="96" t="s">
        <v>5162</v>
      </c>
      <c r="D201" s="96"/>
      <c r="E201" s="93" t="s">
        <v>5042</v>
      </c>
      <c r="F201" s="87" t="s">
        <v>5163</v>
      </c>
      <c r="G201" s="87"/>
      <c r="H201" s="82" t="s">
        <v>5231</v>
      </c>
      <c r="I201" s="237">
        <v>1127.0</v>
      </c>
      <c r="J201" s="87" t="str">
        <f t="shared" si="38"/>
        <v>Edit the Draft Together: Peer Edit: Give and Get Feedback; Subjects and Predicates; Subject-Verb Agreement1127</v>
      </c>
    </row>
    <row r="202">
      <c r="A202" s="80"/>
      <c r="B202" s="80"/>
      <c r="C202" s="80" t="s">
        <v>4947</v>
      </c>
      <c r="D202" s="80"/>
      <c r="E202" s="80"/>
      <c r="F202" s="80"/>
      <c r="G202" s="80"/>
      <c r="H202" s="80"/>
      <c r="I202" s="80"/>
      <c r="J202" s="87" t="str">
        <f t="shared" si="38"/>
        <v/>
      </c>
    </row>
    <row r="203">
      <c r="A203" s="128"/>
      <c r="B203" s="128"/>
      <c r="C203" s="235" t="s">
        <v>4923</v>
      </c>
      <c r="D203" s="236" t="s">
        <v>4924</v>
      </c>
      <c r="E203" s="236" t="s">
        <v>11</v>
      </c>
      <c r="F203" s="236" t="s">
        <v>4925</v>
      </c>
      <c r="G203" s="236" t="s">
        <v>4926</v>
      </c>
      <c r="H203" s="236" t="s">
        <v>714</v>
      </c>
      <c r="I203" s="128"/>
      <c r="J203" s="128"/>
    </row>
    <row r="204">
      <c r="A204" s="84" t="s">
        <v>1216</v>
      </c>
      <c r="B204" s="170" t="s">
        <v>1217</v>
      </c>
      <c r="C204" s="96" t="s">
        <v>4963</v>
      </c>
      <c r="D204" s="96" t="s">
        <v>4964</v>
      </c>
      <c r="E204" s="93" t="s">
        <v>5232</v>
      </c>
      <c r="F204" s="87" t="s">
        <v>4964</v>
      </c>
      <c r="G204" s="87" t="s">
        <v>4967</v>
      </c>
      <c r="H204" s="82" t="s">
        <v>5233</v>
      </c>
      <c r="I204" s="87">
        <v>1131.0</v>
      </c>
      <c r="J204" s="87" t="str">
        <f t="shared" ref="J204:J207" si="39">CONCATENATE(E204, I204)</f>
        <v>Write to Impress: Spell Correctly: Quill: Their, They're, There1131</v>
      </c>
    </row>
    <row r="205">
      <c r="B205" s="169" t="s">
        <v>1221</v>
      </c>
      <c r="C205" s="96" t="s">
        <v>4969</v>
      </c>
      <c r="D205" s="96" t="s">
        <v>5166</v>
      </c>
      <c r="E205" s="93" t="s">
        <v>5234</v>
      </c>
      <c r="F205" s="87" t="s">
        <v>5199</v>
      </c>
      <c r="G205" s="87"/>
      <c r="H205" s="82" t="s">
        <v>5235</v>
      </c>
      <c r="I205" s="87">
        <v>1132.0</v>
      </c>
      <c r="J205" s="87" t="str">
        <f t="shared" si="39"/>
        <v>Sharpen Your Sentences: Use an Appositive in a Sentence; Write to Impress: Using Figurative Language1132</v>
      </c>
    </row>
    <row r="206">
      <c r="B206" s="170" t="s">
        <v>2870</v>
      </c>
      <c r="C206" s="96" t="s">
        <v>5047</v>
      </c>
      <c r="D206" s="96"/>
      <c r="E206" s="93" t="s">
        <v>5048</v>
      </c>
      <c r="F206" s="87" t="s">
        <v>5236</v>
      </c>
      <c r="G206" s="87"/>
      <c r="H206" s="82" t="s">
        <v>5237</v>
      </c>
      <c r="I206" s="207">
        <v>1137.0</v>
      </c>
      <c r="J206" s="87" t="str">
        <f t="shared" si="39"/>
        <v>Edit the Draft Together: Peer Edit: Give and Get Feedback; Tense and Commas1137</v>
      </c>
    </row>
    <row r="207">
      <c r="A207" s="80"/>
      <c r="B207" s="80"/>
      <c r="C207" s="80" t="s">
        <v>4947</v>
      </c>
      <c r="D207" s="80"/>
      <c r="E207" s="80"/>
      <c r="F207" s="80"/>
      <c r="G207" s="80"/>
      <c r="H207" s="80"/>
      <c r="I207" s="80"/>
      <c r="J207" s="87" t="str">
        <f t="shared" si="39"/>
        <v/>
      </c>
    </row>
    <row r="208">
      <c r="A208" s="128"/>
      <c r="B208" s="128"/>
      <c r="C208" s="235" t="s">
        <v>4923</v>
      </c>
      <c r="D208" s="236" t="s">
        <v>4924</v>
      </c>
      <c r="E208" s="236" t="s">
        <v>11</v>
      </c>
      <c r="F208" s="236" t="s">
        <v>4925</v>
      </c>
      <c r="G208" s="236" t="s">
        <v>4926</v>
      </c>
      <c r="H208" s="236" t="s">
        <v>714</v>
      </c>
      <c r="I208" s="128"/>
      <c r="J208" s="128"/>
    </row>
    <row r="209">
      <c r="A209" s="84" t="s">
        <v>3512</v>
      </c>
      <c r="B209" s="92" t="s">
        <v>1232</v>
      </c>
      <c r="C209" s="96" t="s">
        <v>5172</v>
      </c>
      <c r="D209" s="96"/>
      <c r="E209" s="93" t="s">
        <v>5112</v>
      </c>
      <c r="F209" s="87" t="s">
        <v>5206</v>
      </c>
      <c r="G209" s="87"/>
      <c r="H209" s="82" t="s">
        <v>5238</v>
      </c>
      <c r="I209" s="241">
        <v>1142.0</v>
      </c>
      <c r="J209" s="87" t="str">
        <f t="shared" ref="J209:J211" si="40">CONCATENATE(E209, I209)</f>
        <v>Sharpen Your Sentences: Integrate Quotations Effectively1142</v>
      </c>
    </row>
    <row r="210">
      <c r="B210" s="173" t="s">
        <v>2907</v>
      </c>
      <c r="C210" s="96" t="s">
        <v>5113</v>
      </c>
      <c r="D210" s="96"/>
      <c r="E210" s="93" t="s">
        <v>5055</v>
      </c>
      <c r="F210" s="87" t="s">
        <v>5052</v>
      </c>
      <c r="G210" s="87"/>
      <c r="H210" s="82" t="s">
        <v>5239</v>
      </c>
      <c r="I210" s="241">
        <v>1148.0</v>
      </c>
      <c r="J210" s="87" t="str">
        <f t="shared" si="40"/>
        <v>Edit the Draft Together: Peer Edit: Give and Get Feedback; Varied Sentence Structure; Redundancy and Clarity1148</v>
      </c>
    </row>
    <row r="211">
      <c r="A211" s="80"/>
      <c r="B211" s="80"/>
      <c r="C211" s="80" t="s">
        <v>4947</v>
      </c>
      <c r="D211" s="80"/>
      <c r="E211" s="80"/>
      <c r="F211" s="80"/>
      <c r="G211" s="80"/>
      <c r="H211" s="80"/>
      <c r="I211" s="80"/>
      <c r="J211" s="87" t="str">
        <f t="shared" si="40"/>
        <v/>
      </c>
    </row>
    <row r="212">
      <c r="A212" s="128"/>
      <c r="B212" s="128"/>
      <c r="C212" s="235" t="s">
        <v>4923</v>
      </c>
      <c r="D212" s="236" t="s">
        <v>4924</v>
      </c>
      <c r="E212" s="236" t="s">
        <v>11</v>
      </c>
      <c r="F212" s="236" t="s">
        <v>4925</v>
      </c>
      <c r="G212" s="236" t="s">
        <v>4926</v>
      </c>
      <c r="H212" s="236" t="s">
        <v>714</v>
      </c>
      <c r="I212" s="128"/>
      <c r="J212" s="128"/>
    </row>
    <row r="213">
      <c r="A213" s="84" t="s">
        <v>3534</v>
      </c>
      <c r="B213" s="170" t="s">
        <v>1239</v>
      </c>
      <c r="C213" s="96" t="s">
        <v>5057</v>
      </c>
      <c r="D213" s="96"/>
      <c r="E213" s="93" t="s">
        <v>5058</v>
      </c>
      <c r="F213" s="87" t="s">
        <v>5052</v>
      </c>
      <c r="G213" s="87"/>
      <c r="H213" s="82" t="s">
        <v>5240</v>
      </c>
      <c r="I213" s="87">
        <v>1151.0</v>
      </c>
      <c r="J213" s="87" t="str">
        <f t="shared" ref="J213:J216" si="41">CONCATENATE(E213, I213)</f>
        <v>Sharpen Your Sentences: Creating Cause-and-Effect Sentences1151</v>
      </c>
    </row>
    <row r="214">
      <c r="B214" s="169" t="s">
        <v>1244</v>
      </c>
      <c r="C214" s="96" t="s">
        <v>5059</v>
      </c>
      <c r="D214" s="96"/>
      <c r="E214" s="93" t="s">
        <v>4993</v>
      </c>
      <c r="F214" s="87" t="s">
        <v>4951</v>
      </c>
      <c r="G214" s="87"/>
      <c r="H214" s="82" t="s">
        <v>5241</v>
      </c>
      <c r="I214" s="87">
        <v>1152.0</v>
      </c>
      <c r="J214" s="87" t="str">
        <f t="shared" si="41"/>
        <v>Sharpen Your Sentences: Vary Your Sentence Length and Structure1152</v>
      </c>
    </row>
    <row r="215">
      <c r="B215" s="170" t="s">
        <v>2948</v>
      </c>
      <c r="C215" s="96" t="s">
        <v>5120</v>
      </c>
      <c r="D215" s="96"/>
      <c r="E215" s="93" t="s">
        <v>5063</v>
      </c>
      <c r="F215" s="87" t="s">
        <v>5064</v>
      </c>
      <c r="G215" s="87"/>
      <c r="H215" s="82" t="s">
        <v>5239</v>
      </c>
      <c r="I215" s="207">
        <v>1158.0</v>
      </c>
      <c r="J215" s="87" t="str">
        <f t="shared" si="41"/>
        <v>Edit the Draft Together: Peer Edit: Give and Get Feedback; Modifiers and Parallelism1158</v>
      </c>
    </row>
    <row r="216">
      <c r="A216" s="80"/>
      <c r="B216" s="80"/>
      <c r="C216" s="80" t="s">
        <v>4947</v>
      </c>
      <c r="D216" s="80"/>
      <c r="E216" s="80"/>
      <c r="F216" s="80"/>
      <c r="G216" s="80"/>
      <c r="H216" s="80"/>
      <c r="I216" s="80"/>
      <c r="J216" s="87" t="str">
        <f t="shared" si="41"/>
        <v/>
      </c>
    </row>
    <row r="217">
      <c r="A217" s="128"/>
      <c r="B217" s="128"/>
      <c r="C217" s="235" t="s">
        <v>4923</v>
      </c>
      <c r="D217" s="236" t="s">
        <v>4924</v>
      </c>
      <c r="E217" s="236" t="s">
        <v>11</v>
      </c>
      <c r="F217" s="236" t="s">
        <v>4925</v>
      </c>
      <c r="G217" s="236" t="s">
        <v>4926</v>
      </c>
      <c r="H217" s="236" t="s">
        <v>714</v>
      </c>
      <c r="I217" s="128"/>
      <c r="J217" s="128"/>
    </row>
    <row r="218">
      <c r="A218" s="84" t="s">
        <v>1253</v>
      </c>
      <c r="B218" s="170" t="s">
        <v>1254</v>
      </c>
      <c r="C218" s="96" t="s">
        <v>5242</v>
      </c>
      <c r="D218" s="96" t="s">
        <v>4990</v>
      </c>
      <c r="E218" s="93" t="s">
        <v>5243</v>
      </c>
      <c r="F218" s="87" t="s">
        <v>4990</v>
      </c>
      <c r="G218" s="87" t="s">
        <v>4987</v>
      </c>
      <c r="H218" s="82" t="s">
        <v>4587</v>
      </c>
      <c r="I218" s="87">
        <v>1161.0</v>
      </c>
      <c r="J218" s="87" t="str">
        <f t="shared" ref="J218:J221" si="42">CONCATENATE(E218, I218)</f>
        <v>Write to Impress:: Observe Hyphenation Conventions1161</v>
      </c>
    </row>
    <row r="219">
      <c r="B219" s="169" t="s">
        <v>1259</v>
      </c>
      <c r="C219" s="96" t="s">
        <v>4969</v>
      </c>
      <c r="D219" s="96"/>
      <c r="E219" s="93" t="s">
        <v>5244</v>
      </c>
      <c r="F219" s="87" t="s">
        <v>5199</v>
      </c>
      <c r="G219" s="87"/>
      <c r="H219" s="82" t="s">
        <v>5245</v>
      </c>
      <c r="I219" s="87">
        <v>1162.0</v>
      </c>
      <c r="J219" s="87" t="str">
        <f t="shared" si="42"/>
        <v>Sharpen Your Sentences: Sentence Combining: Appositives,                        Pronouns, Conjunctions1162</v>
      </c>
    </row>
    <row r="220">
      <c r="B220" s="170" t="s">
        <v>2977</v>
      </c>
      <c r="C220" s="96" t="s">
        <v>5075</v>
      </c>
      <c r="D220" s="96"/>
      <c r="E220" s="93" t="s">
        <v>5076</v>
      </c>
      <c r="F220" s="87" t="s">
        <v>5077</v>
      </c>
      <c r="G220" s="87"/>
      <c r="H220" s="82" t="s">
        <v>5246</v>
      </c>
      <c r="I220" s="207">
        <v>1167.0</v>
      </c>
      <c r="J220" s="87" t="str">
        <f t="shared" si="42"/>
        <v>Edit the Draft Together: Peer Edit: Give and Get Feedback; Formal and Objective Style1167</v>
      </c>
    </row>
    <row r="221">
      <c r="A221" s="80"/>
      <c r="B221" s="80"/>
      <c r="C221" s="80" t="s">
        <v>4947</v>
      </c>
      <c r="D221" s="80"/>
      <c r="E221" s="80"/>
      <c r="F221" s="80"/>
      <c r="G221" s="80"/>
      <c r="H221" s="80"/>
      <c r="I221" s="80"/>
      <c r="J221" s="87" t="str">
        <f t="shared" si="42"/>
        <v/>
      </c>
    </row>
    <row r="222">
      <c r="A222" s="128"/>
      <c r="B222" s="128"/>
      <c r="C222" s="235" t="s">
        <v>4923</v>
      </c>
      <c r="D222" s="236" t="s">
        <v>4924</v>
      </c>
      <c r="E222" s="236" t="s">
        <v>11</v>
      </c>
      <c r="F222" s="236" t="s">
        <v>4925</v>
      </c>
      <c r="G222" s="236" t="s">
        <v>4926</v>
      </c>
      <c r="H222" s="236" t="s">
        <v>714</v>
      </c>
      <c r="I222" s="128"/>
      <c r="J222" s="128"/>
    </row>
    <row r="223">
      <c r="A223" s="84" t="s">
        <v>3539</v>
      </c>
      <c r="B223" s="173" t="s">
        <v>3010</v>
      </c>
      <c r="C223" s="96" t="s">
        <v>5019</v>
      </c>
      <c r="D223" s="96"/>
      <c r="E223" s="93" t="s">
        <v>5143</v>
      </c>
      <c r="F223" s="87" t="s">
        <v>5144</v>
      </c>
      <c r="G223" s="87"/>
      <c r="H223" s="82" t="s">
        <v>5239</v>
      </c>
      <c r="I223" s="237">
        <v>1177.0</v>
      </c>
      <c r="J223" s="87" t="str">
        <f t="shared" ref="J223:J224" si="43">CONCATENATE(E223, I223)</f>
        <v>Edit the Draft Together: Peer Edit: Give and Get Feedback; Active Versus Passive Language and Style1177</v>
      </c>
    </row>
    <row r="224">
      <c r="A224" s="80"/>
      <c r="B224" s="80"/>
      <c r="C224" s="80" t="s">
        <v>4947</v>
      </c>
      <c r="D224" s="80"/>
      <c r="E224" s="80"/>
      <c r="F224" s="80"/>
      <c r="G224" s="80"/>
      <c r="H224" s="80"/>
      <c r="I224" s="80"/>
      <c r="J224" s="87" t="str">
        <f t="shared" si="43"/>
        <v/>
      </c>
    </row>
    <row r="225">
      <c r="A225" s="128"/>
      <c r="B225" s="128"/>
      <c r="C225" s="235" t="s">
        <v>4923</v>
      </c>
      <c r="D225" s="236" t="s">
        <v>4924</v>
      </c>
      <c r="E225" s="236" t="s">
        <v>11</v>
      </c>
      <c r="F225" s="236" t="s">
        <v>4925</v>
      </c>
      <c r="G225" s="236" t="s">
        <v>4926</v>
      </c>
      <c r="H225" s="236" t="s">
        <v>714</v>
      </c>
      <c r="I225" s="128"/>
      <c r="J225" s="128"/>
    </row>
    <row r="226">
      <c r="A226" s="84" t="s">
        <v>1278</v>
      </c>
      <c r="B226" s="170" t="s">
        <v>1279</v>
      </c>
      <c r="C226" s="96" t="s">
        <v>5247</v>
      </c>
      <c r="D226" s="96" t="s">
        <v>5217</v>
      </c>
      <c r="E226" s="93" t="s">
        <v>5248</v>
      </c>
      <c r="F226" s="87" t="s">
        <v>5077</v>
      </c>
      <c r="G226" s="87" t="s">
        <v>5226</v>
      </c>
      <c r="H226" s="82" t="s">
        <v>5249</v>
      </c>
      <c r="I226" s="87">
        <v>1211.0</v>
      </c>
      <c r="J226" s="87" t="str">
        <f t="shared" ref="J226:J230" si="44">CONCATENATE(E226, I226)</f>
        <v>Write to Impress: Understand Inconsistent Usage and How Conventions Change1211</v>
      </c>
    </row>
    <row r="227">
      <c r="B227" s="169" t="s">
        <v>1283</v>
      </c>
      <c r="C227" s="96" t="s">
        <v>4953</v>
      </c>
      <c r="D227" s="96"/>
      <c r="E227" s="93" t="s">
        <v>4928</v>
      </c>
      <c r="F227" s="87" t="s">
        <v>5151</v>
      </c>
      <c r="G227" s="87"/>
      <c r="H227" s="82" t="s">
        <v>5250</v>
      </c>
      <c r="I227" s="87">
        <v>1212.0</v>
      </c>
      <c r="J227" s="87" t="str">
        <f t="shared" si="44"/>
        <v>Sharpen Your Sentences: Expand the Sentence1212</v>
      </c>
    </row>
    <row r="228">
      <c r="B228" s="170" t="s">
        <v>1283</v>
      </c>
      <c r="C228" s="96" t="s">
        <v>5251</v>
      </c>
      <c r="D228" s="96" t="s">
        <v>5252</v>
      </c>
      <c r="E228" s="93" t="s">
        <v>5253</v>
      </c>
      <c r="F228" s="87" t="s">
        <v>5086</v>
      </c>
      <c r="G228" s="87" t="s">
        <v>5226</v>
      </c>
      <c r="H228" s="82" t="s">
        <v>5231</v>
      </c>
      <c r="I228" s="207">
        <v>1212.0</v>
      </c>
      <c r="J228" s="87" t="str">
        <f t="shared" si="44"/>
        <v>Write to Impress: Resolve Issues in Usage: Quill: Telling More About a Person or Thing1212</v>
      </c>
    </row>
    <row r="229">
      <c r="B229" s="169" t="s">
        <v>3046</v>
      </c>
      <c r="C229" s="96" t="s">
        <v>4943</v>
      </c>
      <c r="D229" s="96"/>
      <c r="E229" s="93" t="s">
        <v>4944</v>
      </c>
      <c r="F229" s="87" t="s">
        <v>5196</v>
      </c>
      <c r="G229" s="87"/>
      <c r="H229" s="82" t="s">
        <v>5227</v>
      </c>
      <c r="I229" s="87">
        <v>1217.0</v>
      </c>
      <c r="J229" s="87" t="str">
        <f t="shared" si="44"/>
        <v>Edit the Draft Together: Peer Edit: Give and Get Feedback; Capitalization and Spelling; Punctuation and End Punctuation1217</v>
      </c>
    </row>
    <row r="230">
      <c r="A230" s="80"/>
      <c r="B230" s="80"/>
      <c r="C230" s="80" t="s">
        <v>4947</v>
      </c>
      <c r="D230" s="80"/>
      <c r="E230" s="80"/>
      <c r="F230" s="80"/>
      <c r="G230" s="80"/>
      <c r="H230" s="80"/>
      <c r="I230" s="80"/>
      <c r="J230" s="87" t="str">
        <f t="shared" si="44"/>
        <v/>
      </c>
    </row>
    <row r="231">
      <c r="A231" s="128"/>
      <c r="B231" s="128"/>
      <c r="C231" s="235" t="s">
        <v>4923</v>
      </c>
      <c r="D231" s="236" t="s">
        <v>4924</v>
      </c>
      <c r="E231" s="236" t="s">
        <v>11</v>
      </c>
      <c r="F231" s="236" t="s">
        <v>4925</v>
      </c>
      <c r="G231" s="236" t="s">
        <v>4926</v>
      </c>
      <c r="H231" s="236" t="s">
        <v>714</v>
      </c>
      <c r="I231" s="128"/>
      <c r="J231" s="128"/>
    </row>
    <row r="232">
      <c r="A232" s="84" t="s">
        <v>1288</v>
      </c>
      <c r="B232" s="92" t="s">
        <v>1289</v>
      </c>
      <c r="C232" s="96" t="s">
        <v>5228</v>
      </c>
      <c r="D232" s="96" t="s">
        <v>4949</v>
      </c>
      <c r="E232" s="93" t="s">
        <v>5254</v>
      </c>
      <c r="F232" s="87" t="s">
        <v>5255</v>
      </c>
      <c r="G232" s="87" t="s">
        <v>4952</v>
      </c>
      <c r="H232" s="82" t="s">
        <v>5230</v>
      </c>
      <c r="I232" s="87">
        <v>1221.0</v>
      </c>
      <c r="J232" s="87" t="str">
        <f t="shared" ref="J232:J235" si="45">CONCATENATE(E232, I232)</f>
        <v>Write to Impress: Vary Syntax for Effect: Quill: Combining two sentences into one.1221</v>
      </c>
    </row>
    <row r="233">
      <c r="B233" s="173" t="s">
        <v>1293</v>
      </c>
      <c r="C233" s="96" t="s">
        <v>4953</v>
      </c>
      <c r="D233" s="96"/>
      <c r="E233" s="93" t="s">
        <v>4954</v>
      </c>
      <c r="F233" s="87" t="s">
        <v>5052</v>
      </c>
      <c r="G233" s="87" t="s">
        <v>4952</v>
      </c>
      <c r="H233" s="82" t="s">
        <v>5230</v>
      </c>
      <c r="I233" s="87">
        <v>1222.0</v>
      </c>
      <c r="J233" s="87" t="str">
        <f t="shared" si="45"/>
        <v>Sharpen Your Sentences: Sentence Expansion in Counterclaims1222</v>
      </c>
    </row>
    <row r="234">
      <c r="B234" s="173" t="s">
        <v>3073</v>
      </c>
      <c r="C234" s="96" t="s">
        <v>5162</v>
      </c>
      <c r="D234" s="96" t="s">
        <v>4956</v>
      </c>
      <c r="E234" s="93" t="s">
        <v>5042</v>
      </c>
      <c r="F234" s="87" t="s">
        <v>5163</v>
      </c>
      <c r="G234" s="87"/>
      <c r="H234" s="82" t="s">
        <v>5256</v>
      </c>
      <c r="I234" s="237">
        <v>1227.0</v>
      </c>
      <c r="J234" s="87" t="str">
        <f t="shared" si="45"/>
        <v>Edit the Draft Together: Peer Edit: Give and Get Feedback; Subjects and Predicates; Subject-Verb Agreement1227</v>
      </c>
    </row>
    <row r="235">
      <c r="A235" s="80"/>
      <c r="B235" s="80"/>
      <c r="C235" s="80" t="s">
        <v>4947</v>
      </c>
      <c r="D235" s="80"/>
      <c r="E235" s="80"/>
      <c r="F235" s="80"/>
      <c r="G235" s="80"/>
      <c r="H235" s="80"/>
      <c r="I235" s="80"/>
      <c r="J235" s="87" t="str">
        <f t="shared" si="45"/>
        <v/>
      </c>
    </row>
    <row r="236">
      <c r="A236" s="128"/>
      <c r="B236" s="128"/>
      <c r="C236" s="235" t="s">
        <v>4923</v>
      </c>
      <c r="D236" s="236" t="s">
        <v>4924</v>
      </c>
      <c r="E236" s="236" t="s">
        <v>11</v>
      </c>
      <c r="F236" s="236" t="s">
        <v>4925</v>
      </c>
      <c r="G236" s="236" t="s">
        <v>4926</v>
      </c>
      <c r="H236" s="236" t="s">
        <v>714</v>
      </c>
      <c r="I236" s="128"/>
      <c r="J236" s="128"/>
    </row>
    <row r="237">
      <c r="A237" s="84" t="s">
        <v>1301</v>
      </c>
      <c r="B237" s="170" t="s">
        <v>1302</v>
      </c>
      <c r="C237" s="96" t="s">
        <v>4963</v>
      </c>
      <c r="D237" s="96" t="s">
        <v>4964</v>
      </c>
      <c r="E237" s="93" t="s">
        <v>5257</v>
      </c>
      <c r="F237" s="87" t="s">
        <v>4964</v>
      </c>
      <c r="G237" s="87" t="s">
        <v>4967</v>
      </c>
      <c r="H237" s="82" t="s">
        <v>5233</v>
      </c>
      <c r="I237" s="87">
        <v>1231.0</v>
      </c>
      <c r="J237" s="87" t="str">
        <f t="shared" ref="J237:J240" si="46">CONCATENATE(E237, I237)</f>
        <v>Write to Impress: Spell Correctly: Quill: Describing Actions1231</v>
      </c>
    </row>
    <row r="238">
      <c r="B238" s="169" t="s">
        <v>1306</v>
      </c>
      <c r="C238" s="96" t="s">
        <v>4969</v>
      </c>
      <c r="D238" s="96" t="s">
        <v>5166</v>
      </c>
      <c r="E238" s="93" t="s">
        <v>5234</v>
      </c>
      <c r="F238" s="87" t="s">
        <v>5107</v>
      </c>
      <c r="G238" s="87"/>
      <c r="H238" s="82" t="s">
        <v>5258</v>
      </c>
      <c r="I238" s="87">
        <v>1232.0</v>
      </c>
      <c r="J238" s="87" t="str">
        <f t="shared" si="46"/>
        <v>Sharpen Your Sentences: Use an Appositive in a Sentence; Write to Impress: Using Figurative Language1232</v>
      </c>
    </row>
    <row r="239">
      <c r="B239" s="170" t="s">
        <v>3108</v>
      </c>
      <c r="C239" s="96" t="s">
        <v>5047</v>
      </c>
      <c r="D239" s="96"/>
      <c r="E239" s="93" t="s">
        <v>5048</v>
      </c>
      <c r="F239" s="87" t="s">
        <v>5049</v>
      </c>
      <c r="G239" s="87"/>
      <c r="H239" s="82" t="s">
        <v>5237</v>
      </c>
      <c r="I239" s="207">
        <v>1237.0</v>
      </c>
      <c r="J239" s="87" t="str">
        <f t="shared" si="46"/>
        <v>Edit the Draft Together: Peer Edit: Give and Get Feedback; Tense and Commas1237</v>
      </c>
    </row>
    <row r="240">
      <c r="A240" s="80"/>
      <c r="B240" s="80"/>
      <c r="C240" s="80" t="s">
        <v>4947</v>
      </c>
      <c r="D240" s="80"/>
      <c r="E240" s="80"/>
      <c r="F240" s="80"/>
      <c r="G240" s="80"/>
      <c r="H240" s="80"/>
      <c r="I240" s="80"/>
      <c r="J240" s="87" t="str">
        <f t="shared" si="46"/>
        <v/>
      </c>
    </row>
    <row r="241">
      <c r="A241" s="128"/>
      <c r="B241" s="128"/>
      <c r="C241" s="235" t="s">
        <v>4923</v>
      </c>
      <c r="D241" s="236" t="s">
        <v>4924</v>
      </c>
      <c r="E241" s="236" t="s">
        <v>11</v>
      </c>
      <c r="F241" s="236" t="s">
        <v>4925</v>
      </c>
      <c r="G241" s="236" t="s">
        <v>4926</v>
      </c>
      <c r="H241" s="236" t="s">
        <v>714</v>
      </c>
      <c r="I241" s="128"/>
      <c r="J241" s="128"/>
    </row>
    <row r="242">
      <c r="A242" s="84" t="s">
        <v>1310</v>
      </c>
      <c r="B242" s="92" t="s">
        <v>1316</v>
      </c>
      <c r="C242" s="96" t="s">
        <v>5205</v>
      </c>
      <c r="D242" s="96"/>
      <c r="E242" s="93" t="s">
        <v>5112</v>
      </c>
      <c r="F242" s="87" t="s">
        <v>5206</v>
      </c>
      <c r="G242" s="87"/>
      <c r="H242" s="82" t="s">
        <v>5230</v>
      </c>
      <c r="I242" s="241">
        <v>1241.0</v>
      </c>
      <c r="J242" s="87" t="str">
        <f t="shared" ref="J242:J244" si="47">CONCATENATE(E242, I242)</f>
        <v>Sharpen Your Sentences: Integrate Quotations Effectively1241</v>
      </c>
    </row>
    <row r="243">
      <c r="B243" s="173" t="s">
        <v>3144</v>
      </c>
      <c r="C243" s="96" t="s">
        <v>5113</v>
      </c>
      <c r="D243" s="96"/>
      <c r="E243" s="93" t="s">
        <v>5055</v>
      </c>
      <c r="F243" s="87" t="s">
        <v>5052</v>
      </c>
      <c r="G243" s="87"/>
      <c r="H243" s="82" t="s">
        <v>5239</v>
      </c>
      <c r="I243" s="241">
        <v>1248.0</v>
      </c>
      <c r="J243" s="87" t="str">
        <f t="shared" si="47"/>
        <v>Edit the Draft Together: Peer Edit: Give and Get Feedback; Varied Sentence Structure; Redundancy and Clarity1248</v>
      </c>
    </row>
    <row r="244">
      <c r="A244" s="80"/>
      <c r="B244" s="80"/>
      <c r="C244" s="80" t="s">
        <v>4947</v>
      </c>
      <c r="D244" s="80"/>
      <c r="E244" s="80"/>
      <c r="F244" s="80"/>
      <c r="G244" s="80"/>
      <c r="H244" s="80"/>
      <c r="I244" s="80"/>
      <c r="J244" s="87" t="str">
        <f t="shared" si="47"/>
        <v/>
      </c>
    </row>
    <row r="245">
      <c r="A245" s="128"/>
      <c r="B245" s="128"/>
      <c r="C245" s="235" t="s">
        <v>4923</v>
      </c>
      <c r="D245" s="236" t="s">
        <v>4924</v>
      </c>
      <c r="E245" s="236" t="s">
        <v>11</v>
      </c>
      <c r="F245" s="236" t="s">
        <v>4925</v>
      </c>
      <c r="G245" s="236" t="s">
        <v>4926</v>
      </c>
      <c r="H245" s="236" t="s">
        <v>714</v>
      </c>
      <c r="I245" s="128"/>
      <c r="J245" s="128"/>
    </row>
    <row r="246">
      <c r="A246" s="84" t="s">
        <v>3562</v>
      </c>
      <c r="B246" s="170" t="s">
        <v>1323</v>
      </c>
      <c r="C246" s="96" t="s">
        <v>5057</v>
      </c>
      <c r="D246" s="96"/>
      <c r="E246" s="93" t="s">
        <v>5058</v>
      </c>
      <c r="F246" s="87" t="s">
        <v>5052</v>
      </c>
      <c r="G246" s="87"/>
      <c r="H246" s="82" t="s">
        <v>5240</v>
      </c>
      <c r="I246" s="87">
        <v>1251.0</v>
      </c>
      <c r="J246" s="87" t="str">
        <f t="shared" ref="J246:J249" si="48">CONCATENATE(E246, I246)</f>
        <v>Sharpen Your Sentences: Creating Cause-and-Effect Sentences1251</v>
      </c>
    </row>
    <row r="247">
      <c r="B247" s="169" t="s">
        <v>1327</v>
      </c>
      <c r="C247" s="96" t="s">
        <v>5059</v>
      </c>
      <c r="D247" s="96"/>
      <c r="E247" s="93" t="s">
        <v>4993</v>
      </c>
      <c r="F247" s="87" t="s">
        <v>4951</v>
      </c>
      <c r="G247" s="87"/>
      <c r="H247" s="82" t="s">
        <v>5259</v>
      </c>
      <c r="I247" s="87">
        <v>1252.0</v>
      </c>
      <c r="J247" s="87" t="str">
        <f t="shared" si="48"/>
        <v>Sharpen Your Sentences: Vary Your Sentence Length and Structure1252</v>
      </c>
    </row>
    <row r="248">
      <c r="B248" s="170" t="s">
        <v>3176</v>
      </c>
      <c r="C248" s="96" t="s">
        <v>5260</v>
      </c>
      <c r="D248" s="96"/>
      <c r="E248" s="93" t="s">
        <v>5063</v>
      </c>
      <c r="F248" s="87" t="s">
        <v>5064</v>
      </c>
      <c r="G248" s="87"/>
      <c r="H248" s="82" t="s">
        <v>5239</v>
      </c>
      <c r="I248" s="207">
        <v>1256.0</v>
      </c>
      <c r="J248" s="87" t="str">
        <f t="shared" si="48"/>
        <v>Edit the Draft Together: Peer Edit: Give and Get Feedback; Modifiers and Parallelism1256</v>
      </c>
    </row>
    <row r="249">
      <c r="A249" s="80"/>
      <c r="B249" s="80"/>
      <c r="C249" s="80" t="s">
        <v>4947</v>
      </c>
      <c r="D249" s="80"/>
      <c r="E249" s="80"/>
      <c r="F249" s="80"/>
      <c r="G249" s="80"/>
      <c r="H249" s="80"/>
      <c r="I249" s="80"/>
      <c r="J249" s="87" t="str">
        <f t="shared" si="48"/>
        <v/>
      </c>
    </row>
    <row r="250">
      <c r="A250" s="128"/>
      <c r="B250" s="128"/>
      <c r="C250" s="235" t="s">
        <v>4923</v>
      </c>
      <c r="D250" s="236" t="s">
        <v>4924</v>
      </c>
      <c r="E250" s="236" t="s">
        <v>11</v>
      </c>
      <c r="F250" s="236" t="s">
        <v>4925</v>
      </c>
      <c r="G250" s="236" t="s">
        <v>4926</v>
      </c>
      <c r="H250" s="236" t="s">
        <v>714</v>
      </c>
      <c r="I250" s="128"/>
      <c r="J250" s="128"/>
    </row>
    <row r="251">
      <c r="A251" s="84" t="s">
        <v>1332</v>
      </c>
      <c r="B251" s="170" t="s">
        <v>1333</v>
      </c>
      <c r="C251" s="96" t="s">
        <v>5178</v>
      </c>
      <c r="D251" s="96" t="s">
        <v>4990</v>
      </c>
      <c r="E251" s="93" t="s">
        <v>4991</v>
      </c>
      <c r="F251" s="87" t="s">
        <v>4990</v>
      </c>
      <c r="G251" s="87" t="s">
        <v>4987</v>
      </c>
      <c r="H251" s="82" t="s">
        <v>5261</v>
      </c>
      <c r="I251" s="87">
        <v>1261.0</v>
      </c>
      <c r="J251" s="87" t="str">
        <f t="shared" ref="J251:J254" si="49">CONCATENATE(E251, I251)</f>
        <v>Write to Impress: Use Punctuation1261</v>
      </c>
    </row>
    <row r="252">
      <c r="B252" s="169" t="s">
        <v>1337</v>
      </c>
      <c r="C252" s="96" t="s">
        <v>4969</v>
      </c>
      <c r="D252" s="96"/>
      <c r="E252" s="93" t="s">
        <v>5262</v>
      </c>
      <c r="F252" s="87" t="s">
        <v>5199</v>
      </c>
      <c r="G252" s="87"/>
      <c r="H252" s="82" t="s">
        <v>5245</v>
      </c>
      <c r="I252" s="87">
        <v>1262.0</v>
      </c>
      <c r="J252" s="87" t="str">
        <f t="shared" si="49"/>
        <v>Sharpen Your Sentences: Sentence Combining: Appositives, Pronouns, Conjunctions
1262</v>
      </c>
    </row>
    <row r="253">
      <c r="B253" s="170" t="s">
        <v>3207</v>
      </c>
      <c r="C253" s="96" t="s">
        <v>5075</v>
      </c>
      <c r="D253" s="96"/>
      <c r="E253" s="93" t="s">
        <v>5076</v>
      </c>
      <c r="F253" s="87" t="s">
        <v>5077</v>
      </c>
      <c r="G253" s="87"/>
      <c r="H253" s="82" t="s">
        <v>5246</v>
      </c>
      <c r="I253" s="207">
        <v>1267.0</v>
      </c>
      <c r="J253" s="87" t="str">
        <f t="shared" si="49"/>
        <v>Edit the Draft Together: Peer Edit: Give and Get Feedback; Formal and Objective Style1267</v>
      </c>
    </row>
    <row r="254">
      <c r="A254" s="80"/>
      <c r="B254" s="80"/>
      <c r="C254" s="80" t="s">
        <v>4947</v>
      </c>
      <c r="D254" s="80"/>
      <c r="E254" s="80"/>
      <c r="F254" s="80"/>
      <c r="G254" s="80"/>
      <c r="H254" s="80"/>
      <c r="I254" s="80"/>
      <c r="J254" s="87" t="str">
        <f t="shared" si="49"/>
        <v/>
      </c>
    </row>
    <row r="255">
      <c r="A255" s="128"/>
      <c r="B255" s="128"/>
      <c r="C255" s="235" t="s">
        <v>4923</v>
      </c>
      <c r="D255" s="236" t="s">
        <v>4924</v>
      </c>
      <c r="E255" s="236" t="s">
        <v>11</v>
      </c>
      <c r="F255" s="236" t="s">
        <v>4925</v>
      </c>
      <c r="G255" s="236" t="s">
        <v>4926</v>
      </c>
      <c r="H255" s="236" t="s">
        <v>714</v>
      </c>
      <c r="I255" s="128"/>
      <c r="J255" s="128"/>
    </row>
    <row r="256">
      <c r="A256" s="84" t="s">
        <v>3569</v>
      </c>
      <c r="B256" s="173" t="s">
        <v>3236</v>
      </c>
      <c r="C256" s="96" t="s">
        <v>4943</v>
      </c>
      <c r="D256" s="96"/>
      <c r="E256" s="93" t="s">
        <v>5143</v>
      </c>
      <c r="F256" s="87" t="s">
        <v>5196</v>
      </c>
      <c r="G256" s="87"/>
      <c r="H256" s="82" t="s">
        <v>5239</v>
      </c>
      <c r="I256" s="237">
        <v>1277.0</v>
      </c>
      <c r="J256" s="87" t="str">
        <f>CONCATENATE(E256, I256)</f>
        <v>Edit the Draft Together: Peer Edit: Give and Get Feedback; Active Versus Passive Language and Style1277</v>
      </c>
    </row>
    <row r="257" hidden="1">
      <c r="A257" s="136"/>
      <c r="B257" s="163"/>
      <c r="C257" s="136"/>
      <c r="D257" s="136"/>
      <c r="E257" s="136"/>
      <c r="F257" s="136"/>
      <c r="G257" s="136"/>
      <c r="H257" s="82" t="e">
        <v>#N/A</v>
      </c>
      <c r="I257" s="136"/>
      <c r="J257" s="136"/>
    </row>
    <row r="258" hidden="1">
      <c r="A258" s="136"/>
      <c r="B258" s="163"/>
      <c r="C258" s="136"/>
      <c r="D258" s="136"/>
      <c r="E258" s="136"/>
      <c r="F258" s="136"/>
      <c r="G258" s="136"/>
      <c r="H258" s="82" t="e">
        <v>#N/A</v>
      </c>
      <c r="I258" s="136"/>
      <c r="J258" s="136"/>
    </row>
    <row r="259" hidden="1">
      <c r="A259" s="136"/>
      <c r="B259" s="163"/>
      <c r="C259" s="136"/>
      <c r="D259" s="136"/>
      <c r="E259" s="136"/>
      <c r="F259" s="136"/>
      <c r="G259" s="136"/>
      <c r="H259" s="82" t="e">
        <v>#N/A</v>
      </c>
      <c r="I259" s="136"/>
      <c r="J259" s="136"/>
    </row>
    <row r="260" hidden="1">
      <c r="A260" s="136"/>
      <c r="B260" s="163"/>
      <c r="C260" s="136"/>
      <c r="D260" s="136"/>
      <c r="E260" s="136"/>
      <c r="F260" s="136"/>
      <c r="G260" s="136"/>
      <c r="H260" s="82" t="e">
        <v>#N/A</v>
      </c>
      <c r="I260" s="136"/>
      <c r="J260" s="136"/>
    </row>
    <row r="261" hidden="1">
      <c r="A261" s="136"/>
      <c r="B261" s="163"/>
      <c r="C261" s="136"/>
      <c r="D261" s="136"/>
      <c r="E261" s="136"/>
      <c r="F261" s="136"/>
      <c r="G261" s="136"/>
      <c r="H261" s="82" t="e">
        <v>#N/A</v>
      </c>
      <c r="I261" s="136"/>
      <c r="J261" s="136"/>
    </row>
    <row r="262" hidden="1">
      <c r="A262" s="136"/>
      <c r="B262" s="163"/>
      <c r="C262" s="136"/>
      <c r="D262" s="136"/>
      <c r="E262" s="136"/>
      <c r="F262" s="136"/>
      <c r="G262" s="136"/>
      <c r="H262" s="82" t="e">
        <v>#N/A</v>
      </c>
      <c r="I262" s="136"/>
      <c r="J262" s="136"/>
    </row>
    <row r="263" hidden="1">
      <c r="A263" s="136"/>
      <c r="B263" s="163"/>
      <c r="C263" s="136"/>
      <c r="D263" s="136"/>
      <c r="E263" s="136"/>
      <c r="F263" s="136"/>
      <c r="G263" s="136"/>
      <c r="H263" s="82" t="e">
        <v>#N/A</v>
      </c>
      <c r="I263" s="136"/>
      <c r="J263" s="136"/>
    </row>
    <row r="264" hidden="1">
      <c r="A264" s="136"/>
      <c r="B264" s="163"/>
      <c r="C264" s="136"/>
      <c r="D264" s="136"/>
      <c r="E264" s="136"/>
      <c r="F264" s="136"/>
      <c r="G264" s="136"/>
      <c r="H264" s="82" t="e">
        <v>#N/A</v>
      </c>
      <c r="I264" s="136"/>
      <c r="J264" s="136"/>
    </row>
    <row r="265" hidden="1">
      <c r="A265" s="136"/>
      <c r="B265" s="163"/>
      <c r="C265" s="136"/>
      <c r="D265" s="136"/>
      <c r="E265" s="136"/>
      <c r="F265" s="136"/>
      <c r="G265" s="136"/>
      <c r="H265" s="82" t="e">
        <v>#N/A</v>
      </c>
      <c r="I265" s="136"/>
      <c r="J265" s="136"/>
    </row>
    <row r="266" hidden="1">
      <c r="A266" s="136"/>
      <c r="B266" s="163"/>
      <c r="C266" s="136"/>
      <c r="D266" s="136"/>
      <c r="E266" s="136"/>
      <c r="F266" s="136"/>
      <c r="G266" s="136"/>
      <c r="H266" s="82" t="e">
        <v>#N/A</v>
      </c>
      <c r="I266" s="136"/>
      <c r="J266" s="136"/>
    </row>
    <row r="267" hidden="1">
      <c r="A267" s="136"/>
      <c r="B267" s="163"/>
      <c r="C267" s="136"/>
      <c r="D267" s="136"/>
      <c r="E267" s="136"/>
      <c r="F267" s="136"/>
      <c r="G267" s="136"/>
      <c r="H267" s="82" t="e">
        <v>#N/A</v>
      </c>
      <c r="I267" s="136"/>
      <c r="J267" s="136"/>
    </row>
    <row r="268" hidden="1">
      <c r="A268" s="136"/>
      <c r="B268" s="163"/>
      <c r="C268" s="136"/>
      <c r="D268" s="136"/>
      <c r="E268" s="136"/>
      <c r="F268" s="136"/>
      <c r="G268" s="136"/>
      <c r="H268" s="82" t="e">
        <v>#N/A</v>
      </c>
      <c r="I268" s="136"/>
      <c r="J268" s="136"/>
    </row>
    <row r="269" hidden="1">
      <c r="A269" s="136"/>
      <c r="B269" s="163"/>
      <c r="C269" s="136"/>
      <c r="D269" s="136"/>
      <c r="E269" s="136"/>
      <c r="F269" s="136"/>
      <c r="G269" s="136"/>
      <c r="H269" s="82" t="e">
        <v>#N/A</v>
      </c>
      <c r="I269" s="136"/>
      <c r="J269" s="136"/>
    </row>
    <row r="270" hidden="1">
      <c r="A270" s="136"/>
      <c r="B270" s="163"/>
      <c r="C270" s="136"/>
      <c r="D270" s="136"/>
      <c r="E270" s="136"/>
      <c r="F270" s="136"/>
      <c r="G270" s="136"/>
      <c r="H270" s="82" t="e">
        <v>#N/A</v>
      </c>
      <c r="I270" s="136"/>
      <c r="J270" s="136"/>
    </row>
    <row r="271" hidden="1">
      <c r="A271" s="136"/>
      <c r="B271" s="163"/>
      <c r="C271" s="136"/>
      <c r="D271" s="136"/>
      <c r="E271" s="136"/>
      <c r="F271" s="136"/>
      <c r="G271" s="136"/>
      <c r="H271" s="82" t="e">
        <v>#N/A</v>
      </c>
      <c r="I271" s="136"/>
      <c r="J271" s="136"/>
    </row>
    <row r="272" hidden="1">
      <c r="A272" s="136"/>
      <c r="B272" s="163"/>
      <c r="C272" s="136"/>
      <c r="D272" s="136"/>
      <c r="E272" s="136"/>
      <c r="F272" s="136"/>
      <c r="G272" s="136"/>
      <c r="H272" s="82" t="e">
        <v>#N/A</v>
      </c>
      <c r="I272" s="136"/>
      <c r="J272" s="136"/>
    </row>
    <row r="273" hidden="1">
      <c r="A273" s="136"/>
      <c r="B273" s="163"/>
      <c r="C273" s="136"/>
      <c r="D273" s="136"/>
      <c r="E273" s="136"/>
      <c r="F273" s="136"/>
      <c r="G273" s="136"/>
      <c r="H273" s="82" t="e">
        <v>#N/A</v>
      </c>
      <c r="I273" s="136"/>
      <c r="J273" s="136"/>
    </row>
    <row r="274" hidden="1">
      <c r="A274" s="136"/>
      <c r="B274" s="163"/>
      <c r="C274" s="136"/>
      <c r="D274" s="136"/>
      <c r="E274" s="136"/>
      <c r="F274" s="136"/>
      <c r="G274" s="136"/>
      <c r="H274" s="82" t="e">
        <v>#N/A</v>
      </c>
      <c r="I274" s="136"/>
      <c r="J274" s="136"/>
    </row>
    <row r="275" hidden="1">
      <c r="A275" s="136"/>
      <c r="B275" s="163"/>
      <c r="C275" s="136"/>
      <c r="D275" s="136"/>
      <c r="E275" s="136"/>
      <c r="F275" s="136"/>
      <c r="G275" s="136"/>
      <c r="H275" s="82" t="e">
        <v>#N/A</v>
      </c>
      <c r="I275" s="136"/>
      <c r="J275" s="136"/>
    </row>
    <row r="276" hidden="1">
      <c r="A276" s="136"/>
      <c r="B276" s="163"/>
      <c r="C276" s="136"/>
      <c r="D276" s="136"/>
      <c r="E276" s="136"/>
      <c r="F276" s="136"/>
      <c r="G276" s="136"/>
      <c r="H276" s="82" t="e">
        <v>#N/A</v>
      </c>
      <c r="I276" s="136"/>
      <c r="J276" s="136"/>
    </row>
    <row r="277" hidden="1">
      <c r="A277" s="136"/>
      <c r="B277" s="163"/>
      <c r="C277" s="136"/>
      <c r="D277" s="136"/>
      <c r="E277" s="136"/>
      <c r="F277" s="136"/>
      <c r="G277" s="136"/>
      <c r="H277" s="82" t="e">
        <v>#N/A</v>
      </c>
      <c r="I277" s="136"/>
      <c r="J277" s="136"/>
    </row>
    <row r="278" hidden="1">
      <c r="A278" s="136"/>
      <c r="B278" s="163"/>
      <c r="C278" s="136"/>
      <c r="D278" s="136"/>
      <c r="E278" s="136"/>
      <c r="F278" s="136"/>
      <c r="G278" s="136"/>
      <c r="H278" s="82" t="e">
        <v>#N/A</v>
      </c>
      <c r="I278" s="136"/>
      <c r="J278" s="136"/>
    </row>
    <row r="279" hidden="1">
      <c r="A279" s="136"/>
      <c r="B279" s="163"/>
      <c r="C279" s="136"/>
      <c r="D279" s="136"/>
      <c r="E279" s="136"/>
      <c r="F279" s="136"/>
      <c r="G279" s="136"/>
      <c r="H279" s="82" t="e">
        <v>#N/A</v>
      </c>
      <c r="I279" s="136"/>
      <c r="J279" s="136"/>
    </row>
    <row r="280" hidden="1">
      <c r="A280" s="136"/>
      <c r="B280" s="163"/>
      <c r="C280" s="136"/>
      <c r="D280" s="136"/>
      <c r="E280" s="136"/>
      <c r="F280" s="136"/>
      <c r="G280" s="136"/>
      <c r="H280" s="82" t="e">
        <v>#N/A</v>
      </c>
      <c r="I280" s="136"/>
      <c r="J280" s="136"/>
    </row>
    <row r="281" hidden="1">
      <c r="A281" s="136"/>
      <c r="B281" s="163"/>
      <c r="C281" s="136"/>
      <c r="D281" s="136"/>
      <c r="E281" s="136"/>
      <c r="F281" s="136"/>
      <c r="G281" s="136"/>
      <c r="H281" s="82" t="e">
        <v>#N/A</v>
      </c>
      <c r="I281" s="136"/>
      <c r="J281" s="136"/>
    </row>
    <row r="282" hidden="1">
      <c r="A282" s="136"/>
      <c r="B282" s="163"/>
      <c r="C282" s="136"/>
      <c r="D282" s="136"/>
      <c r="E282" s="136"/>
      <c r="F282" s="136"/>
      <c r="G282" s="136"/>
      <c r="H282" s="82" t="e">
        <v>#N/A</v>
      </c>
      <c r="I282" s="136"/>
      <c r="J282" s="136"/>
    </row>
    <row r="283" hidden="1">
      <c r="A283" s="136"/>
      <c r="B283" s="163"/>
      <c r="C283" s="136"/>
      <c r="D283" s="136"/>
      <c r="E283" s="136"/>
      <c r="F283" s="136"/>
      <c r="G283" s="136"/>
      <c r="H283" s="82" t="e">
        <v>#N/A</v>
      </c>
      <c r="I283" s="136"/>
      <c r="J283" s="136"/>
    </row>
    <row r="284" hidden="1">
      <c r="A284" s="136"/>
      <c r="B284" s="163"/>
      <c r="C284" s="136"/>
      <c r="D284" s="136"/>
      <c r="E284" s="136"/>
      <c r="F284" s="136"/>
      <c r="G284" s="136"/>
      <c r="H284" s="82" t="e">
        <v>#N/A</v>
      </c>
      <c r="I284" s="136"/>
      <c r="J284" s="136"/>
    </row>
    <row r="285" hidden="1">
      <c r="A285" s="136"/>
      <c r="B285" s="163"/>
      <c r="C285" s="136"/>
      <c r="D285" s="136"/>
      <c r="E285" s="136"/>
      <c r="F285" s="136"/>
      <c r="G285" s="136"/>
      <c r="H285" s="82" t="e">
        <v>#N/A</v>
      </c>
      <c r="I285" s="136"/>
      <c r="J285" s="136"/>
    </row>
    <row r="286" hidden="1">
      <c r="A286" s="136"/>
      <c r="B286" s="163"/>
      <c r="C286" s="136"/>
      <c r="D286" s="136"/>
      <c r="E286" s="136"/>
      <c r="F286" s="136"/>
      <c r="G286" s="136"/>
      <c r="H286" s="82" t="e">
        <v>#N/A</v>
      </c>
      <c r="I286" s="136"/>
      <c r="J286" s="136"/>
    </row>
    <row r="287" hidden="1">
      <c r="A287" s="136"/>
      <c r="B287" s="163"/>
      <c r="C287" s="136"/>
      <c r="D287" s="136"/>
      <c r="E287" s="136"/>
      <c r="F287" s="136"/>
      <c r="G287" s="136"/>
      <c r="H287" s="82" t="e">
        <v>#N/A</v>
      </c>
      <c r="I287" s="136"/>
      <c r="J287" s="136"/>
    </row>
    <row r="288" hidden="1">
      <c r="A288" s="136"/>
      <c r="B288" s="163"/>
      <c r="C288" s="136"/>
      <c r="D288" s="136"/>
      <c r="E288" s="136"/>
      <c r="F288" s="136"/>
      <c r="G288" s="136"/>
      <c r="H288" s="82" t="e">
        <v>#N/A</v>
      </c>
      <c r="I288" s="136"/>
      <c r="J288" s="136"/>
    </row>
    <row r="289" hidden="1">
      <c r="A289" s="136"/>
      <c r="B289" s="163"/>
      <c r="C289" s="136"/>
      <c r="D289" s="136"/>
      <c r="E289" s="136"/>
      <c r="F289" s="136"/>
      <c r="G289" s="136"/>
      <c r="H289" s="82" t="e">
        <v>#N/A</v>
      </c>
      <c r="I289" s="136"/>
      <c r="J289" s="136"/>
    </row>
    <row r="290" hidden="1">
      <c r="A290" s="136"/>
      <c r="B290" s="163"/>
      <c r="C290" s="136"/>
      <c r="D290" s="136"/>
      <c r="E290" s="136"/>
      <c r="F290" s="136"/>
      <c r="G290" s="136"/>
      <c r="H290" s="82" t="e">
        <v>#N/A</v>
      </c>
      <c r="I290" s="136"/>
      <c r="J290" s="136"/>
    </row>
    <row r="291" hidden="1">
      <c r="A291" s="136"/>
      <c r="B291" s="163"/>
      <c r="C291" s="136"/>
      <c r="D291" s="136"/>
      <c r="E291" s="136"/>
      <c r="F291" s="136"/>
      <c r="G291" s="136"/>
      <c r="H291" s="82" t="e">
        <v>#N/A</v>
      </c>
      <c r="I291" s="136"/>
      <c r="J291" s="136"/>
    </row>
    <row r="292" hidden="1">
      <c r="A292" s="136"/>
      <c r="B292" s="163"/>
      <c r="C292" s="136"/>
      <c r="D292" s="136"/>
      <c r="E292" s="136"/>
      <c r="F292" s="136"/>
      <c r="G292" s="136"/>
      <c r="H292" s="82" t="e">
        <v>#N/A</v>
      </c>
      <c r="I292" s="136"/>
      <c r="J292" s="136"/>
    </row>
    <row r="293" hidden="1">
      <c r="A293" s="136"/>
      <c r="B293" s="163"/>
      <c r="C293" s="136"/>
      <c r="D293" s="136"/>
      <c r="E293" s="136"/>
      <c r="F293" s="136"/>
      <c r="G293" s="136"/>
      <c r="H293" s="82" t="e">
        <v>#N/A</v>
      </c>
      <c r="I293" s="136"/>
      <c r="J293" s="136"/>
    </row>
    <row r="294" hidden="1">
      <c r="A294" s="136"/>
      <c r="B294" s="163"/>
      <c r="C294" s="136"/>
      <c r="D294" s="136"/>
      <c r="E294" s="136"/>
      <c r="F294" s="136"/>
      <c r="G294" s="136"/>
      <c r="H294" s="82" t="e">
        <v>#N/A</v>
      </c>
      <c r="I294" s="136"/>
      <c r="J294" s="136"/>
    </row>
    <row r="295" hidden="1">
      <c r="A295" s="136"/>
      <c r="B295" s="163"/>
      <c r="C295" s="136"/>
      <c r="D295" s="136"/>
      <c r="E295" s="136"/>
      <c r="F295" s="136"/>
      <c r="G295" s="136"/>
      <c r="H295" s="82" t="e">
        <v>#N/A</v>
      </c>
      <c r="I295" s="136"/>
      <c r="J295" s="136"/>
    </row>
    <row r="296" hidden="1">
      <c r="A296" s="136"/>
      <c r="B296" s="163"/>
      <c r="C296" s="136"/>
      <c r="D296" s="136"/>
      <c r="E296" s="136"/>
      <c r="F296" s="136"/>
      <c r="G296" s="136"/>
      <c r="H296" s="82" t="e">
        <v>#N/A</v>
      </c>
      <c r="I296" s="136"/>
      <c r="J296" s="136"/>
    </row>
    <row r="297" hidden="1">
      <c r="A297" s="136"/>
      <c r="B297" s="163"/>
      <c r="C297" s="136"/>
      <c r="D297" s="136"/>
      <c r="E297" s="136"/>
      <c r="F297" s="136"/>
      <c r="G297" s="136"/>
      <c r="H297" s="82" t="e">
        <v>#N/A</v>
      </c>
      <c r="I297" s="136"/>
      <c r="J297" s="136"/>
    </row>
    <row r="298" hidden="1">
      <c r="A298" s="136"/>
      <c r="B298" s="163"/>
      <c r="C298" s="136"/>
      <c r="D298" s="136"/>
      <c r="E298" s="136"/>
      <c r="F298" s="136"/>
      <c r="G298" s="136"/>
      <c r="H298" s="82" t="e">
        <v>#N/A</v>
      </c>
      <c r="I298" s="136"/>
      <c r="J298" s="136"/>
    </row>
    <row r="299" hidden="1">
      <c r="A299" s="136"/>
      <c r="B299" s="163"/>
      <c r="C299" s="136"/>
      <c r="D299" s="136"/>
      <c r="E299" s="136"/>
      <c r="F299" s="136"/>
      <c r="G299" s="136"/>
      <c r="H299" s="82" t="e">
        <v>#N/A</v>
      </c>
      <c r="I299" s="136"/>
      <c r="J299" s="136"/>
    </row>
    <row r="300" hidden="1">
      <c r="A300" s="136"/>
      <c r="B300" s="163"/>
      <c r="C300" s="136"/>
      <c r="D300" s="136"/>
      <c r="E300" s="136"/>
      <c r="F300" s="136"/>
      <c r="G300" s="136"/>
      <c r="H300" s="82" t="e">
        <v>#N/A</v>
      </c>
      <c r="I300" s="136"/>
      <c r="J300" s="136"/>
    </row>
    <row r="301" hidden="1">
      <c r="A301" s="136"/>
      <c r="B301" s="163"/>
      <c r="C301" s="136"/>
      <c r="D301" s="136"/>
      <c r="E301" s="136"/>
      <c r="F301" s="136"/>
      <c r="G301" s="136"/>
      <c r="H301" s="82" t="e">
        <v>#N/A</v>
      </c>
      <c r="I301" s="136"/>
      <c r="J301" s="136"/>
    </row>
    <row r="302" hidden="1">
      <c r="A302" s="136"/>
      <c r="B302" s="163"/>
      <c r="C302" s="136"/>
      <c r="D302" s="136"/>
      <c r="E302" s="136"/>
      <c r="F302" s="136"/>
      <c r="G302" s="136"/>
      <c r="H302" s="82" t="e">
        <v>#N/A</v>
      </c>
      <c r="I302" s="136"/>
      <c r="J302" s="136"/>
    </row>
    <row r="303" hidden="1">
      <c r="A303" s="136"/>
      <c r="B303" s="163"/>
      <c r="C303" s="136"/>
      <c r="D303" s="136"/>
      <c r="E303" s="136"/>
      <c r="F303" s="136"/>
      <c r="G303" s="136"/>
      <c r="H303" s="82" t="e">
        <v>#N/A</v>
      </c>
      <c r="I303" s="136"/>
      <c r="J303" s="136"/>
    </row>
    <row r="304" hidden="1">
      <c r="A304" s="136"/>
      <c r="B304" s="163"/>
      <c r="C304" s="136"/>
      <c r="D304" s="136"/>
      <c r="E304" s="136"/>
      <c r="F304" s="136"/>
      <c r="G304" s="136"/>
      <c r="H304" s="82" t="e">
        <v>#N/A</v>
      </c>
      <c r="I304" s="136"/>
      <c r="J304" s="136"/>
    </row>
    <row r="305" hidden="1">
      <c r="A305" s="136"/>
      <c r="B305" s="163"/>
      <c r="C305" s="136"/>
      <c r="D305" s="136"/>
      <c r="E305" s="136"/>
      <c r="F305" s="136"/>
      <c r="G305" s="136"/>
      <c r="H305" s="82" t="e">
        <v>#N/A</v>
      </c>
      <c r="I305" s="136"/>
      <c r="J305" s="136"/>
    </row>
    <row r="306" hidden="1">
      <c r="A306" s="136"/>
      <c r="B306" s="163"/>
      <c r="C306" s="136"/>
      <c r="D306" s="136"/>
      <c r="E306" s="136"/>
      <c r="F306" s="136"/>
      <c r="G306" s="136"/>
      <c r="H306" s="82" t="e">
        <v>#N/A</v>
      </c>
      <c r="I306" s="136"/>
      <c r="J306" s="136"/>
    </row>
    <row r="307" hidden="1">
      <c r="A307" s="136"/>
      <c r="B307" s="163"/>
      <c r="C307" s="136"/>
      <c r="D307" s="136"/>
      <c r="E307" s="136"/>
      <c r="F307" s="136"/>
      <c r="G307" s="136"/>
      <c r="H307" s="82" t="e">
        <v>#N/A</v>
      </c>
      <c r="I307" s="136"/>
      <c r="J307" s="136"/>
    </row>
    <row r="308" hidden="1">
      <c r="A308" s="136"/>
      <c r="B308" s="163"/>
      <c r="C308" s="136"/>
      <c r="D308" s="136"/>
      <c r="E308" s="136"/>
      <c r="F308" s="136"/>
      <c r="G308" s="136"/>
      <c r="H308" s="82" t="e">
        <v>#N/A</v>
      </c>
      <c r="I308" s="136"/>
      <c r="J308" s="136"/>
    </row>
    <row r="309" hidden="1">
      <c r="A309" s="136"/>
      <c r="B309" s="163"/>
      <c r="C309" s="136"/>
      <c r="D309" s="136"/>
      <c r="E309" s="136"/>
      <c r="F309" s="136"/>
      <c r="G309" s="136"/>
      <c r="H309" s="82" t="e">
        <v>#N/A</v>
      </c>
      <c r="I309" s="136"/>
      <c r="J309" s="136"/>
    </row>
    <row r="310" hidden="1">
      <c r="A310" s="136"/>
      <c r="B310" s="163"/>
      <c r="C310" s="136"/>
      <c r="D310" s="136"/>
      <c r="E310" s="136"/>
      <c r="F310" s="136"/>
      <c r="G310" s="136"/>
      <c r="H310" s="82" t="e">
        <v>#N/A</v>
      </c>
      <c r="I310" s="136"/>
      <c r="J310" s="136"/>
    </row>
    <row r="311" hidden="1">
      <c r="A311" s="136"/>
      <c r="B311" s="163"/>
      <c r="C311" s="136"/>
      <c r="D311" s="136"/>
      <c r="E311" s="136"/>
      <c r="F311" s="136"/>
      <c r="G311" s="136"/>
      <c r="H311" s="82" t="e">
        <v>#N/A</v>
      </c>
      <c r="I311" s="136"/>
      <c r="J311" s="136"/>
    </row>
    <row r="312" hidden="1">
      <c r="A312" s="136"/>
      <c r="B312" s="163"/>
      <c r="C312" s="136"/>
      <c r="D312" s="136"/>
      <c r="E312" s="136"/>
      <c r="F312" s="136"/>
      <c r="G312" s="136"/>
      <c r="H312" s="82" t="e">
        <v>#N/A</v>
      </c>
      <c r="I312" s="136"/>
      <c r="J312" s="136"/>
    </row>
    <row r="313" hidden="1">
      <c r="A313" s="136"/>
      <c r="B313" s="163"/>
      <c r="C313" s="136"/>
      <c r="D313" s="136"/>
      <c r="E313" s="136"/>
      <c r="F313" s="136"/>
      <c r="G313" s="136"/>
      <c r="H313" s="82" t="e">
        <v>#N/A</v>
      </c>
      <c r="I313" s="136"/>
      <c r="J313" s="136"/>
    </row>
    <row r="314" hidden="1">
      <c r="A314" s="136"/>
      <c r="B314" s="163"/>
      <c r="C314" s="136"/>
      <c r="D314" s="136"/>
      <c r="E314" s="136"/>
      <c r="F314" s="136"/>
      <c r="G314" s="136"/>
      <c r="H314" s="82" t="e">
        <v>#N/A</v>
      </c>
      <c r="I314" s="136"/>
      <c r="J314" s="136"/>
    </row>
    <row r="315" hidden="1">
      <c r="A315" s="136"/>
      <c r="B315" s="163"/>
      <c r="C315" s="136"/>
      <c r="D315" s="136"/>
      <c r="E315" s="136"/>
      <c r="F315" s="136"/>
      <c r="G315" s="136"/>
      <c r="H315" s="82" t="e">
        <v>#N/A</v>
      </c>
      <c r="I315" s="136"/>
      <c r="J315" s="136"/>
    </row>
    <row r="316" hidden="1">
      <c r="A316" s="136"/>
      <c r="B316" s="163"/>
      <c r="C316" s="136"/>
      <c r="D316" s="136"/>
      <c r="E316" s="136"/>
      <c r="F316" s="136"/>
      <c r="G316" s="136"/>
      <c r="H316" s="82" t="e">
        <v>#N/A</v>
      </c>
      <c r="I316" s="136"/>
      <c r="J316" s="136"/>
    </row>
    <row r="317" hidden="1">
      <c r="A317" s="136"/>
      <c r="B317" s="163"/>
      <c r="C317" s="136"/>
      <c r="D317" s="136"/>
      <c r="E317" s="136"/>
      <c r="F317" s="136"/>
      <c r="G317" s="136"/>
      <c r="H317" s="82" t="e">
        <v>#N/A</v>
      </c>
      <c r="I317" s="136"/>
      <c r="J317" s="136"/>
    </row>
    <row r="318" hidden="1">
      <c r="A318" s="136"/>
      <c r="B318" s="163"/>
      <c r="C318" s="136"/>
      <c r="D318" s="136"/>
      <c r="E318" s="136"/>
      <c r="F318" s="136"/>
      <c r="G318" s="136"/>
      <c r="H318" s="82" t="e">
        <v>#N/A</v>
      </c>
      <c r="I318" s="136"/>
      <c r="J318" s="136"/>
    </row>
    <row r="319" hidden="1">
      <c r="A319" s="136"/>
      <c r="B319" s="163"/>
      <c r="C319" s="136"/>
      <c r="D319" s="136"/>
      <c r="E319" s="136"/>
      <c r="F319" s="136"/>
      <c r="G319" s="136"/>
      <c r="H319" s="82" t="e">
        <v>#N/A</v>
      </c>
      <c r="I319" s="136"/>
      <c r="J319" s="136"/>
    </row>
    <row r="320" hidden="1">
      <c r="A320" s="136"/>
      <c r="B320" s="163"/>
      <c r="C320" s="136"/>
      <c r="D320" s="136"/>
      <c r="E320" s="136"/>
      <c r="F320" s="136"/>
      <c r="G320" s="136"/>
      <c r="H320" s="82" t="e">
        <v>#N/A</v>
      </c>
      <c r="I320" s="136"/>
      <c r="J320" s="136"/>
    </row>
    <row r="321" hidden="1">
      <c r="A321" s="136"/>
      <c r="B321" s="163"/>
      <c r="C321" s="136"/>
      <c r="D321" s="136"/>
      <c r="E321" s="136"/>
      <c r="F321" s="136"/>
      <c r="G321" s="136"/>
      <c r="H321" s="82" t="e">
        <v>#N/A</v>
      </c>
      <c r="I321" s="136"/>
      <c r="J321" s="136"/>
    </row>
    <row r="322" hidden="1">
      <c r="A322" s="136"/>
      <c r="B322" s="163"/>
      <c r="C322" s="136"/>
      <c r="D322" s="136"/>
      <c r="E322" s="136"/>
      <c r="F322" s="136"/>
      <c r="G322" s="136"/>
      <c r="H322" s="82" t="e">
        <v>#N/A</v>
      </c>
      <c r="I322" s="136"/>
      <c r="J322" s="136"/>
    </row>
    <row r="323" hidden="1">
      <c r="A323" s="136"/>
      <c r="B323" s="163"/>
      <c r="C323" s="136"/>
      <c r="D323" s="136"/>
      <c r="E323" s="136"/>
      <c r="F323" s="136"/>
      <c r="G323" s="136"/>
      <c r="H323" s="82" t="e">
        <v>#N/A</v>
      </c>
      <c r="I323" s="136"/>
      <c r="J323" s="136"/>
    </row>
    <row r="324" hidden="1">
      <c r="A324" s="136"/>
      <c r="B324" s="163"/>
      <c r="C324" s="136"/>
      <c r="D324" s="136"/>
      <c r="E324" s="136"/>
      <c r="F324" s="136"/>
      <c r="G324" s="136"/>
      <c r="H324" s="82" t="e">
        <v>#N/A</v>
      </c>
      <c r="I324" s="136"/>
      <c r="J324" s="136"/>
    </row>
    <row r="325" hidden="1">
      <c r="A325" s="136"/>
      <c r="B325" s="163"/>
      <c r="C325" s="136"/>
      <c r="D325" s="136"/>
      <c r="E325" s="136"/>
      <c r="F325" s="136"/>
      <c r="G325" s="136"/>
      <c r="H325" s="82" t="e">
        <v>#N/A</v>
      </c>
      <c r="I325" s="136"/>
      <c r="J325" s="136"/>
    </row>
    <row r="326" hidden="1">
      <c r="A326" s="136"/>
      <c r="B326" s="163"/>
      <c r="C326" s="136"/>
      <c r="D326" s="136"/>
      <c r="E326" s="136"/>
      <c r="F326" s="136"/>
      <c r="G326" s="136"/>
      <c r="H326" s="82" t="e">
        <v>#N/A</v>
      </c>
      <c r="I326" s="136"/>
      <c r="J326" s="136"/>
    </row>
    <row r="327" hidden="1">
      <c r="A327" s="136"/>
      <c r="B327" s="163"/>
      <c r="C327" s="136"/>
      <c r="D327" s="136"/>
      <c r="E327" s="136"/>
      <c r="F327" s="136"/>
      <c r="G327" s="136"/>
      <c r="H327" s="82" t="e">
        <v>#N/A</v>
      </c>
      <c r="I327" s="136"/>
      <c r="J327" s="136"/>
    </row>
    <row r="328" hidden="1">
      <c r="A328" s="136"/>
      <c r="B328" s="163"/>
      <c r="C328" s="136"/>
      <c r="D328" s="136"/>
      <c r="E328" s="136"/>
      <c r="F328" s="136"/>
      <c r="G328" s="136"/>
      <c r="H328" s="82" t="e">
        <v>#N/A</v>
      </c>
      <c r="I328" s="136"/>
      <c r="J328" s="136"/>
    </row>
    <row r="329" hidden="1">
      <c r="A329" s="136"/>
      <c r="B329" s="163"/>
      <c r="C329" s="136"/>
      <c r="D329" s="136"/>
      <c r="E329" s="136"/>
      <c r="F329" s="136"/>
      <c r="G329" s="136"/>
      <c r="H329" s="82" t="e">
        <v>#N/A</v>
      </c>
      <c r="I329" s="136"/>
      <c r="J329" s="136"/>
    </row>
    <row r="330" hidden="1">
      <c r="A330" s="136"/>
      <c r="B330" s="163"/>
      <c r="C330" s="136"/>
      <c r="D330" s="136"/>
      <c r="E330" s="136"/>
      <c r="F330" s="136"/>
      <c r="G330" s="136"/>
      <c r="H330" s="82" t="e">
        <v>#N/A</v>
      </c>
      <c r="I330" s="136"/>
      <c r="J330" s="136"/>
    </row>
    <row r="331" hidden="1">
      <c r="A331" s="136"/>
      <c r="B331" s="163"/>
      <c r="C331" s="136"/>
      <c r="D331" s="136"/>
      <c r="E331" s="136"/>
      <c r="F331" s="136"/>
      <c r="G331" s="136"/>
      <c r="H331" s="82" t="e">
        <v>#N/A</v>
      </c>
      <c r="I331" s="136"/>
      <c r="J331" s="136"/>
    </row>
    <row r="332" hidden="1">
      <c r="A332" s="136"/>
      <c r="B332" s="163"/>
      <c r="C332" s="136"/>
      <c r="D332" s="136"/>
      <c r="E332" s="136"/>
      <c r="F332" s="136"/>
      <c r="G332" s="136"/>
      <c r="H332" s="82" t="e">
        <v>#N/A</v>
      </c>
      <c r="I332" s="136"/>
      <c r="J332" s="136"/>
    </row>
    <row r="333" hidden="1">
      <c r="A333" s="136"/>
      <c r="B333" s="163"/>
      <c r="C333" s="136"/>
      <c r="D333" s="136"/>
      <c r="E333" s="136"/>
      <c r="F333" s="136"/>
      <c r="G333" s="136"/>
      <c r="H333" s="82" t="e">
        <v>#N/A</v>
      </c>
      <c r="I333" s="136"/>
      <c r="J333" s="136"/>
    </row>
    <row r="334" hidden="1">
      <c r="A334" s="136"/>
      <c r="B334" s="163"/>
      <c r="C334" s="136"/>
      <c r="D334" s="136"/>
      <c r="E334" s="136"/>
      <c r="F334" s="136"/>
      <c r="G334" s="136"/>
      <c r="H334" s="82" t="e">
        <v>#N/A</v>
      </c>
      <c r="I334" s="136"/>
      <c r="J334" s="136"/>
    </row>
    <row r="335" hidden="1">
      <c r="A335" s="136"/>
      <c r="B335" s="163"/>
      <c r="C335" s="136"/>
      <c r="D335" s="136"/>
      <c r="E335" s="136"/>
      <c r="F335" s="136"/>
      <c r="G335" s="136"/>
      <c r="H335" s="82" t="e">
        <v>#N/A</v>
      </c>
      <c r="I335" s="136"/>
      <c r="J335" s="136"/>
    </row>
    <row r="336" hidden="1">
      <c r="A336" s="136"/>
      <c r="B336" s="163"/>
      <c r="C336" s="136"/>
      <c r="D336" s="136"/>
      <c r="E336" s="136"/>
      <c r="F336" s="136"/>
      <c r="G336" s="136"/>
      <c r="H336" s="82" t="e">
        <v>#N/A</v>
      </c>
      <c r="I336" s="136"/>
      <c r="J336" s="136"/>
    </row>
    <row r="337" hidden="1">
      <c r="A337" s="136"/>
      <c r="B337" s="163"/>
      <c r="C337" s="136"/>
      <c r="D337" s="136"/>
      <c r="E337" s="136"/>
      <c r="F337" s="136"/>
      <c r="G337" s="136"/>
      <c r="H337" s="82" t="e">
        <v>#N/A</v>
      </c>
      <c r="I337" s="136"/>
      <c r="J337" s="136"/>
    </row>
    <row r="338" hidden="1">
      <c r="A338" s="136"/>
      <c r="B338" s="163"/>
      <c r="C338" s="136"/>
      <c r="D338" s="136"/>
      <c r="E338" s="136"/>
      <c r="F338" s="136"/>
      <c r="G338" s="136"/>
      <c r="H338" s="82" t="e">
        <v>#N/A</v>
      </c>
      <c r="I338" s="136"/>
      <c r="J338" s="136"/>
    </row>
    <row r="339" hidden="1">
      <c r="A339" s="136"/>
      <c r="B339" s="163"/>
      <c r="C339" s="136"/>
      <c r="D339" s="136"/>
      <c r="E339" s="136"/>
      <c r="F339" s="136"/>
      <c r="G339" s="136"/>
      <c r="H339" s="82" t="e">
        <v>#N/A</v>
      </c>
      <c r="I339" s="136"/>
      <c r="J339" s="136"/>
    </row>
    <row r="340" hidden="1">
      <c r="A340" s="136"/>
      <c r="B340" s="163"/>
      <c r="C340" s="136"/>
      <c r="D340" s="136"/>
      <c r="E340" s="136"/>
      <c r="F340" s="136"/>
      <c r="G340" s="136"/>
      <c r="H340" s="82" t="e">
        <v>#N/A</v>
      </c>
      <c r="I340" s="136"/>
      <c r="J340" s="136"/>
    </row>
    <row r="341" hidden="1">
      <c r="A341" s="136"/>
      <c r="B341" s="163"/>
      <c r="C341" s="136"/>
      <c r="D341" s="136"/>
      <c r="E341" s="136"/>
      <c r="F341" s="136"/>
      <c r="G341" s="136"/>
      <c r="H341" s="82" t="e">
        <v>#N/A</v>
      </c>
      <c r="I341" s="136"/>
      <c r="J341" s="136"/>
    </row>
    <row r="342" hidden="1">
      <c r="A342" s="136"/>
      <c r="B342" s="163"/>
      <c r="C342" s="136"/>
      <c r="D342" s="136"/>
      <c r="E342" s="136"/>
      <c r="F342" s="136"/>
      <c r="G342" s="136"/>
      <c r="H342" s="82" t="e">
        <v>#N/A</v>
      </c>
      <c r="I342" s="136"/>
      <c r="J342" s="136"/>
    </row>
    <row r="343" hidden="1">
      <c r="A343" s="136"/>
      <c r="B343" s="163"/>
      <c r="C343" s="136"/>
      <c r="D343" s="136"/>
      <c r="E343" s="136"/>
      <c r="F343" s="136"/>
      <c r="G343" s="136"/>
      <c r="H343" s="82" t="e">
        <v>#N/A</v>
      </c>
      <c r="I343" s="136"/>
      <c r="J343" s="136"/>
    </row>
    <row r="344" hidden="1">
      <c r="A344" s="136"/>
      <c r="B344" s="163"/>
      <c r="C344" s="136"/>
      <c r="D344" s="136"/>
      <c r="E344" s="136"/>
      <c r="F344" s="136"/>
      <c r="G344" s="136"/>
      <c r="H344" s="82" t="e">
        <v>#N/A</v>
      </c>
      <c r="I344" s="136"/>
      <c r="J344" s="136"/>
    </row>
    <row r="345" hidden="1">
      <c r="A345" s="136"/>
      <c r="B345" s="163"/>
      <c r="C345" s="136"/>
      <c r="D345" s="136"/>
      <c r="E345" s="136"/>
      <c r="F345" s="136"/>
      <c r="G345" s="136"/>
      <c r="H345" s="82" t="e">
        <v>#N/A</v>
      </c>
      <c r="I345" s="136"/>
      <c r="J345" s="136"/>
    </row>
    <row r="346" hidden="1">
      <c r="A346" s="136"/>
      <c r="B346" s="163"/>
      <c r="C346" s="136"/>
      <c r="D346" s="136"/>
      <c r="E346" s="136"/>
      <c r="F346" s="136"/>
      <c r="G346" s="136"/>
      <c r="H346" s="82" t="e">
        <v>#N/A</v>
      </c>
      <c r="I346" s="136"/>
      <c r="J346" s="136"/>
    </row>
    <row r="347" hidden="1">
      <c r="A347" s="136"/>
      <c r="B347" s="163"/>
      <c r="C347" s="136"/>
      <c r="D347" s="136"/>
      <c r="E347" s="136"/>
      <c r="F347" s="136"/>
      <c r="G347" s="136"/>
      <c r="H347" s="82" t="e">
        <v>#N/A</v>
      </c>
      <c r="I347" s="136"/>
      <c r="J347" s="136"/>
    </row>
    <row r="348" hidden="1">
      <c r="A348" s="136"/>
      <c r="B348" s="163"/>
      <c r="C348" s="136"/>
      <c r="D348" s="136"/>
      <c r="E348" s="136"/>
      <c r="F348" s="136"/>
      <c r="G348" s="136"/>
      <c r="H348" s="82" t="e">
        <v>#N/A</v>
      </c>
      <c r="I348" s="136"/>
      <c r="J348" s="136"/>
    </row>
    <row r="349" hidden="1">
      <c r="A349" s="136"/>
      <c r="B349" s="163"/>
      <c r="C349" s="136"/>
      <c r="D349" s="136"/>
      <c r="E349" s="136"/>
      <c r="F349" s="136"/>
      <c r="G349" s="136"/>
      <c r="H349" s="82" t="e">
        <v>#N/A</v>
      </c>
      <c r="I349" s="136"/>
      <c r="J349" s="136"/>
    </row>
    <row r="350" hidden="1">
      <c r="A350" s="136"/>
      <c r="B350" s="163"/>
      <c r="C350" s="136"/>
      <c r="D350" s="136"/>
      <c r="E350" s="136"/>
      <c r="F350" s="136"/>
      <c r="G350" s="136"/>
      <c r="H350" s="82" t="e">
        <v>#N/A</v>
      </c>
      <c r="I350" s="136"/>
      <c r="J350" s="136"/>
    </row>
    <row r="351" hidden="1">
      <c r="A351" s="136"/>
      <c r="B351" s="163"/>
      <c r="C351" s="136"/>
      <c r="D351" s="136"/>
      <c r="E351" s="136"/>
      <c r="F351" s="136"/>
      <c r="G351" s="136"/>
      <c r="H351" s="82" t="e">
        <v>#N/A</v>
      </c>
      <c r="I351" s="136"/>
      <c r="J351" s="136"/>
    </row>
    <row r="352" hidden="1">
      <c r="A352" s="136"/>
      <c r="B352" s="163"/>
      <c r="C352" s="136"/>
      <c r="D352" s="136"/>
      <c r="E352" s="136"/>
      <c r="F352" s="136"/>
      <c r="G352" s="136"/>
      <c r="H352" s="82" t="e">
        <v>#N/A</v>
      </c>
      <c r="I352" s="136"/>
      <c r="J352" s="136"/>
    </row>
    <row r="353" hidden="1">
      <c r="A353" s="136"/>
      <c r="B353" s="163"/>
      <c r="C353" s="136"/>
      <c r="D353" s="136"/>
      <c r="E353" s="136"/>
      <c r="F353" s="136"/>
      <c r="G353" s="136"/>
      <c r="H353" s="82" t="e">
        <v>#N/A</v>
      </c>
      <c r="I353" s="136"/>
      <c r="J353" s="136"/>
    </row>
    <row r="354" hidden="1">
      <c r="A354" s="136"/>
      <c r="B354" s="163"/>
      <c r="C354" s="136"/>
      <c r="D354" s="136"/>
      <c r="E354" s="136"/>
      <c r="F354" s="136"/>
      <c r="G354" s="136"/>
      <c r="H354" s="82" t="e">
        <v>#N/A</v>
      </c>
      <c r="I354" s="136"/>
      <c r="J354" s="136"/>
    </row>
    <row r="355" hidden="1">
      <c r="A355" s="136"/>
      <c r="B355" s="163"/>
      <c r="C355" s="136"/>
      <c r="D355" s="136"/>
      <c r="E355" s="136"/>
      <c r="F355" s="136"/>
      <c r="G355" s="136"/>
      <c r="H355" s="82" t="e">
        <v>#N/A</v>
      </c>
      <c r="I355" s="136"/>
      <c r="J355" s="136"/>
    </row>
    <row r="356" hidden="1">
      <c r="A356" s="136"/>
      <c r="B356" s="163"/>
      <c r="C356" s="136"/>
      <c r="D356" s="136"/>
      <c r="E356" s="136"/>
      <c r="F356" s="136"/>
      <c r="G356" s="136"/>
      <c r="H356" s="82" t="e">
        <v>#N/A</v>
      </c>
      <c r="I356" s="136"/>
      <c r="J356" s="136"/>
    </row>
    <row r="357" hidden="1">
      <c r="A357" s="136"/>
      <c r="B357" s="163"/>
      <c r="C357" s="136"/>
      <c r="D357" s="136"/>
      <c r="E357" s="136"/>
      <c r="F357" s="136"/>
      <c r="G357" s="136"/>
      <c r="H357" s="82" t="e">
        <v>#N/A</v>
      </c>
      <c r="I357" s="136"/>
      <c r="J357" s="136"/>
    </row>
    <row r="358" hidden="1">
      <c r="A358" s="136"/>
      <c r="B358" s="163"/>
      <c r="C358" s="136"/>
      <c r="D358" s="136"/>
      <c r="E358" s="136"/>
      <c r="F358" s="136"/>
      <c r="G358" s="136"/>
      <c r="H358" s="82" t="e">
        <v>#N/A</v>
      </c>
      <c r="I358" s="136"/>
      <c r="J358" s="136"/>
    </row>
    <row r="359" hidden="1">
      <c r="A359" s="136"/>
      <c r="B359" s="163"/>
      <c r="C359" s="136"/>
      <c r="D359" s="136"/>
      <c r="E359" s="136"/>
      <c r="F359" s="136"/>
      <c r="G359" s="136"/>
      <c r="H359" s="82" t="e">
        <v>#N/A</v>
      </c>
      <c r="I359" s="136"/>
      <c r="J359" s="136"/>
    </row>
    <row r="360" hidden="1">
      <c r="A360" s="136"/>
      <c r="B360" s="163"/>
      <c r="C360" s="136"/>
      <c r="D360" s="136"/>
      <c r="E360" s="136"/>
      <c r="F360" s="136"/>
      <c r="G360" s="136"/>
      <c r="H360" s="82" t="e">
        <v>#N/A</v>
      </c>
      <c r="I360" s="136"/>
      <c r="J360" s="136"/>
    </row>
    <row r="361" hidden="1">
      <c r="A361" s="136"/>
      <c r="B361" s="163"/>
      <c r="C361" s="136"/>
      <c r="D361" s="136"/>
      <c r="E361" s="136"/>
      <c r="F361" s="136"/>
      <c r="G361" s="136"/>
      <c r="H361" s="82" t="e">
        <v>#N/A</v>
      </c>
      <c r="I361" s="136"/>
      <c r="J361" s="136"/>
    </row>
    <row r="362" hidden="1">
      <c r="A362" s="136"/>
      <c r="B362" s="163"/>
      <c r="C362" s="136"/>
      <c r="D362" s="136"/>
      <c r="E362" s="136"/>
      <c r="F362" s="136"/>
      <c r="G362" s="136"/>
      <c r="H362" s="82" t="e">
        <v>#N/A</v>
      </c>
      <c r="I362" s="136"/>
      <c r="J362" s="136"/>
    </row>
    <row r="363" hidden="1">
      <c r="A363" s="136"/>
      <c r="B363" s="163"/>
      <c r="C363" s="136"/>
      <c r="D363" s="136"/>
      <c r="E363" s="136"/>
      <c r="F363" s="136"/>
      <c r="G363" s="136"/>
      <c r="H363" s="82" t="e">
        <v>#N/A</v>
      </c>
      <c r="I363" s="136"/>
      <c r="J363" s="136"/>
    </row>
    <row r="364" hidden="1">
      <c r="A364" s="136"/>
      <c r="B364" s="163"/>
      <c r="C364" s="136"/>
      <c r="D364" s="136"/>
      <c r="E364" s="136"/>
      <c r="F364" s="136"/>
      <c r="G364" s="136"/>
      <c r="H364" s="82" t="e">
        <v>#N/A</v>
      </c>
      <c r="I364" s="136"/>
      <c r="J364" s="136"/>
    </row>
    <row r="365" hidden="1">
      <c r="A365" s="136"/>
      <c r="B365" s="163"/>
      <c r="C365" s="136"/>
      <c r="D365" s="136"/>
      <c r="E365" s="136"/>
      <c r="F365" s="136"/>
      <c r="G365" s="136"/>
      <c r="H365" s="82" t="e">
        <v>#N/A</v>
      </c>
      <c r="I365" s="136"/>
      <c r="J365" s="136"/>
    </row>
    <row r="366" hidden="1">
      <c r="A366" s="136"/>
      <c r="B366" s="163"/>
      <c r="C366" s="136"/>
      <c r="D366" s="136"/>
      <c r="E366" s="136"/>
      <c r="F366" s="136"/>
      <c r="G366" s="136"/>
      <c r="H366" s="82" t="e">
        <v>#N/A</v>
      </c>
      <c r="I366" s="136"/>
      <c r="J366" s="136"/>
    </row>
    <row r="367" hidden="1">
      <c r="A367" s="136"/>
      <c r="B367" s="163"/>
      <c r="C367" s="136"/>
      <c r="D367" s="136"/>
      <c r="E367" s="136"/>
      <c r="F367" s="136"/>
      <c r="G367" s="136"/>
      <c r="H367" s="82" t="e">
        <v>#N/A</v>
      </c>
      <c r="I367" s="136"/>
      <c r="J367" s="136"/>
    </row>
    <row r="368" hidden="1">
      <c r="A368" s="136"/>
      <c r="B368" s="163"/>
      <c r="C368" s="136"/>
      <c r="D368" s="136"/>
      <c r="E368" s="136"/>
      <c r="F368" s="136"/>
      <c r="G368" s="136"/>
      <c r="H368" s="82" t="e">
        <v>#N/A</v>
      </c>
      <c r="I368" s="136"/>
      <c r="J368" s="136"/>
    </row>
    <row r="369" hidden="1">
      <c r="A369" s="136"/>
      <c r="B369" s="163"/>
      <c r="C369" s="136"/>
      <c r="D369" s="136"/>
      <c r="E369" s="136"/>
      <c r="F369" s="136"/>
      <c r="G369" s="136"/>
      <c r="H369" s="82" t="e">
        <v>#N/A</v>
      </c>
      <c r="I369" s="136"/>
      <c r="J369" s="136"/>
    </row>
    <row r="370" hidden="1">
      <c r="A370" s="136"/>
      <c r="B370" s="163"/>
      <c r="C370" s="136"/>
      <c r="D370" s="136"/>
      <c r="E370" s="136"/>
      <c r="F370" s="136"/>
      <c r="G370" s="136"/>
      <c r="H370" s="82" t="e">
        <v>#N/A</v>
      </c>
      <c r="I370" s="136"/>
      <c r="J370" s="136"/>
    </row>
    <row r="371" hidden="1">
      <c r="A371" s="136"/>
      <c r="B371" s="163"/>
      <c r="C371" s="136"/>
      <c r="D371" s="136"/>
      <c r="E371" s="136"/>
      <c r="F371" s="136"/>
      <c r="G371" s="136"/>
      <c r="H371" s="82" t="e">
        <v>#N/A</v>
      </c>
      <c r="I371" s="136"/>
      <c r="J371" s="136"/>
    </row>
    <row r="372" hidden="1">
      <c r="A372" s="136"/>
      <c r="B372" s="163"/>
      <c r="C372" s="136"/>
      <c r="D372" s="136"/>
      <c r="E372" s="136"/>
      <c r="F372" s="136"/>
      <c r="G372" s="136"/>
      <c r="H372" s="82" t="e">
        <v>#N/A</v>
      </c>
      <c r="I372" s="136"/>
      <c r="J372" s="136"/>
    </row>
    <row r="373" hidden="1">
      <c r="A373" s="136"/>
      <c r="B373" s="163"/>
      <c r="C373" s="136"/>
      <c r="D373" s="136"/>
      <c r="E373" s="136"/>
      <c r="F373" s="136"/>
      <c r="G373" s="136"/>
      <c r="H373" s="82" t="e">
        <v>#N/A</v>
      </c>
      <c r="I373" s="136"/>
      <c r="J373" s="136"/>
    </row>
    <row r="374" hidden="1">
      <c r="A374" s="136"/>
      <c r="B374" s="163"/>
      <c r="C374" s="136"/>
      <c r="D374" s="136"/>
      <c r="E374" s="136"/>
      <c r="F374" s="136"/>
      <c r="G374" s="136"/>
      <c r="H374" s="82" t="e">
        <v>#N/A</v>
      </c>
      <c r="I374" s="136"/>
      <c r="J374" s="136"/>
    </row>
    <row r="375" hidden="1">
      <c r="A375" s="136"/>
      <c r="B375" s="163"/>
      <c r="C375" s="136"/>
      <c r="D375" s="136"/>
      <c r="E375" s="136"/>
      <c r="F375" s="136"/>
      <c r="G375" s="136"/>
      <c r="H375" s="82" t="e">
        <v>#N/A</v>
      </c>
      <c r="I375" s="136"/>
      <c r="J375" s="136"/>
    </row>
    <row r="376" hidden="1">
      <c r="A376" s="136"/>
      <c r="B376" s="163"/>
      <c r="C376" s="136"/>
      <c r="D376" s="136"/>
      <c r="E376" s="136"/>
      <c r="F376" s="136"/>
      <c r="G376" s="136"/>
      <c r="H376" s="82" t="e">
        <v>#N/A</v>
      </c>
      <c r="I376" s="136"/>
      <c r="J376" s="136"/>
    </row>
    <row r="377" hidden="1">
      <c r="A377" s="136"/>
      <c r="B377" s="163"/>
      <c r="C377" s="136"/>
      <c r="D377" s="136"/>
      <c r="E377" s="136"/>
      <c r="F377" s="136"/>
      <c r="G377" s="136"/>
      <c r="H377" s="82" t="e">
        <v>#N/A</v>
      </c>
      <c r="I377" s="136"/>
      <c r="J377" s="136"/>
    </row>
    <row r="378" hidden="1">
      <c r="A378" s="136"/>
      <c r="B378" s="163"/>
      <c r="C378" s="136"/>
      <c r="D378" s="136"/>
      <c r="E378" s="136"/>
      <c r="F378" s="136"/>
      <c r="G378" s="136"/>
      <c r="H378" s="82" t="e">
        <v>#N/A</v>
      </c>
      <c r="I378" s="136"/>
      <c r="J378" s="136"/>
    </row>
    <row r="379" hidden="1">
      <c r="A379" s="136"/>
      <c r="B379" s="163"/>
      <c r="C379" s="136"/>
      <c r="D379" s="136"/>
      <c r="E379" s="136"/>
      <c r="F379" s="136"/>
      <c r="G379" s="136"/>
      <c r="H379" s="82" t="e">
        <v>#N/A</v>
      </c>
      <c r="I379" s="136"/>
      <c r="J379" s="136"/>
    </row>
    <row r="380" hidden="1">
      <c r="A380" s="136"/>
      <c r="B380" s="163"/>
      <c r="C380" s="136"/>
      <c r="D380" s="136"/>
      <c r="E380" s="136"/>
      <c r="F380" s="136"/>
      <c r="G380" s="136"/>
      <c r="H380" s="82" t="e">
        <v>#N/A</v>
      </c>
      <c r="I380" s="136"/>
      <c r="J380" s="136"/>
    </row>
    <row r="381" hidden="1">
      <c r="A381" s="136"/>
      <c r="B381" s="163"/>
      <c r="C381" s="136"/>
      <c r="D381" s="136"/>
      <c r="E381" s="136"/>
      <c r="F381" s="136"/>
      <c r="G381" s="136"/>
      <c r="H381" s="82" t="e">
        <v>#N/A</v>
      </c>
      <c r="I381" s="136"/>
      <c r="J381" s="136"/>
    </row>
    <row r="382" hidden="1">
      <c r="A382" s="136"/>
      <c r="B382" s="163"/>
      <c r="C382" s="136"/>
      <c r="D382" s="136"/>
      <c r="E382" s="136"/>
      <c r="F382" s="136"/>
      <c r="G382" s="136"/>
      <c r="H382" s="82" t="e">
        <v>#N/A</v>
      </c>
      <c r="I382" s="136"/>
      <c r="J382" s="136"/>
    </row>
    <row r="383" hidden="1">
      <c r="A383" s="136"/>
      <c r="B383" s="163"/>
      <c r="C383" s="136"/>
      <c r="D383" s="136"/>
      <c r="E383" s="136"/>
      <c r="F383" s="136"/>
      <c r="G383" s="136"/>
      <c r="H383" s="82" t="e">
        <v>#N/A</v>
      </c>
      <c r="I383" s="136"/>
      <c r="J383" s="136"/>
    </row>
    <row r="384" hidden="1">
      <c r="A384" s="136"/>
      <c r="B384" s="163"/>
      <c r="C384" s="136"/>
      <c r="D384" s="136"/>
      <c r="E384" s="136"/>
      <c r="F384" s="136"/>
      <c r="G384" s="136"/>
      <c r="H384" s="82" t="e">
        <v>#N/A</v>
      </c>
      <c r="I384" s="136"/>
      <c r="J384" s="136"/>
    </row>
    <row r="385" hidden="1">
      <c r="A385" s="136"/>
      <c r="B385" s="163"/>
      <c r="C385" s="136"/>
      <c r="D385" s="136"/>
      <c r="E385" s="136"/>
      <c r="F385" s="136"/>
      <c r="G385" s="136"/>
      <c r="H385" s="82" t="e">
        <v>#N/A</v>
      </c>
      <c r="I385" s="136"/>
      <c r="J385" s="136"/>
    </row>
    <row r="386" hidden="1">
      <c r="A386" s="136"/>
      <c r="B386" s="163"/>
      <c r="C386" s="136"/>
      <c r="D386" s="136"/>
      <c r="E386" s="136"/>
      <c r="F386" s="136"/>
      <c r="G386" s="136"/>
      <c r="H386" s="82" t="e">
        <v>#N/A</v>
      </c>
      <c r="I386" s="136"/>
      <c r="J386" s="136"/>
    </row>
    <row r="387" hidden="1">
      <c r="A387" s="136"/>
      <c r="B387" s="163"/>
      <c r="C387" s="136"/>
      <c r="D387" s="136"/>
      <c r="E387" s="136"/>
      <c r="F387" s="136"/>
      <c r="G387" s="136"/>
      <c r="H387" s="82" t="e">
        <v>#N/A</v>
      </c>
      <c r="I387" s="136"/>
      <c r="J387" s="136"/>
    </row>
    <row r="388" hidden="1">
      <c r="A388" s="136"/>
      <c r="B388" s="163"/>
      <c r="C388" s="136"/>
      <c r="D388" s="136"/>
      <c r="E388" s="136"/>
      <c r="F388" s="136"/>
      <c r="G388" s="136"/>
      <c r="H388" s="82" t="e">
        <v>#N/A</v>
      </c>
      <c r="I388" s="136"/>
      <c r="J388" s="136"/>
    </row>
    <row r="389" hidden="1">
      <c r="A389" s="136"/>
      <c r="B389" s="163"/>
      <c r="C389" s="136"/>
      <c r="D389" s="136"/>
      <c r="E389" s="136"/>
      <c r="F389" s="136"/>
      <c r="G389" s="136"/>
      <c r="H389" s="82" t="e">
        <v>#N/A</v>
      </c>
      <c r="I389" s="136"/>
      <c r="J389" s="136"/>
    </row>
    <row r="390" hidden="1">
      <c r="A390" s="136"/>
      <c r="B390" s="163"/>
      <c r="C390" s="136"/>
      <c r="D390" s="136"/>
      <c r="E390" s="136"/>
      <c r="F390" s="136"/>
      <c r="G390" s="136"/>
      <c r="H390" s="82" t="e">
        <v>#N/A</v>
      </c>
      <c r="I390" s="136"/>
      <c r="J390" s="136"/>
    </row>
    <row r="391" hidden="1">
      <c r="A391" s="136"/>
      <c r="B391" s="163"/>
      <c r="C391" s="136"/>
      <c r="D391" s="136"/>
      <c r="E391" s="136"/>
      <c r="F391" s="136"/>
      <c r="G391" s="136"/>
      <c r="H391" s="82" t="e">
        <v>#N/A</v>
      </c>
      <c r="I391" s="136"/>
      <c r="J391" s="136"/>
    </row>
    <row r="392" hidden="1">
      <c r="A392" s="136"/>
      <c r="B392" s="163"/>
      <c r="C392" s="136"/>
      <c r="D392" s="136"/>
      <c r="E392" s="136"/>
      <c r="F392" s="136"/>
      <c r="G392" s="136"/>
      <c r="H392" s="82" t="e">
        <v>#N/A</v>
      </c>
      <c r="I392" s="136"/>
      <c r="J392" s="136"/>
    </row>
    <row r="393" hidden="1">
      <c r="A393" s="136"/>
      <c r="B393" s="163"/>
      <c r="C393" s="136"/>
      <c r="D393" s="136"/>
      <c r="E393" s="136"/>
      <c r="F393" s="136"/>
      <c r="G393" s="136"/>
      <c r="H393" s="82" t="e">
        <v>#N/A</v>
      </c>
      <c r="I393" s="136"/>
      <c r="J393" s="136"/>
    </row>
    <row r="394" hidden="1">
      <c r="A394" s="136"/>
      <c r="B394" s="163"/>
      <c r="C394" s="136"/>
      <c r="D394" s="136"/>
      <c r="E394" s="136"/>
      <c r="F394" s="136"/>
      <c r="G394" s="136"/>
      <c r="H394" s="82" t="e">
        <v>#N/A</v>
      </c>
      <c r="I394" s="136"/>
      <c r="J394" s="136"/>
    </row>
    <row r="395" hidden="1">
      <c r="A395" s="136"/>
      <c r="B395" s="163"/>
      <c r="C395" s="136"/>
      <c r="D395" s="136"/>
      <c r="E395" s="136"/>
      <c r="F395" s="136"/>
      <c r="G395" s="136"/>
      <c r="H395" s="82" t="e">
        <v>#N/A</v>
      </c>
      <c r="I395" s="136"/>
      <c r="J395" s="136"/>
    </row>
    <row r="396" hidden="1">
      <c r="A396" s="136"/>
      <c r="B396" s="163"/>
      <c r="C396" s="136"/>
      <c r="D396" s="136"/>
      <c r="E396" s="136"/>
      <c r="F396" s="136"/>
      <c r="G396" s="136"/>
      <c r="H396" s="82" t="e">
        <v>#N/A</v>
      </c>
      <c r="I396" s="136"/>
      <c r="J396" s="136"/>
    </row>
    <row r="397" hidden="1">
      <c r="A397" s="136"/>
      <c r="B397" s="163"/>
      <c r="C397" s="136"/>
      <c r="D397" s="136"/>
      <c r="E397" s="136"/>
      <c r="F397" s="136"/>
      <c r="G397" s="136"/>
      <c r="H397" s="82" t="e">
        <v>#N/A</v>
      </c>
      <c r="I397" s="136"/>
      <c r="J397" s="136"/>
    </row>
    <row r="398" hidden="1">
      <c r="A398" s="136"/>
      <c r="B398" s="163"/>
      <c r="C398" s="136"/>
      <c r="D398" s="136"/>
      <c r="E398" s="136"/>
      <c r="F398" s="136"/>
      <c r="G398" s="136"/>
      <c r="H398" s="82" t="e">
        <v>#N/A</v>
      </c>
      <c r="I398" s="136"/>
      <c r="J398" s="136"/>
    </row>
    <row r="399" hidden="1">
      <c r="A399" s="136"/>
      <c r="B399" s="163"/>
      <c r="C399" s="136"/>
      <c r="D399" s="136"/>
      <c r="E399" s="136"/>
      <c r="F399" s="136"/>
      <c r="G399" s="136"/>
      <c r="H399" s="82" t="e">
        <v>#N/A</v>
      </c>
      <c r="I399" s="136"/>
      <c r="J399" s="136"/>
    </row>
    <row r="400" hidden="1">
      <c r="A400" s="136"/>
      <c r="B400" s="163"/>
      <c r="C400" s="136"/>
      <c r="D400" s="136"/>
      <c r="E400" s="136"/>
      <c r="F400" s="136"/>
      <c r="G400" s="136"/>
      <c r="H400" s="82" t="e">
        <v>#N/A</v>
      </c>
      <c r="I400" s="136"/>
      <c r="J400" s="136"/>
    </row>
    <row r="401" hidden="1">
      <c r="A401" s="136"/>
      <c r="B401" s="163"/>
      <c r="C401" s="136"/>
      <c r="D401" s="136"/>
      <c r="E401" s="136"/>
      <c r="F401" s="136"/>
      <c r="G401" s="136"/>
      <c r="H401" s="82" t="e">
        <v>#N/A</v>
      </c>
      <c r="I401" s="136"/>
      <c r="J401" s="136"/>
    </row>
    <row r="402" hidden="1">
      <c r="A402" s="136"/>
      <c r="B402" s="163"/>
      <c r="C402" s="136"/>
      <c r="D402" s="136"/>
      <c r="E402" s="136"/>
      <c r="F402" s="136"/>
      <c r="G402" s="136"/>
      <c r="H402" s="82" t="e">
        <v>#N/A</v>
      </c>
      <c r="I402" s="136"/>
      <c r="J402" s="136"/>
    </row>
    <row r="403" hidden="1">
      <c r="A403" s="136"/>
      <c r="B403" s="163"/>
      <c r="C403" s="136"/>
      <c r="D403" s="136"/>
      <c r="E403" s="136"/>
      <c r="F403" s="136"/>
      <c r="G403" s="136"/>
      <c r="H403" s="82" t="e">
        <v>#N/A</v>
      </c>
      <c r="I403" s="136"/>
      <c r="J403" s="136"/>
    </row>
    <row r="404" hidden="1">
      <c r="A404" s="136"/>
      <c r="B404" s="163"/>
      <c r="C404" s="136"/>
      <c r="D404" s="136"/>
      <c r="E404" s="136"/>
      <c r="F404" s="136"/>
      <c r="G404" s="136"/>
      <c r="H404" s="82" t="e">
        <v>#N/A</v>
      </c>
      <c r="I404" s="136"/>
      <c r="J404" s="136"/>
    </row>
    <row r="405" hidden="1">
      <c r="A405" s="136"/>
      <c r="B405" s="163"/>
      <c r="C405" s="136"/>
      <c r="D405" s="136"/>
      <c r="E405" s="136"/>
      <c r="F405" s="136"/>
      <c r="G405" s="136"/>
      <c r="H405" s="82" t="e">
        <v>#N/A</v>
      </c>
      <c r="I405" s="136"/>
      <c r="J405" s="136"/>
    </row>
    <row r="406" hidden="1">
      <c r="A406" s="136"/>
      <c r="B406" s="163"/>
      <c r="C406" s="136"/>
      <c r="D406" s="136"/>
      <c r="E406" s="136"/>
      <c r="F406" s="136"/>
      <c r="G406" s="136"/>
      <c r="H406" s="82" t="e">
        <v>#N/A</v>
      </c>
      <c r="I406" s="136"/>
      <c r="J406" s="136"/>
    </row>
    <row r="407" hidden="1">
      <c r="A407" s="136"/>
      <c r="B407" s="163"/>
      <c r="C407" s="136"/>
      <c r="D407" s="136"/>
      <c r="E407" s="136"/>
      <c r="F407" s="136"/>
      <c r="G407" s="136"/>
      <c r="H407" s="82" t="e">
        <v>#N/A</v>
      </c>
      <c r="I407" s="136"/>
      <c r="J407" s="136"/>
    </row>
    <row r="408" hidden="1">
      <c r="A408" s="136"/>
      <c r="B408" s="163"/>
      <c r="C408" s="136"/>
      <c r="D408" s="136"/>
      <c r="E408" s="136"/>
      <c r="F408" s="136"/>
      <c r="G408" s="136"/>
      <c r="H408" s="82" t="e">
        <v>#N/A</v>
      </c>
      <c r="I408" s="136"/>
      <c r="J408" s="136"/>
    </row>
    <row r="409" hidden="1">
      <c r="A409" s="136"/>
      <c r="B409" s="163"/>
      <c r="C409" s="136"/>
      <c r="D409" s="136"/>
      <c r="E409" s="136"/>
      <c r="F409" s="136"/>
      <c r="G409" s="136"/>
      <c r="H409" s="82" t="e">
        <v>#N/A</v>
      </c>
      <c r="I409" s="136"/>
      <c r="J409" s="136"/>
    </row>
    <row r="410" hidden="1">
      <c r="A410" s="136"/>
      <c r="B410" s="163"/>
      <c r="C410" s="136"/>
      <c r="D410" s="136"/>
      <c r="E410" s="136"/>
      <c r="F410" s="136"/>
      <c r="G410" s="136"/>
      <c r="H410" s="82" t="e">
        <v>#N/A</v>
      </c>
      <c r="I410" s="136"/>
      <c r="J410" s="136"/>
    </row>
    <row r="411" hidden="1">
      <c r="A411" s="136"/>
      <c r="B411" s="163"/>
      <c r="C411" s="136"/>
      <c r="D411" s="136"/>
      <c r="E411" s="136"/>
      <c r="F411" s="136"/>
      <c r="G411" s="136"/>
      <c r="H411" s="82" t="e">
        <v>#N/A</v>
      </c>
      <c r="I411" s="136"/>
      <c r="J411" s="136"/>
    </row>
    <row r="412" hidden="1">
      <c r="A412" s="136"/>
      <c r="B412" s="163"/>
      <c r="C412" s="136"/>
      <c r="D412" s="136"/>
      <c r="E412" s="136"/>
      <c r="F412" s="136"/>
      <c r="G412" s="136"/>
      <c r="H412" s="82" t="e">
        <v>#N/A</v>
      </c>
      <c r="I412" s="136"/>
      <c r="J412" s="136"/>
    </row>
    <row r="413" hidden="1">
      <c r="A413" s="136"/>
      <c r="B413" s="163"/>
      <c r="C413" s="136"/>
      <c r="D413" s="136"/>
      <c r="E413" s="136"/>
      <c r="F413" s="136"/>
      <c r="G413" s="136"/>
      <c r="H413" s="82" t="e">
        <v>#N/A</v>
      </c>
      <c r="I413" s="136"/>
      <c r="J413" s="136"/>
    </row>
    <row r="414" hidden="1">
      <c r="A414" s="136"/>
      <c r="B414" s="163"/>
      <c r="C414" s="136"/>
      <c r="D414" s="136"/>
      <c r="E414" s="136"/>
      <c r="F414" s="136"/>
      <c r="G414" s="136"/>
      <c r="H414" s="82" t="e">
        <v>#N/A</v>
      </c>
      <c r="I414" s="136"/>
      <c r="J414" s="136"/>
    </row>
    <row r="415" hidden="1">
      <c r="A415" s="136"/>
      <c r="B415" s="163"/>
      <c r="C415" s="136"/>
      <c r="D415" s="136"/>
      <c r="E415" s="136"/>
      <c r="F415" s="136"/>
      <c r="G415" s="136"/>
      <c r="H415" s="82" t="e">
        <v>#N/A</v>
      </c>
      <c r="I415" s="136"/>
      <c r="J415" s="136"/>
    </row>
    <row r="416" hidden="1">
      <c r="A416" s="136"/>
      <c r="B416" s="163"/>
      <c r="C416" s="136"/>
      <c r="D416" s="136"/>
      <c r="E416" s="136"/>
      <c r="F416" s="136"/>
      <c r="G416" s="136"/>
      <c r="H416" s="82" t="e">
        <v>#N/A</v>
      </c>
      <c r="I416" s="136"/>
      <c r="J416" s="136"/>
    </row>
    <row r="417" hidden="1">
      <c r="A417" s="136"/>
      <c r="B417" s="163"/>
      <c r="C417" s="136"/>
      <c r="D417" s="136"/>
      <c r="E417" s="136"/>
      <c r="F417" s="136"/>
      <c r="G417" s="136"/>
      <c r="H417" s="82" t="e">
        <v>#N/A</v>
      </c>
      <c r="I417" s="136"/>
      <c r="J417" s="136"/>
    </row>
    <row r="418" hidden="1">
      <c r="A418" s="136"/>
      <c r="B418" s="163"/>
      <c r="C418" s="136"/>
      <c r="D418" s="136"/>
      <c r="E418" s="136"/>
      <c r="F418" s="136"/>
      <c r="G418" s="136"/>
      <c r="H418" s="82" t="e">
        <v>#N/A</v>
      </c>
      <c r="I418" s="136"/>
      <c r="J418" s="136"/>
    </row>
    <row r="419" hidden="1">
      <c r="A419" s="136"/>
      <c r="B419" s="163"/>
      <c r="C419" s="136"/>
      <c r="D419" s="136"/>
      <c r="E419" s="136"/>
      <c r="F419" s="136"/>
      <c r="G419" s="136"/>
      <c r="H419" s="82" t="e">
        <v>#N/A</v>
      </c>
      <c r="I419" s="136"/>
      <c r="J419" s="136"/>
    </row>
    <row r="420" hidden="1">
      <c r="A420" s="136"/>
      <c r="B420" s="163"/>
      <c r="C420" s="136"/>
      <c r="D420" s="136"/>
      <c r="E420" s="136"/>
      <c r="F420" s="136"/>
      <c r="G420" s="136"/>
      <c r="H420" s="82" t="e">
        <v>#N/A</v>
      </c>
      <c r="I420" s="136"/>
      <c r="J420" s="136"/>
    </row>
    <row r="421" hidden="1">
      <c r="A421" s="136"/>
      <c r="B421" s="163"/>
      <c r="C421" s="136"/>
      <c r="D421" s="136"/>
      <c r="E421" s="136"/>
      <c r="F421" s="136"/>
      <c r="G421" s="136"/>
      <c r="H421" s="82" t="e">
        <v>#N/A</v>
      </c>
      <c r="I421" s="136"/>
      <c r="J421" s="136"/>
    </row>
    <row r="422" hidden="1">
      <c r="A422" s="136"/>
      <c r="B422" s="163"/>
      <c r="C422" s="136"/>
      <c r="D422" s="136"/>
      <c r="E422" s="136"/>
      <c r="F422" s="136"/>
      <c r="G422" s="136"/>
      <c r="H422" s="82" t="e">
        <v>#N/A</v>
      </c>
      <c r="I422" s="136"/>
      <c r="J422" s="136"/>
    </row>
    <row r="423" hidden="1">
      <c r="A423" s="136"/>
      <c r="B423" s="163"/>
      <c r="C423" s="136"/>
      <c r="D423" s="136"/>
      <c r="E423" s="136"/>
      <c r="F423" s="136"/>
      <c r="G423" s="136"/>
      <c r="H423" s="82" t="e">
        <v>#N/A</v>
      </c>
      <c r="I423" s="136"/>
      <c r="J423" s="136"/>
    </row>
    <row r="424" hidden="1">
      <c r="A424" s="136"/>
      <c r="B424" s="163"/>
      <c r="C424" s="136"/>
      <c r="D424" s="136"/>
      <c r="E424" s="136"/>
      <c r="F424" s="136"/>
      <c r="G424" s="136"/>
      <c r="H424" s="82" t="e">
        <v>#N/A</v>
      </c>
      <c r="I424" s="136"/>
      <c r="J424" s="136"/>
    </row>
    <row r="425" hidden="1">
      <c r="A425" s="136"/>
      <c r="B425" s="163"/>
      <c r="C425" s="136"/>
      <c r="D425" s="136"/>
      <c r="E425" s="136"/>
      <c r="F425" s="136"/>
      <c r="G425" s="136"/>
      <c r="H425" s="82" t="e">
        <v>#N/A</v>
      </c>
      <c r="I425" s="136"/>
      <c r="J425" s="136"/>
    </row>
    <row r="426" hidden="1">
      <c r="A426" s="136"/>
      <c r="B426" s="163"/>
      <c r="C426" s="136"/>
      <c r="D426" s="136"/>
      <c r="E426" s="136"/>
      <c r="F426" s="136"/>
      <c r="G426" s="136"/>
      <c r="H426" s="82" t="e">
        <v>#N/A</v>
      </c>
      <c r="I426" s="136"/>
      <c r="J426" s="136"/>
    </row>
    <row r="427" hidden="1">
      <c r="A427" s="136"/>
      <c r="B427" s="163"/>
      <c r="C427" s="136"/>
      <c r="D427" s="136"/>
      <c r="E427" s="136"/>
      <c r="F427" s="136"/>
      <c r="G427" s="136"/>
      <c r="H427" s="82" t="e">
        <v>#N/A</v>
      </c>
      <c r="I427" s="136"/>
      <c r="J427" s="136"/>
    </row>
    <row r="428" hidden="1">
      <c r="A428" s="136"/>
      <c r="B428" s="163"/>
      <c r="C428" s="136"/>
      <c r="D428" s="136"/>
      <c r="E428" s="136"/>
      <c r="F428" s="136"/>
      <c r="G428" s="136"/>
      <c r="H428" s="82" t="e">
        <v>#N/A</v>
      </c>
      <c r="I428" s="136"/>
      <c r="J428" s="136"/>
    </row>
    <row r="429" hidden="1">
      <c r="A429" s="136"/>
      <c r="B429" s="163"/>
      <c r="C429" s="136"/>
      <c r="D429" s="136"/>
      <c r="E429" s="136"/>
      <c r="F429" s="136"/>
      <c r="G429" s="136"/>
      <c r="H429" s="82" t="e">
        <v>#N/A</v>
      </c>
      <c r="I429" s="136"/>
      <c r="J429" s="136"/>
    </row>
    <row r="430" hidden="1">
      <c r="A430" s="136"/>
      <c r="B430" s="163"/>
      <c r="C430" s="136"/>
      <c r="D430" s="136"/>
      <c r="E430" s="136"/>
      <c r="F430" s="136"/>
      <c r="G430" s="136"/>
      <c r="H430" s="82" t="e">
        <v>#N/A</v>
      </c>
      <c r="I430" s="136"/>
      <c r="J430" s="136"/>
    </row>
    <row r="431" hidden="1">
      <c r="A431" s="136"/>
      <c r="B431" s="163"/>
      <c r="C431" s="136"/>
      <c r="D431" s="136"/>
      <c r="E431" s="136"/>
      <c r="F431" s="136"/>
      <c r="G431" s="136"/>
      <c r="H431" s="82" t="e">
        <v>#N/A</v>
      </c>
      <c r="I431" s="136"/>
      <c r="J431" s="136"/>
    </row>
    <row r="432" hidden="1">
      <c r="A432" s="136"/>
      <c r="B432" s="163"/>
      <c r="C432" s="136"/>
      <c r="D432" s="136"/>
      <c r="E432" s="136"/>
      <c r="F432" s="136"/>
      <c r="G432" s="136"/>
      <c r="H432" s="82" t="e">
        <v>#N/A</v>
      </c>
      <c r="I432" s="136"/>
      <c r="J432" s="136"/>
    </row>
    <row r="433" hidden="1">
      <c r="A433" s="136"/>
      <c r="B433" s="163"/>
      <c r="C433" s="136"/>
      <c r="D433" s="136"/>
      <c r="E433" s="136"/>
      <c r="F433" s="136"/>
      <c r="G433" s="136"/>
      <c r="H433" s="82" t="e">
        <v>#N/A</v>
      </c>
      <c r="I433" s="136"/>
      <c r="J433" s="136"/>
    </row>
    <row r="434" hidden="1">
      <c r="A434" s="136"/>
      <c r="B434" s="163"/>
      <c r="C434" s="136"/>
      <c r="D434" s="136"/>
      <c r="E434" s="136"/>
      <c r="F434" s="136"/>
      <c r="G434" s="136"/>
      <c r="H434" s="82" t="e">
        <v>#N/A</v>
      </c>
      <c r="I434" s="136"/>
      <c r="J434" s="136"/>
    </row>
    <row r="435" hidden="1">
      <c r="A435" s="136"/>
      <c r="B435" s="163"/>
      <c r="C435" s="136"/>
      <c r="D435" s="136"/>
      <c r="E435" s="136"/>
      <c r="F435" s="136"/>
      <c r="G435" s="136"/>
      <c r="H435" s="82" t="e">
        <v>#N/A</v>
      </c>
      <c r="I435" s="136"/>
      <c r="J435" s="136"/>
    </row>
    <row r="436" hidden="1">
      <c r="A436" s="136"/>
      <c r="B436" s="163"/>
      <c r="C436" s="136"/>
      <c r="D436" s="136"/>
      <c r="E436" s="136"/>
      <c r="F436" s="136"/>
      <c r="G436" s="136"/>
      <c r="H436" s="82" t="e">
        <v>#N/A</v>
      </c>
      <c r="I436" s="136"/>
      <c r="J436" s="136"/>
    </row>
    <row r="437" hidden="1">
      <c r="A437" s="136"/>
      <c r="B437" s="163"/>
      <c r="C437" s="136"/>
      <c r="D437" s="136"/>
      <c r="E437" s="136"/>
      <c r="F437" s="136"/>
      <c r="G437" s="136"/>
      <c r="H437" s="82" t="e">
        <v>#N/A</v>
      </c>
      <c r="I437" s="136"/>
      <c r="J437" s="136"/>
    </row>
    <row r="438" hidden="1">
      <c r="A438" s="136"/>
      <c r="B438" s="163"/>
      <c r="C438" s="136"/>
      <c r="D438" s="136"/>
      <c r="E438" s="136"/>
      <c r="F438" s="136"/>
      <c r="G438" s="136"/>
      <c r="H438" s="82" t="e">
        <v>#N/A</v>
      </c>
      <c r="I438" s="136"/>
      <c r="J438" s="136"/>
    </row>
    <row r="439" hidden="1">
      <c r="A439" s="136"/>
      <c r="B439" s="163"/>
      <c r="C439" s="136"/>
      <c r="D439" s="136"/>
      <c r="E439" s="136"/>
      <c r="F439" s="136"/>
      <c r="G439" s="136"/>
      <c r="H439" s="82" t="e">
        <v>#N/A</v>
      </c>
      <c r="I439" s="136"/>
      <c r="J439" s="136"/>
    </row>
    <row r="440" hidden="1">
      <c r="A440" s="136"/>
      <c r="B440" s="163"/>
      <c r="C440" s="136"/>
      <c r="D440" s="136"/>
      <c r="E440" s="136"/>
      <c r="F440" s="136"/>
      <c r="G440" s="136"/>
      <c r="H440" s="82" t="e">
        <v>#N/A</v>
      </c>
      <c r="I440" s="136"/>
      <c r="J440" s="136"/>
    </row>
    <row r="441" hidden="1">
      <c r="A441" s="136"/>
      <c r="B441" s="163"/>
      <c r="C441" s="136"/>
      <c r="D441" s="136"/>
      <c r="E441" s="136"/>
      <c r="F441" s="136"/>
      <c r="G441" s="136"/>
      <c r="H441" s="82" t="e">
        <v>#N/A</v>
      </c>
      <c r="I441" s="136"/>
      <c r="J441" s="136"/>
    </row>
    <row r="442" hidden="1">
      <c r="A442" s="136"/>
      <c r="B442" s="163"/>
      <c r="C442" s="136"/>
      <c r="D442" s="136"/>
      <c r="E442" s="136"/>
      <c r="F442" s="136"/>
      <c r="G442" s="136"/>
      <c r="H442" s="82" t="e">
        <v>#N/A</v>
      </c>
      <c r="I442" s="136"/>
      <c r="J442" s="136"/>
    </row>
    <row r="443" hidden="1">
      <c r="A443" s="136"/>
      <c r="B443" s="163"/>
      <c r="C443" s="136"/>
      <c r="D443" s="136"/>
      <c r="E443" s="136"/>
      <c r="F443" s="136"/>
      <c r="G443" s="136"/>
      <c r="H443" s="82" t="e">
        <v>#N/A</v>
      </c>
      <c r="I443" s="136"/>
      <c r="J443" s="136"/>
    </row>
    <row r="444" hidden="1">
      <c r="A444" s="136"/>
      <c r="B444" s="163"/>
      <c r="C444" s="136"/>
      <c r="D444" s="136"/>
      <c r="E444" s="136"/>
      <c r="F444" s="136"/>
      <c r="G444" s="136"/>
      <c r="H444" s="82" t="e">
        <v>#N/A</v>
      </c>
      <c r="I444" s="136"/>
      <c r="J444" s="136"/>
    </row>
    <row r="445" hidden="1">
      <c r="A445" s="136"/>
      <c r="B445" s="163"/>
      <c r="C445" s="136"/>
      <c r="D445" s="136"/>
      <c r="E445" s="136"/>
      <c r="F445" s="136"/>
      <c r="G445" s="136"/>
      <c r="H445" s="82" t="e">
        <v>#N/A</v>
      </c>
      <c r="I445" s="136"/>
      <c r="J445" s="136"/>
    </row>
    <row r="446" hidden="1">
      <c r="A446" s="136"/>
      <c r="B446" s="163"/>
      <c r="C446" s="136"/>
      <c r="D446" s="136"/>
      <c r="E446" s="136"/>
      <c r="F446" s="136"/>
      <c r="G446" s="136"/>
      <c r="H446" s="82" t="e">
        <v>#N/A</v>
      </c>
      <c r="I446" s="136"/>
      <c r="J446" s="136"/>
    </row>
    <row r="447" hidden="1">
      <c r="A447" s="136"/>
      <c r="B447" s="163"/>
      <c r="C447" s="136"/>
      <c r="D447" s="136"/>
      <c r="E447" s="136"/>
      <c r="F447" s="136"/>
      <c r="G447" s="136"/>
      <c r="H447" s="82" t="e">
        <v>#N/A</v>
      </c>
      <c r="I447" s="136"/>
      <c r="J447" s="136"/>
    </row>
    <row r="448" hidden="1">
      <c r="A448" s="136"/>
      <c r="B448" s="163"/>
      <c r="C448" s="136"/>
      <c r="D448" s="136"/>
      <c r="E448" s="136"/>
      <c r="F448" s="136"/>
      <c r="G448" s="136"/>
      <c r="H448" s="82" t="e">
        <v>#N/A</v>
      </c>
      <c r="I448" s="136"/>
      <c r="J448" s="136"/>
    </row>
    <row r="449" hidden="1">
      <c r="A449" s="136"/>
      <c r="B449" s="163"/>
      <c r="C449" s="136"/>
      <c r="D449" s="136"/>
      <c r="E449" s="136"/>
      <c r="F449" s="136"/>
      <c r="G449" s="136"/>
      <c r="H449" s="82" t="e">
        <v>#N/A</v>
      </c>
      <c r="I449" s="136"/>
      <c r="J449" s="136"/>
    </row>
    <row r="450" hidden="1">
      <c r="A450" s="136"/>
      <c r="B450" s="163"/>
      <c r="C450" s="136"/>
      <c r="D450" s="136"/>
      <c r="E450" s="136"/>
      <c r="F450" s="136"/>
      <c r="G450" s="136"/>
      <c r="H450" s="82" t="e">
        <v>#N/A</v>
      </c>
      <c r="I450" s="136"/>
      <c r="J450" s="136"/>
    </row>
    <row r="451" hidden="1">
      <c r="A451" s="136"/>
      <c r="B451" s="163"/>
      <c r="C451" s="136"/>
      <c r="D451" s="136"/>
      <c r="E451" s="136"/>
      <c r="F451" s="136"/>
      <c r="G451" s="136"/>
      <c r="H451" s="82" t="e">
        <v>#N/A</v>
      </c>
      <c r="I451" s="136"/>
      <c r="J451" s="136"/>
    </row>
    <row r="452" hidden="1">
      <c r="A452" s="136"/>
      <c r="B452" s="163"/>
      <c r="C452" s="136"/>
      <c r="D452" s="136"/>
      <c r="E452" s="136"/>
      <c r="F452" s="136"/>
      <c r="G452" s="136"/>
      <c r="H452" s="82" t="e">
        <v>#N/A</v>
      </c>
      <c r="I452" s="136"/>
      <c r="J452" s="136"/>
    </row>
    <row r="453" hidden="1">
      <c r="A453" s="136"/>
      <c r="B453" s="163"/>
      <c r="C453" s="136"/>
      <c r="D453" s="136"/>
      <c r="E453" s="136"/>
      <c r="F453" s="136"/>
      <c r="G453" s="136"/>
      <c r="H453" s="82" t="e">
        <v>#N/A</v>
      </c>
      <c r="I453" s="136"/>
      <c r="J453" s="136"/>
    </row>
    <row r="454" hidden="1">
      <c r="A454" s="136"/>
      <c r="B454" s="163"/>
      <c r="C454" s="136"/>
      <c r="D454" s="136"/>
      <c r="E454" s="136"/>
      <c r="F454" s="136"/>
      <c r="G454" s="136"/>
      <c r="H454" s="82" t="e">
        <v>#N/A</v>
      </c>
      <c r="I454" s="136"/>
      <c r="J454" s="136"/>
    </row>
    <row r="455" hidden="1">
      <c r="A455" s="136"/>
      <c r="B455" s="163"/>
      <c r="C455" s="136"/>
      <c r="D455" s="136"/>
      <c r="E455" s="136"/>
      <c r="F455" s="136"/>
      <c r="G455" s="136"/>
      <c r="H455" s="82" t="e">
        <v>#N/A</v>
      </c>
      <c r="I455" s="136"/>
      <c r="J455" s="136"/>
    </row>
    <row r="456" hidden="1">
      <c r="A456" s="136"/>
      <c r="B456" s="163"/>
      <c r="C456" s="136"/>
      <c r="D456" s="136"/>
      <c r="E456" s="136"/>
      <c r="F456" s="136"/>
      <c r="G456" s="136"/>
      <c r="H456" s="82" t="e">
        <v>#N/A</v>
      </c>
      <c r="I456" s="136"/>
      <c r="J456" s="136"/>
    </row>
    <row r="457" hidden="1">
      <c r="A457" s="136"/>
      <c r="B457" s="163"/>
      <c r="C457" s="136"/>
      <c r="D457" s="136"/>
      <c r="E457" s="136"/>
      <c r="F457" s="136"/>
      <c r="G457" s="136"/>
      <c r="H457" s="82" t="e">
        <v>#N/A</v>
      </c>
      <c r="I457" s="136"/>
      <c r="J457" s="136"/>
    </row>
    <row r="458" hidden="1">
      <c r="A458" s="136"/>
      <c r="B458" s="163"/>
      <c r="C458" s="136"/>
      <c r="D458" s="136"/>
      <c r="E458" s="136"/>
      <c r="F458" s="136"/>
      <c r="G458" s="136"/>
      <c r="H458" s="82" t="e">
        <v>#N/A</v>
      </c>
      <c r="I458" s="136"/>
      <c r="J458" s="136"/>
    </row>
    <row r="459" hidden="1">
      <c r="A459" s="136"/>
      <c r="B459" s="163"/>
      <c r="C459" s="136"/>
      <c r="D459" s="136"/>
      <c r="E459" s="136"/>
      <c r="F459" s="136"/>
      <c r="G459" s="136"/>
      <c r="H459" s="82" t="e">
        <v>#N/A</v>
      </c>
      <c r="I459" s="136"/>
      <c r="J459" s="136"/>
    </row>
    <row r="460" hidden="1">
      <c r="A460" s="136"/>
      <c r="B460" s="163"/>
      <c r="C460" s="136"/>
      <c r="D460" s="136"/>
      <c r="E460" s="136"/>
      <c r="F460" s="136"/>
      <c r="G460" s="136"/>
      <c r="H460" s="82" t="e">
        <v>#N/A</v>
      </c>
      <c r="I460" s="136"/>
      <c r="J460" s="136"/>
    </row>
    <row r="461" hidden="1">
      <c r="A461" s="136"/>
      <c r="B461" s="163"/>
      <c r="C461" s="136"/>
      <c r="D461" s="136"/>
      <c r="E461" s="136"/>
      <c r="F461" s="136"/>
      <c r="G461" s="136"/>
      <c r="H461" s="82" t="e">
        <v>#N/A</v>
      </c>
      <c r="I461" s="136"/>
      <c r="J461" s="136"/>
    </row>
    <row r="462" hidden="1">
      <c r="A462" s="136"/>
      <c r="B462" s="163"/>
      <c r="C462" s="136"/>
      <c r="D462" s="136"/>
      <c r="E462" s="136"/>
      <c r="F462" s="136"/>
      <c r="G462" s="136"/>
      <c r="H462" s="82" t="e">
        <v>#N/A</v>
      </c>
      <c r="I462" s="136"/>
      <c r="J462" s="136"/>
    </row>
    <row r="463" hidden="1">
      <c r="A463" s="136"/>
      <c r="B463" s="163"/>
      <c r="C463" s="136"/>
      <c r="D463" s="136"/>
      <c r="E463" s="136"/>
      <c r="F463" s="136"/>
      <c r="G463" s="136"/>
      <c r="H463" s="82" t="e">
        <v>#N/A</v>
      </c>
      <c r="I463" s="136"/>
      <c r="J463" s="136"/>
    </row>
    <row r="464" hidden="1">
      <c r="A464" s="136"/>
      <c r="B464" s="163"/>
      <c r="C464" s="136"/>
      <c r="D464" s="136"/>
      <c r="E464" s="136"/>
      <c r="F464" s="136"/>
      <c r="G464" s="136"/>
      <c r="H464" s="82" t="e">
        <v>#N/A</v>
      </c>
      <c r="I464" s="136"/>
      <c r="J464" s="136"/>
    </row>
    <row r="465" hidden="1">
      <c r="A465" s="136"/>
      <c r="B465" s="163"/>
      <c r="C465" s="136"/>
      <c r="D465" s="136"/>
      <c r="E465" s="136"/>
      <c r="F465" s="136"/>
      <c r="G465" s="136"/>
      <c r="H465" s="82" t="e">
        <v>#N/A</v>
      </c>
      <c r="I465" s="136"/>
      <c r="J465" s="136"/>
    </row>
    <row r="466" hidden="1">
      <c r="A466" s="136"/>
      <c r="B466" s="163"/>
      <c r="C466" s="136"/>
      <c r="D466" s="136"/>
      <c r="E466" s="136"/>
      <c r="F466" s="136"/>
      <c r="G466" s="136"/>
      <c r="H466" s="82" t="e">
        <v>#N/A</v>
      </c>
      <c r="I466" s="136"/>
      <c r="J466" s="136"/>
    </row>
    <row r="467" hidden="1">
      <c r="A467" s="136"/>
      <c r="B467" s="163"/>
      <c r="C467" s="136"/>
      <c r="D467" s="136"/>
      <c r="E467" s="136"/>
      <c r="F467" s="136"/>
      <c r="G467" s="136"/>
      <c r="H467" s="82" t="e">
        <v>#N/A</v>
      </c>
      <c r="I467" s="136"/>
      <c r="J467" s="136"/>
    </row>
    <row r="468" hidden="1">
      <c r="A468" s="136"/>
      <c r="B468" s="163"/>
      <c r="C468" s="136"/>
      <c r="D468" s="136"/>
      <c r="E468" s="136"/>
      <c r="F468" s="136"/>
      <c r="G468" s="136"/>
      <c r="H468" s="82" t="e">
        <v>#N/A</v>
      </c>
      <c r="I468" s="136"/>
      <c r="J468" s="136"/>
    </row>
    <row r="469" hidden="1">
      <c r="A469" s="136"/>
      <c r="B469" s="163"/>
      <c r="C469" s="136"/>
      <c r="D469" s="136"/>
      <c r="E469" s="136"/>
      <c r="F469" s="136"/>
      <c r="G469" s="136"/>
      <c r="H469" s="82" t="e">
        <v>#N/A</v>
      </c>
      <c r="I469" s="136"/>
      <c r="J469" s="136"/>
    </row>
    <row r="470" hidden="1">
      <c r="A470" s="136"/>
      <c r="B470" s="163"/>
      <c r="C470" s="136"/>
      <c r="D470" s="136"/>
      <c r="E470" s="136"/>
      <c r="F470" s="136"/>
      <c r="G470" s="136"/>
      <c r="H470" s="82" t="e">
        <v>#N/A</v>
      </c>
      <c r="I470" s="136"/>
      <c r="J470" s="136"/>
    </row>
    <row r="471" hidden="1">
      <c r="A471" s="136"/>
      <c r="B471" s="163"/>
      <c r="C471" s="136"/>
      <c r="D471" s="136"/>
      <c r="E471" s="136"/>
      <c r="F471" s="136"/>
      <c r="G471" s="136"/>
      <c r="H471" s="82" t="e">
        <v>#N/A</v>
      </c>
      <c r="I471" s="136"/>
      <c r="J471" s="136"/>
    </row>
    <row r="472" hidden="1">
      <c r="A472" s="136"/>
      <c r="B472" s="163"/>
      <c r="C472" s="136"/>
      <c r="D472" s="136"/>
      <c r="E472" s="136"/>
      <c r="F472" s="136"/>
      <c r="G472" s="136"/>
      <c r="H472" s="82" t="e">
        <v>#N/A</v>
      </c>
      <c r="I472" s="136"/>
      <c r="J472" s="136"/>
    </row>
    <row r="473" hidden="1">
      <c r="A473" s="136"/>
      <c r="B473" s="163"/>
      <c r="C473" s="136"/>
      <c r="D473" s="136"/>
      <c r="E473" s="136"/>
      <c r="F473" s="136"/>
      <c r="G473" s="136"/>
      <c r="H473" s="82" t="e">
        <v>#N/A</v>
      </c>
      <c r="I473" s="136"/>
      <c r="J473" s="136"/>
    </row>
    <row r="474" hidden="1">
      <c r="A474" s="136"/>
      <c r="B474" s="163"/>
      <c r="C474" s="136"/>
      <c r="D474" s="136"/>
      <c r="E474" s="136"/>
      <c r="F474" s="136"/>
      <c r="G474" s="136"/>
      <c r="H474" s="82" t="e">
        <v>#N/A</v>
      </c>
      <c r="I474" s="136"/>
      <c r="J474" s="136"/>
    </row>
    <row r="475" hidden="1">
      <c r="A475" s="136"/>
      <c r="B475" s="163"/>
      <c r="C475" s="136"/>
      <c r="D475" s="136"/>
      <c r="E475" s="136"/>
      <c r="F475" s="136"/>
      <c r="G475" s="136"/>
      <c r="H475" s="82" t="e">
        <v>#N/A</v>
      </c>
      <c r="I475" s="136"/>
      <c r="J475" s="136"/>
    </row>
    <row r="476" hidden="1">
      <c r="A476" s="136"/>
      <c r="B476" s="163"/>
      <c r="C476" s="136"/>
      <c r="D476" s="136"/>
      <c r="E476" s="136"/>
      <c r="F476" s="136"/>
      <c r="G476" s="136"/>
      <c r="H476" s="82" t="e">
        <v>#N/A</v>
      </c>
      <c r="I476" s="136"/>
      <c r="J476" s="136"/>
    </row>
    <row r="477" hidden="1">
      <c r="A477" s="136"/>
      <c r="B477" s="163"/>
      <c r="C477" s="136"/>
      <c r="D477" s="136"/>
      <c r="E477" s="136"/>
      <c r="F477" s="136"/>
      <c r="G477" s="136"/>
      <c r="H477" s="82" t="e">
        <v>#N/A</v>
      </c>
      <c r="I477" s="136"/>
      <c r="J477" s="136"/>
    </row>
    <row r="478" hidden="1">
      <c r="A478" s="136"/>
      <c r="B478" s="163"/>
      <c r="C478" s="136"/>
      <c r="D478" s="136"/>
      <c r="E478" s="136"/>
      <c r="F478" s="136"/>
      <c r="G478" s="136"/>
      <c r="H478" s="82" t="e">
        <v>#N/A</v>
      </c>
      <c r="I478" s="136"/>
      <c r="J478" s="136"/>
    </row>
    <row r="479" hidden="1">
      <c r="A479" s="136"/>
      <c r="B479" s="163"/>
      <c r="C479" s="136"/>
      <c r="D479" s="136"/>
      <c r="E479" s="136"/>
      <c r="F479" s="136"/>
      <c r="G479" s="136"/>
      <c r="H479" s="82" t="e">
        <v>#N/A</v>
      </c>
      <c r="I479" s="136"/>
      <c r="J479" s="136"/>
    </row>
    <row r="480" hidden="1">
      <c r="A480" s="136"/>
      <c r="B480" s="163"/>
      <c r="C480" s="136"/>
      <c r="D480" s="136"/>
      <c r="E480" s="136"/>
      <c r="F480" s="136"/>
      <c r="G480" s="136"/>
      <c r="H480" s="82" t="e">
        <v>#N/A</v>
      </c>
      <c r="I480" s="136"/>
      <c r="J480" s="136"/>
    </row>
    <row r="481" hidden="1">
      <c r="A481" s="136"/>
      <c r="B481" s="163"/>
      <c r="C481" s="136"/>
      <c r="D481" s="136"/>
      <c r="E481" s="136"/>
      <c r="F481" s="136"/>
      <c r="G481" s="136"/>
      <c r="H481" s="82" t="e">
        <v>#N/A</v>
      </c>
      <c r="I481" s="136"/>
      <c r="J481" s="136"/>
    </row>
    <row r="482" hidden="1">
      <c r="A482" s="136"/>
      <c r="B482" s="163"/>
      <c r="C482" s="136"/>
      <c r="D482" s="136"/>
      <c r="E482" s="136"/>
      <c r="F482" s="136"/>
      <c r="G482" s="136"/>
      <c r="H482" s="82" t="e">
        <v>#N/A</v>
      </c>
      <c r="I482" s="136"/>
      <c r="J482" s="136"/>
    </row>
    <row r="483" hidden="1">
      <c r="A483" s="136"/>
      <c r="B483" s="163"/>
      <c r="C483" s="136"/>
      <c r="D483" s="136"/>
      <c r="E483" s="136"/>
      <c r="F483" s="136"/>
      <c r="G483" s="136"/>
      <c r="H483" s="82" t="e">
        <v>#N/A</v>
      </c>
      <c r="I483" s="136"/>
      <c r="J483" s="136"/>
    </row>
    <row r="484" hidden="1">
      <c r="A484" s="136"/>
      <c r="B484" s="163"/>
      <c r="C484" s="136"/>
      <c r="D484" s="136"/>
      <c r="E484" s="136"/>
      <c r="F484" s="136"/>
      <c r="G484" s="136"/>
      <c r="H484" s="82" t="e">
        <v>#N/A</v>
      </c>
      <c r="I484" s="136"/>
      <c r="J484" s="136"/>
    </row>
    <row r="485" hidden="1">
      <c r="A485" s="136"/>
      <c r="B485" s="163"/>
      <c r="C485" s="136"/>
      <c r="D485" s="136"/>
      <c r="E485" s="136"/>
      <c r="F485" s="136"/>
      <c r="G485" s="136"/>
      <c r="H485" s="82" t="e">
        <v>#N/A</v>
      </c>
      <c r="I485" s="136"/>
      <c r="J485" s="136"/>
    </row>
    <row r="486" hidden="1">
      <c r="A486" s="136"/>
      <c r="B486" s="163"/>
      <c r="C486" s="136"/>
      <c r="D486" s="136"/>
      <c r="E486" s="136"/>
      <c r="F486" s="136"/>
      <c r="G486" s="136"/>
      <c r="H486" s="82" t="e">
        <v>#N/A</v>
      </c>
      <c r="I486" s="136"/>
      <c r="J486" s="136"/>
    </row>
    <row r="487" hidden="1">
      <c r="A487" s="136"/>
      <c r="B487" s="163"/>
      <c r="C487" s="136"/>
      <c r="D487" s="136"/>
      <c r="E487" s="136"/>
      <c r="F487" s="136"/>
      <c r="G487" s="136"/>
      <c r="H487" s="82" t="e">
        <v>#N/A</v>
      </c>
      <c r="I487" s="136"/>
      <c r="J487" s="136"/>
    </row>
    <row r="488" hidden="1">
      <c r="A488" s="136"/>
      <c r="B488" s="163"/>
      <c r="C488" s="136"/>
      <c r="D488" s="136"/>
      <c r="E488" s="136"/>
      <c r="F488" s="136"/>
      <c r="G488" s="136"/>
      <c r="H488" s="82" t="e">
        <v>#N/A</v>
      </c>
      <c r="I488" s="136"/>
      <c r="J488" s="136"/>
    </row>
    <row r="489" hidden="1">
      <c r="A489" s="136"/>
      <c r="B489" s="163"/>
      <c r="C489" s="136"/>
      <c r="D489" s="136"/>
      <c r="E489" s="136"/>
      <c r="F489" s="136"/>
      <c r="G489" s="136"/>
      <c r="H489" s="82" t="e">
        <v>#N/A</v>
      </c>
      <c r="I489" s="136"/>
      <c r="J489" s="136"/>
    </row>
    <row r="490" hidden="1">
      <c r="A490" s="136"/>
      <c r="B490" s="163"/>
      <c r="C490" s="136"/>
      <c r="D490" s="136"/>
      <c r="E490" s="136"/>
      <c r="F490" s="136"/>
      <c r="G490" s="136"/>
      <c r="H490" s="82" t="e">
        <v>#N/A</v>
      </c>
      <c r="I490" s="136"/>
      <c r="J490" s="136"/>
    </row>
    <row r="491" hidden="1">
      <c r="A491" s="136"/>
      <c r="B491" s="163"/>
      <c r="C491" s="136"/>
      <c r="D491" s="136"/>
      <c r="E491" s="136"/>
      <c r="F491" s="136"/>
      <c r="G491" s="136"/>
      <c r="H491" s="82" t="e">
        <v>#N/A</v>
      </c>
      <c r="I491" s="136"/>
      <c r="J491" s="136"/>
    </row>
    <row r="492" hidden="1">
      <c r="A492" s="136"/>
      <c r="B492" s="163"/>
      <c r="C492" s="136"/>
      <c r="D492" s="136"/>
      <c r="E492" s="136"/>
      <c r="F492" s="136"/>
      <c r="G492" s="136"/>
      <c r="H492" s="82" t="e">
        <v>#N/A</v>
      </c>
      <c r="I492" s="136"/>
      <c r="J492" s="136"/>
    </row>
    <row r="493" hidden="1">
      <c r="A493" s="136"/>
      <c r="B493" s="163"/>
      <c r="C493" s="136"/>
      <c r="D493" s="136"/>
      <c r="E493" s="136"/>
      <c r="F493" s="136"/>
      <c r="G493" s="136"/>
      <c r="H493" s="82" t="e">
        <v>#N/A</v>
      </c>
      <c r="I493" s="136"/>
      <c r="J493" s="136"/>
    </row>
    <row r="494" hidden="1">
      <c r="A494" s="136"/>
      <c r="B494" s="163"/>
      <c r="C494" s="136"/>
      <c r="D494" s="136"/>
      <c r="E494" s="136"/>
      <c r="F494" s="136"/>
      <c r="G494" s="136"/>
      <c r="H494" s="82" t="e">
        <v>#N/A</v>
      </c>
      <c r="I494" s="136"/>
      <c r="J494" s="136"/>
    </row>
    <row r="495" hidden="1">
      <c r="A495" s="136"/>
      <c r="B495" s="163"/>
      <c r="C495" s="136"/>
      <c r="D495" s="136"/>
      <c r="E495" s="136"/>
      <c r="F495" s="136"/>
      <c r="G495" s="136"/>
      <c r="H495" s="82" t="e">
        <v>#N/A</v>
      </c>
      <c r="I495" s="136"/>
      <c r="J495" s="136"/>
    </row>
    <row r="496" hidden="1">
      <c r="A496" s="136"/>
      <c r="B496" s="163"/>
      <c r="C496" s="136"/>
      <c r="D496" s="136"/>
      <c r="E496" s="136"/>
      <c r="F496" s="136"/>
      <c r="G496" s="136"/>
      <c r="H496" s="82" t="e">
        <v>#N/A</v>
      </c>
      <c r="I496" s="136"/>
      <c r="J496" s="136"/>
    </row>
    <row r="497" hidden="1">
      <c r="A497" s="136"/>
      <c r="B497" s="163"/>
      <c r="C497" s="136"/>
      <c r="D497" s="136"/>
      <c r="E497" s="136"/>
      <c r="F497" s="136"/>
      <c r="G497" s="136"/>
      <c r="H497" s="82" t="e">
        <v>#N/A</v>
      </c>
      <c r="I497" s="136"/>
      <c r="J497" s="136"/>
    </row>
    <row r="498" hidden="1">
      <c r="A498" s="136"/>
      <c r="B498" s="163"/>
      <c r="C498" s="136"/>
      <c r="D498" s="136"/>
      <c r="E498" s="136"/>
      <c r="F498" s="136"/>
      <c r="G498" s="136"/>
      <c r="H498" s="82" t="e">
        <v>#N/A</v>
      </c>
      <c r="I498" s="136"/>
      <c r="J498" s="136"/>
    </row>
    <row r="499" hidden="1">
      <c r="A499" s="136"/>
      <c r="B499" s="163"/>
      <c r="C499" s="136"/>
      <c r="D499" s="136"/>
      <c r="E499" s="136"/>
      <c r="F499" s="136"/>
      <c r="G499" s="136"/>
      <c r="H499" s="82" t="e">
        <v>#N/A</v>
      </c>
      <c r="I499" s="136"/>
      <c r="J499" s="136"/>
    </row>
    <row r="500" hidden="1">
      <c r="A500" s="136"/>
      <c r="B500" s="163"/>
      <c r="C500" s="136"/>
      <c r="D500" s="136"/>
      <c r="E500" s="136"/>
      <c r="F500" s="136"/>
      <c r="G500" s="136"/>
      <c r="H500" s="82" t="e">
        <v>#N/A</v>
      </c>
      <c r="I500" s="136"/>
      <c r="J500" s="136"/>
    </row>
    <row r="501" hidden="1">
      <c r="A501" s="136"/>
      <c r="B501" s="163"/>
      <c r="C501" s="136"/>
      <c r="D501" s="136"/>
      <c r="E501" s="136"/>
      <c r="F501" s="136"/>
      <c r="G501" s="136"/>
      <c r="H501" s="82" t="e">
        <v>#N/A</v>
      </c>
      <c r="I501" s="136"/>
      <c r="J501" s="136"/>
    </row>
    <row r="502" hidden="1">
      <c r="A502" s="136"/>
      <c r="B502" s="163"/>
      <c r="C502" s="136"/>
      <c r="D502" s="136"/>
      <c r="E502" s="136"/>
      <c r="F502" s="136"/>
      <c r="G502" s="136"/>
      <c r="H502" s="82" t="e">
        <v>#N/A</v>
      </c>
      <c r="I502" s="136"/>
      <c r="J502" s="136"/>
    </row>
    <row r="503" hidden="1">
      <c r="A503" s="136"/>
      <c r="B503" s="163"/>
      <c r="C503" s="136"/>
      <c r="D503" s="136"/>
      <c r="E503" s="136"/>
      <c r="F503" s="136"/>
      <c r="G503" s="136"/>
      <c r="H503" s="82" t="e">
        <v>#N/A</v>
      </c>
      <c r="I503" s="136"/>
      <c r="J503" s="136"/>
    </row>
    <row r="504" hidden="1">
      <c r="A504" s="136"/>
      <c r="B504" s="163"/>
      <c r="C504" s="136"/>
      <c r="D504" s="136"/>
      <c r="E504" s="136"/>
      <c r="F504" s="136"/>
      <c r="G504" s="136"/>
      <c r="H504" s="82" t="e">
        <v>#N/A</v>
      </c>
      <c r="I504" s="136"/>
      <c r="J504" s="136"/>
    </row>
    <row r="505" hidden="1">
      <c r="A505" s="136"/>
      <c r="B505" s="163"/>
      <c r="C505" s="136"/>
      <c r="D505" s="136"/>
      <c r="E505" s="136"/>
      <c r="F505" s="136"/>
      <c r="G505" s="136"/>
      <c r="H505" s="82" t="e">
        <v>#N/A</v>
      </c>
      <c r="I505" s="136"/>
      <c r="J505" s="136"/>
    </row>
    <row r="506" hidden="1">
      <c r="A506" s="136"/>
      <c r="B506" s="163"/>
      <c r="C506" s="136"/>
      <c r="D506" s="136"/>
      <c r="E506" s="136"/>
      <c r="F506" s="136"/>
      <c r="G506" s="136"/>
      <c r="H506" s="82" t="e">
        <v>#N/A</v>
      </c>
      <c r="I506" s="136"/>
      <c r="J506" s="136"/>
    </row>
    <row r="507" hidden="1">
      <c r="A507" s="136"/>
      <c r="B507" s="163"/>
      <c r="C507" s="136"/>
      <c r="D507" s="136"/>
      <c r="E507" s="136"/>
      <c r="F507" s="136"/>
      <c r="G507" s="136"/>
      <c r="H507" s="82" t="e">
        <v>#N/A</v>
      </c>
      <c r="I507" s="136"/>
      <c r="J507" s="136"/>
    </row>
    <row r="508" hidden="1">
      <c r="A508" s="136"/>
      <c r="B508" s="163"/>
      <c r="C508" s="136"/>
      <c r="D508" s="136"/>
      <c r="E508" s="136"/>
      <c r="F508" s="136"/>
      <c r="G508" s="136"/>
      <c r="H508" s="82" t="e">
        <v>#N/A</v>
      </c>
      <c r="I508" s="136"/>
      <c r="J508" s="136"/>
    </row>
    <row r="509" hidden="1">
      <c r="A509" s="136"/>
      <c r="B509" s="163"/>
      <c r="C509" s="136"/>
      <c r="D509" s="136"/>
      <c r="E509" s="136"/>
      <c r="F509" s="136"/>
      <c r="G509" s="136"/>
      <c r="H509" s="82" t="e">
        <v>#N/A</v>
      </c>
      <c r="I509" s="136"/>
      <c r="J509" s="136"/>
    </row>
    <row r="510" hidden="1">
      <c r="A510" s="136"/>
      <c r="B510" s="163"/>
      <c r="C510" s="136"/>
      <c r="D510" s="136"/>
      <c r="E510" s="136"/>
      <c r="F510" s="136"/>
      <c r="G510" s="136"/>
      <c r="H510" s="82" t="e">
        <v>#N/A</v>
      </c>
      <c r="I510" s="136"/>
      <c r="J510" s="136"/>
    </row>
    <row r="511" hidden="1">
      <c r="A511" s="136"/>
      <c r="B511" s="163"/>
      <c r="C511" s="136"/>
      <c r="D511" s="136"/>
      <c r="E511" s="136"/>
      <c r="F511" s="136"/>
      <c r="G511" s="136"/>
      <c r="H511" s="82" t="e">
        <v>#N/A</v>
      </c>
      <c r="I511" s="136"/>
      <c r="J511" s="136"/>
    </row>
    <row r="512" hidden="1">
      <c r="A512" s="136"/>
      <c r="B512" s="163"/>
      <c r="C512" s="136"/>
      <c r="D512" s="136"/>
      <c r="E512" s="136"/>
      <c r="F512" s="136"/>
      <c r="G512" s="136"/>
      <c r="H512" s="82" t="e">
        <v>#N/A</v>
      </c>
      <c r="I512" s="136"/>
      <c r="J512" s="136"/>
    </row>
    <row r="513" hidden="1">
      <c r="A513" s="136"/>
      <c r="B513" s="163"/>
      <c r="C513" s="136"/>
      <c r="D513" s="136"/>
      <c r="E513" s="136"/>
      <c r="F513" s="136"/>
      <c r="G513" s="136"/>
      <c r="H513" s="82" t="e">
        <v>#N/A</v>
      </c>
      <c r="I513" s="136"/>
      <c r="J513" s="136"/>
    </row>
    <row r="514" hidden="1">
      <c r="A514" s="136"/>
      <c r="B514" s="163"/>
      <c r="C514" s="136"/>
      <c r="D514" s="136"/>
      <c r="E514" s="136"/>
      <c r="F514" s="136"/>
      <c r="G514" s="136"/>
      <c r="H514" s="82" t="e">
        <v>#N/A</v>
      </c>
      <c r="I514" s="136"/>
      <c r="J514" s="136"/>
    </row>
    <row r="515" hidden="1">
      <c r="A515" s="136"/>
      <c r="B515" s="163"/>
      <c r="C515" s="136"/>
      <c r="D515" s="136"/>
      <c r="E515" s="136"/>
      <c r="F515" s="136"/>
      <c r="G515" s="136"/>
      <c r="H515" s="82" t="e">
        <v>#N/A</v>
      </c>
      <c r="I515" s="136"/>
      <c r="J515" s="136"/>
    </row>
    <row r="516" hidden="1">
      <c r="A516" s="136"/>
      <c r="B516" s="163"/>
      <c r="C516" s="136"/>
      <c r="D516" s="136"/>
      <c r="E516" s="136"/>
      <c r="F516" s="136"/>
      <c r="G516" s="136"/>
      <c r="H516" s="82" t="e">
        <v>#N/A</v>
      </c>
      <c r="I516" s="136"/>
      <c r="J516" s="136"/>
    </row>
    <row r="517" hidden="1">
      <c r="A517" s="136"/>
      <c r="B517" s="163"/>
      <c r="C517" s="136"/>
      <c r="D517" s="136"/>
      <c r="E517" s="136"/>
      <c r="F517" s="136"/>
      <c r="G517" s="136"/>
      <c r="H517" s="82" t="e">
        <v>#N/A</v>
      </c>
      <c r="I517" s="136"/>
      <c r="J517" s="136"/>
    </row>
    <row r="518" hidden="1">
      <c r="A518" s="136"/>
      <c r="B518" s="163"/>
      <c r="C518" s="136"/>
      <c r="D518" s="136"/>
      <c r="E518" s="136"/>
      <c r="F518" s="136"/>
      <c r="G518" s="136"/>
      <c r="H518" s="82" t="e">
        <v>#N/A</v>
      </c>
      <c r="I518" s="136"/>
      <c r="J518" s="136"/>
    </row>
    <row r="519" hidden="1">
      <c r="A519" s="136"/>
      <c r="B519" s="163"/>
      <c r="C519" s="136"/>
      <c r="D519" s="136"/>
      <c r="E519" s="136"/>
      <c r="F519" s="136"/>
      <c r="G519" s="136"/>
      <c r="H519" s="82" t="e">
        <v>#N/A</v>
      </c>
      <c r="I519" s="136"/>
      <c r="J519" s="136"/>
    </row>
    <row r="520" hidden="1">
      <c r="A520" s="136"/>
      <c r="B520" s="163"/>
      <c r="C520" s="136"/>
      <c r="D520" s="136"/>
      <c r="E520" s="136"/>
      <c r="F520" s="136"/>
      <c r="G520" s="136"/>
      <c r="H520" s="82" t="e">
        <v>#N/A</v>
      </c>
      <c r="I520" s="136"/>
      <c r="J520" s="136"/>
    </row>
    <row r="521" hidden="1">
      <c r="A521" s="136"/>
      <c r="B521" s="163"/>
      <c r="C521" s="136"/>
      <c r="D521" s="136"/>
      <c r="E521" s="136"/>
      <c r="F521" s="136"/>
      <c r="G521" s="136"/>
      <c r="H521" s="82" t="e">
        <v>#N/A</v>
      </c>
      <c r="I521" s="136"/>
      <c r="J521" s="136"/>
    </row>
    <row r="522" hidden="1">
      <c r="A522" s="136"/>
      <c r="B522" s="163"/>
      <c r="C522" s="136"/>
      <c r="D522" s="136"/>
      <c r="E522" s="136"/>
      <c r="F522" s="136"/>
      <c r="G522" s="136"/>
      <c r="H522" s="82" t="e">
        <v>#N/A</v>
      </c>
      <c r="I522" s="136"/>
      <c r="J522" s="136"/>
    </row>
    <row r="523" hidden="1">
      <c r="A523" s="136"/>
      <c r="B523" s="163"/>
      <c r="C523" s="136"/>
      <c r="D523" s="136"/>
      <c r="E523" s="136"/>
      <c r="F523" s="136"/>
      <c r="G523" s="136"/>
      <c r="H523" s="82" t="e">
        <v>#N/A</v>
      </c>
      <c r="I523" s="136"/>
      <c r="J523" s="136"/>
    </row>
    <row r="524" hidden="1">
      <c r="A524" s="136"/>
      <c r="B524" s="163"/>
      <c r="C524" s="136"/>
      <c r="D524" s="136"/>
      <c r="E524" s="136"/>
      <c r="F524" s="136"/>
      <c r="G524" s="136"/>
      <c r="H524" s="82" t="e">
        <v>#N/A</v>
      </c>
      <c r="I524" s="136"/>
      <c r="J524" s="136"/>
    </row>
    <row r="525" hidden="1">
      <c r="A525" s="136"/>
      <c r="B525" s="163"/>
      <c r="C525" s="136"/>
      <c r="D525" s="136"/>
      <c r="E525" s="136"/>
      <c r="F525" s="136"/>
      <c r="G525" s="136"/>
      <c r="H525" s="82" t="e">
        <v>#N/A</v>
      </c>
      <c r="I525" s="136"/>
      <c r="J525" s="136"/>
    </row>
    <row r="526" hidden="1">
      <c r="A526" s="136"/>
      <c r="B526" s="163"/>
      <c r="C526" s="136"/>
      <c r="D526" s="136"/>
      <c r="E526" s="136"/>
      <c r="F526" s="136"/>
      <c r="G526" s="136"/>
      <c r="H526" s="82" t="e">
        <v>#N/A</v>
      </c>
      <c r="I526" s="136"/>
      <c r="J526" s="136"/>
    </row>
    <row r="527" hidden="1">
      <c r="A527" s="136"/>
      <c r="B527" s="163"/>
      <c r="C527" s="136"/>
      <c r="D527" s="136"/>
      <c r="E527" s="136"/>
      <c r="F527" s="136"/>
      <c r="G527" s="136"/>
      <c r="H527" s="82" t="e">
        <v>#N/A</v>
      </c>
      <c r="I527" s="136"/>
      <c r="J527" s="136"/>
    </row>
    <row r="528" hidden="1">
      <c r="A528" s="136"/>
      <c r="B528" s="163"/>
      <c r="C528" s="136"/>
      <c r="D528" s="136"/>
      <c r="E528" s="136"/>
      <c r="F528" s="136"/>
      <c r="G528" s="136"/>
      <c r="H528" s="82" t="e">
        <v>#N/A</v>
      </c>
      <c r="I528" s="136"/>
      <c r="J528" s="136"/>
    </row>
    <row r="529" hidden="1">
      <c r="A529" s="136"/>
      <c r="B529" s="163"/>
      <c r="C529" s="136"/>
      <c r="D529" s="136"/>
      <c r="E529" s="136"/>
      <c r="F529" s="136"/>
      <c r="G529" s="136"/>
      <c r="H529" s="82" t="e">
        <v>#N/A</v>
      </c>
      <c r="I529" s="136"/>
      <c r="J529" s="136"/>
    </row>
    <row r="530" hidden="1">
      <c r="A530" s="136"/>
      <c r="B530" s="163"/>
      <c r="C530" s="136"/>
      <c r="D530" s="136"/>
      <c r="E530" s="136"/>
      <c r="F530" s="136"/>
      <c r="G530" s="136"/>
      <c r="H530" s="82" t="e">
        <v>#N/A</v>
      </c>
      <c r="I530" s="136"/>
      <c r="J530" s="136"/>
    </row>
    <row r="531" hidden="1">
      <c r="A531" s="136"/>
      <c r="B531" s="163"/>
      <c r="C531" s="136"/>
      <c r="D531" s="136"/>
      <c r="E531" s="136"/>
      <c r="F531" s="136"/>
      <c r="G531" s="136"/>
      <c r="H531" s="82" t="e">
        <v>#N/A</v>
      </c>
      <c r="I531" s="136"/>
      <c r="J531" s="136"/>
    </row>
    <row r="532" hidden="1">
      <c r="A532" s="136"/>
      <c r="B532" s="163"/>
      <c r="C532" s="136"/>
      <c r="D532" s="136"/>
      <c r="E532" s="136"/>
      <c r="F532" s="136"/>
      <c r="G532" s="136"/>
      <c r="H532" s="82" t="e">
        <v>#N/A</v>
      </c>
      <c r="I532" s="136"/>
      <c r="J532" s="136"/>
    </row>
    <row r="533" hidden="1">
      <c r="A533" s="136"/>
      <c r="B533" s="163"/>
      <c r="C533" s="136"/>
      <c r="D533" s="136"/>
      <c r="E533" s="136"/>
      <c r="F533" s="136"/>
      <c r="G533" s="136"/>
      <c r="H533" s="82" t="e">
        <v>#N/A</v>
      </c>
      <c r="I533" s="136"/>
      <c r="J533" s="136"/>
    </row>
    <row r="534" hidden="1">
      <c r="A534" s="136"/>
      <c r="B534" s="163"/>
      <c r="C534" s="136"/>
      <c r="D534" s="136"/>
      <c r="E534" s="136"/>
      <c r="F534" s="136"/>
      <c r="G534" s="136"/>
      <c r="H534" s="82" t="e">
        <v>#N/A</v>
      </c>
      <c r="I534" s="136"/>
      <c r="J534" s="136"/>
    </row>
    <row r="535" hidden="1">
      <c r="A535" s="136"/>
      <c r="B535" s="163"/>
      <c r="C535" s="136"/>
      <c r="D535" s="136"/>
      <c r="E535" s="136"/>
      <c r="F535" s="136"/>
      <c r="G535" s="136"/>
      <c r="H535" s="82" t="e">
        <v>#N/A</v>
      </c>
      <c r="I535" s="136"/>
      <c r="J535" s="136"/>
    </row>
    <row r="536" hidden="1">
      <c r="A536" s="136"/>
      <c r="B536" s="163"/>
      <c r="C536" s="136"/>
      <c r="D536" s="136"/>
      <c r="E536" s="136"/>
      <c r="F536" s="136"/>
      <c r="G536" s="136"/>
      <c r="H536" s="82" t="e">
        <v>#N/A</v>
      </c>
      <c r="I536" s="136"/>
      <c r="J536" s="136"/>
    </row>
    <row r="537" hidden="1">
      <c r="A537" s="136"/>
      <c r="B537" s="163"/>
      <c r="C537" s="136"/>
      <c r="D537" s="136"/>
      <c r="E537" s="136"/>
      <c r="F537" s="136"/>
      <c r="G537" s="136"/>
      <c r="H537" s="82" t="e">
        <v>#N/A</v>
      </c>
      <c r="I537" s="136"/>
      <c r="J537" s="136"/>
    </row>
    <row r="538" hidden="1">
      <c r="A538" s="136"/>
      <c r="B538" s="163"/>
      <c r="C538" s="136"/>
      <c r="D538" s="136"/>
      <c r="E538" s="136"/>
      <c r="F538" s="136"/>
      <c r="G538" s="136"/>
      <c r="H538" s="82" t="e">
        <v>#N/A</v>
      </c>
      <c r="I538" s="136"/>
      <c r="J538" s="136"/>
    </row>
    <row r="539" hidden="1">
      <c r="A539" s="136"/>
      <c r="B539" s="163"/>
      <c r="C539" s="136"/>
      <c r="D539" s="136"/>
      <c r="E539" s="136"/>
      <c r="F539" s="136"/>
      <c r="G539" s="136"/>
      <c r="H539" s="82" t="e">
        <v>#N/A</v>
      </c>
      <c r="I539" s="136"/>
      <c r="J539" s="136"/>
    </row>
    <row r="540" hidden="1">
      <c r="A540" s="136"/>
      <c r="B540" s="163"/>
      <c r="C540" s="136"/>
      <c r="D540" s="136"/>
      <c r="E540" s="136"/>
      <c r="F540" s="136"/>
      <c r="G540" s="136"/>
      <c r="H540" s="82" t="e">
        <v>#N/A</v>
      </c>
      <c r="I540" s="136"/>
      <c r="J540" s="136"/>
    </row>
    <row r="541" hidden="1">
      <c r="A541" s="136"/>
      <c r="B541" s="163"/>
      <c r="C541" s="136"/>
      <c r="D541" s="136"/>
      <c r="E541" s="136"/>
      <c r="F541" s="136"/>
      <c r="G541" s="136"/>
      <c r="H541" s="82" t="e">
        <v>#N/A</v>
      </c>
      <c r="I541" s="136"/>
      <c r="J541" s="136"/>
    </row>
    <row r="542" hidden="1">
      <c r="A542" s="136"/>
      <c r="B542" s="163"/>
      <c r="C542" s="136"/>
      <c r="D542" s="136"/>
      <c r="E542" s="136"/>
      <c r="F542" s="136"/>
      <c r="G542" s="136"/>
      <c r="H542" s="82" t="e">
        <v>#N/A</v>
      </c>
      <c r="I542" s="136"/>
      <c r="J542" s="136"/>
    </row>
    <row r="543" hidden="1">
      <c r="A543" s="136"/>
      <c r="B543" s="163"/>
      <c r="C543" s="136"/>
      <c r="D543" s="136"/>
      <c r="E543" s="136"/>
      <c r="F543" s="136"/>
      <c r="G543" s="136"/>
      <c r="H543" s="82" t="e">
        <v>#N/A</v>
      </c>
      <c r="I543" s="136"/>
      <c r="J543" s="136"/>
    </row>
    <row r="544" hidden="1">
      <c r="A544" s="136"/>
      <c r="B544" s="163"/>
      <c r="C544" s="136"/>
      <c r="D544" s="136"/>
      <c r="E544" s="136"/>
      <c r="F544" s="136"/>
      <c r="G544" s="136"/>
      <c r="H544" s="82" t="e">
        <v>#N/A</v>
      </c>
      <c r="I544" s="136"/>
      <c r="J544" s="136"/>
    </row>
    <row r="545" hidden="1">
      <c r="A545" s="136"/>
      <c r="B545" s="163"/>
      <c r="C545" s="136"/>
      <c r="D545" s="136"/>
      <c r="E545" s="136"/>
      <c r="F545" s="136"/>
      <c r="G545" s="136"/>
      <c r="H545" s="82" t="e">
        <v>#N/A</v>
      </c>
      <c r="I545" s="136"/>
      <c r="J545" s="136"/>
    </row>
    <row r="546" hidden="1">
      <c r="A546" s="136"/>
      <c r="B546" s="163"/>
      <c r="C546" s="136"/>
      <c r="D546" s="136"/>
      <c r="E546" s="136"/>
      <c r="F546" s="136"/>
      <c r="G546" s="136"/>
      <c r="H546" s="82" t="e">
        <v>#N/A</v>
      </c>
      <c r="I546" s="136"/>
      <c r="J546" s="136"/>
    </row>
    <row r="547" hidden="1">
      <c r="A547" s="136"/>
      <c r="B547" s="163"/>
      <c r="C547" s="136"/>
      <c r="D547" s="136"/>
      <c r="E547" s="136"/>
      <c r="F547" s="136"/>
      <c r="G547" s="136"/>
      <c r="H547" s="82" t="e">
        <v>#N/A</v>
      </c>
      <c r="I547" s="136"/>
      <c r="J547" s="136"/>
    </row>
    <row r="548" hidden="1">
      <c r="A548" s="136"/>
      <c r="B548" s="163"/>
      <c r="C548" s="136"/>
      <c r="D548" s="136"/>
      <c r="E548" s="136"/>
      <c r="F548" s="136"/>
      <c r="G548" s="136"/>
      <c r="H548" s="82" t="e">
        <v>#N/A</v>
      </c>
      <c r="I548" s="136"/>
      <c r="J548" s="136"/>
    </row>
    <row r="549" hidden="1">
      <c r="A549" s="136"/>
      <c r="B549" s="163"/>
      <c r="C549" s="136"/>
      <c r="D549" s="136"/>
      <c r="E549" s="136"/>
      <c r="F549" s="136"/>
      <c r="G549" s="136"/>
      <c r="H549" s="82" t="e">
        <v>#N/A</v>
      </c>
      <c r="I549" s="136"/>
      <c r="J549" s="136"/>
    </row>
    <row r="550" hidden="1">
      <c r="A550" s="136"/>
      <c r="B550" s="163"/>
      <c r="C550" s="136"/>
      <c r="D550" s="136"/>
      <c r="E550" s="136"/>
      <c r="F550" s="136"/>
      <c r="G550" s="136"/>
      <c r="H550" s="82" t="e">
        <v>#N/A</v>
      </c>
      <c r="I550" s="136"/>
      <c r="J550" s="136"/>
    </row>
    <row r="551" hidden="1">
      <c r="A551" s="136"/>
      <c r="B551" s="163"/>
      <c r="C551" s="136"/>
      <c r="D551" s="136"/>
      <c r="E551" s="136"/>
      <c r="F551" s="136"/>
      <c r="G551" s="136"/>
      <c r="H551" s="82" t="e">
        <v>#N/A</v>
      </c>
      <c r="I551" s="136"/>
      <c r="J551" s="136"/>
    </row>
    <row r="552" hidden="1">
      <c r="A552" s="136"/>
      <c r="B552" s="163"/>
      <c r="C552" s="136"/>
      <c r="D552" s="136"/>
      <c r="E552" s="136"/>
      <c r="F552" s="136"/>
      <c r="G552" s="136"/>
      <c r="H552" s="82" t="e">
        <v>#N/A</v>
      </c>
      <c r="I552" s="136"/>
      <c r="J552" s="136"/>
    </row>
    <row r="553" hidden="1">
      <c r="A553" s="136"/>
      <c r="B553" s="163"/>
      <c r="C553" s="136"/>
      <c r="D553" s="136"/>
      <c r="E553" s="136"/>
      <c r="F553" s="136"/>
      <c r="G553" s="136"/>
      <c r="H553" s="82" t="e">
        <v>#N/A</v>
      </c>
      <c r="I553" s="136"/>
      <c r="J553" s="136"/>
    </row>
    <row r="554" hidden="1">
      <c r="A554" s="136"/>
      <c r="B554" s="163"/>
      <c r="C554" s="136"/>
      <c r="D554" s="136"/>
      <c r="E554" s="136"/>
      <c r="F554" s="136"/>
      <c r="G554" s="136"/>
      <c r="H554" s="82" t="e">
        <v>#N/A</v>
      </c>
      <c r="I554" s="136"/>
      <c r="J554" s="136"/>
    </row>
    <row r="555" hidden="1">
      <c r="A555" s="136"/>
      <c r="B555" s="163"/>
      <c r="C555" s="136"/>
      <c r="D555" s="136"/>
      <c r="E555" s="136"/>
      <c r="F555" s="136"/>
      <c r="G555" s="136"/>
      <c r="H555" s="82" t="e">
        <v>#N/A</v>
      </c>
      <c r="I555" s="136"/>
      <c r="J555" s="136"/>
    </row>
    <row r="556" hidden="1">
      <c r="A556" s="136"/>
      <c r="B556" s="163"/>
      <c r="C556" s="136"/>
      <c r="D556" s="136"/>
      <c r="E556" s="136"/>
      <c r="F556" s="136"/>
      <c r="G556" s="136"/>
      <c r="H556" s="82" t="e">
        <v>#N/A</v>
      </c>
      <c r="I556" s="136"/>
      <c r="J556" s="136"/>
    </row>
    <row r="557" hidden="1">
      <c r="A557" s="136"/>
      <c r="B557" s="163"/>
      <c r="C557" s="136"/>
      <c r="D557" s="136"/>
      <c r="E557" s="136"/>
      <c r="F557" s="136"/>
      <c r="G557" s="136"/>
      <c r="H557" s="82" t="e">
        <v>#N/A</v>
      </c>
      <c r="I557" s="136"/>
      <c r="J557" s="136"/>
    </row>
    <row r="558" hidden="1">
      <c r="A558" s="136"/>
      <c r="B558" s="163"/>
      <c r="C558" s="136"/>
      <c r="D558" s="136"/>
      <c r="E558" s="136"/>
      <c r="F558" s="136"/>
      <c r="G558" s="136"/>
      <c r="H558" s="82" t="e">
        <v>#N/A</v>
      </c>
      <c r="I558" s="136"/>
      <c r="J558" s="136"/>
    </row>
    <row r="559" hidden="1">
      <c r="A559" s="136"/>
      <c r="B559" s="163"/>
      <c r="C559" s="136"/>
      <c r="D559" s="136"/>
      <c r="E559" s="136"/>
      <c r="F559" s="136"/>
      <c r="G559" s="136"/>
      <c r="H559" s="82" t="e">
        <v>#N/A</v>
      </c>
      <c r="I559" s="136"/>
      <c r="J559" s="136"/>
    </row>
    <row r="560" hidden="1">
      <c r="A560" s="136"/>
      <c r="B560" s="163"/>
      <c r="C560" s="136"/>
      <c r="D560" s="136"/>
      <c r="E560" s="136"/>
      <c r="F560" s="136"/>
      <c r="G560" s="136"/>
      <c r="H560" s="82" t="e">
        <v>#N/A</v>
      </c>
      <c r="I560" s="136"/>
      <c r="J560" s="136"/>
    </row>
    <row r="561" hidden="1">
      <c r="A561" s="136"/>
      <c r="B561" s="163"/>
      <c r="C561" s="136"/>
      <c r="D561" s="136"/>
      <c r="E561" s="136"/>
      <c r="F561" s="136"/>
      <c r="G561" s="136"/>
      <c r="H561" s="82" t="e">
        <v>#N/A</v>
      </c>
      <c r="I561" s="136"/>
      <c r="J561" s="136"/>
    </row>
    <row r="562" hidden="1">
      <c r="A562" s="136"/>
      <c r="B562" s="163"/>
      <c r="C562" s="136"/>
      <c r="D562" s="136"/>
      <c r="E562" s="136"/>
      <c r="F562" s="136"/>
      <c r="G562" s="136"/>
      <c r="H562" s="82" t="e">
        <v>#N/A</v>
      </c>
      <c r="I562" s="136"/>
      <c r="J562" s="136"/>
    </row>
    <row r="563" hidden="1">
      <c r="A563" s="136"/>
      <c r="B563" s="163"/>
      <c r="C563" s="136"/>
      <c r="D563" s="136"/>
      <c r="E563" s="136"/>
      <c r="F563" s="136"/>
      <c r="G563" s="136"/>
      <c r="H563" s="82" t="e">
        <v>#N/A</v>
      </c>
      <c r="I563" s="136"/>
      <c r="J563" s="136"/>
    </row>
    <row r="564" hidden="1">
      <c r="A564" s="136"/>
      <c r="B564" s="163"/>
      <c r="C564" s="136"/>
      <c r="D564" s="136"/>
      <c r="E564" s="136"/>
      <c r="F564" s="136"/>
      <c r="G564" s="136"/>
      <c r="H564" s="82" t="e">
        <v>#N/A</v>
      </c>
      <c r="I564" s="136"/>
      <c r="J564" s="136"/>
    </row>
    <row r="565" hidden="1">
      <c r="A565" s="136"/>
      <c r="B565" s="163"/>
      <c r="C565" s="136"/>
      <c r="D565" s="136"/>
      <c r="E565" s="136"/>
      <c r="F565" s="136"/>
      <c r="G565" s="136"/>
      <c r="H565" s="82" t="e">
        <v>#N/A</v>
      </c>
      <c r="I565" s="136"/>
      <c r="J565" s="136"/>
    </row>
    <row r="566" hidden="1">
      <c r="A566" s="136"/>
      <c r="B566" s="163"/>
      <c r="C566" s="136"/>
      <c r="D566" s="136"/>
      <c r="E566" s="136"/>
      <c r="F566" s="136"/>
      <c r="G566" s="136"/>
      <c r="H566" s="82" t="e">
        <v>#N/A</v>
      </c>
      <c r="I566" s="136"/>
      <c r="J566" s="136"/>
    </row>
    <row r="567" hidden="1">
      <c r="A567" s="136"/>
      <c r="B567" s="163"/>
      <c r="C567" s="136"/>
      <c r="D567" s="136"/>
      <c r="E567" s="136"/>
      <c r="F567" s="136"/>
      <c r="G567" s="136"/>
      <c r="H567" s="82" t="e">
        <v>#N/A</v>
      </c>
      <c r="I567" s="136"/>
      <c r="J567" s="136"/>
    </row>
    <row r="568" hidden="1">
      <c r="A568" s="136"/>
      <c r="B568" s="163"/>
      <c r="C568" s="136"/>
      <c r="D568" s="136"/>
      <c r="E568" s="136"/>
      <c r="F568" s="136"/>
      <c r="G568" s="136"/>
      <c r="H568" s="82" t="e">
        <v>#N/A</v>
      </c>
      <c r="I568" s="136"/>
      <c r="J568" s="136"/>
    </row>
    <row r="569" hidden="1">
      <c r="A569" s="136"/>
      <c r="B569" s="163"/>
      <c r="C569" s="136"/>
      <c r="D569" s="136"/>
      <c r="E569" s="136"/>
      <c r="F569" s="136"/>
      <c r="G569" s="136"/>
      <c r="H569" s="82" t="e">
        <v>#N/A</v>
      </c>
      <c r="I569" s="136"/>
      <c r="J569" s="136"/>
    </row>
    <row r="570" hidden="1">
      <c r="A570" s="136"/>
      <c r="B570" s="163"/>
      <c r="C570" s="136"/>
      <c r="D570" s="136"/>
      <c r="E570" s="136"/>
      <c r="F570" s="136"/>
      <c r="G570" s="136"/>
      <c r="H570" s="82" t="e">
        <v>#N/A</v>
      </c>
      <c r="I570" s="136"/>
      <c r="J570" s="136"/>
    </row>
    <row r="571" hidden="1">
      <c r="A571" s="136"/>
      <c r="B571" s="163"/>
      <c r="C571" s="136"/>
      <c r="D571" s="136"/>
      <c r="E571" s="136"/>
      <c r="F571" s="136"/>
      <c r="G571" s="136"/>
      <c r="H571" s="82" t="e">
        <v>#N/A</v>
      </c>
      <c r="I571" s="136"/>
      <c r="J571" s="136"/>
    </row>
    <row r="572" hidden="1">
      <c r="A572" s="136"/>
      <c r="B572" s="163"/>
      <c r="C572" s="136"/>
      <c r="D572" s="136"/>
      <c r="E572" s="136"/>
      <c r="F572" s="136"/>
      <c r="G572" s="136"/>
      <c r="H572" s="82" t="e">
        <v>#N/A</v>
      </c>
      <c r="I572" s="136"/>
      <c r="J572" s="136"/>
    </row>
    <row r="573" hidden="1">
      <c r="A573" s="136"/>
      <c r="B573" s="163"/>
      <c r="C573" s="136"/>
      <c r="D573" s="136"/>
      <c r="E573" s="136"/>
      <c r="F573" s="136"/>
      <c r="G573" s="136"/>
      <c r="H573" s="82" t="e">
        <v>#N/A</v>
      </c>
      <c r="I573" s="136"/>
      <c r="J573" s="136"/>
    </row>
    <row r="574" hidden="1">
      <c r="A574" s="136"/>
      <c r="B574" s="163"/>
      <c r="C574" s="136"/>
      <c r="D574" s="136"/>
      <c r="E574" s="136"/>
      <c r="F574" s="136"/>
      <c r="G574" s="136"/>
      <c r="H574" s="82" t="e">
        <v>#N/A</v>
      </c>
      <c r="I574" s="136"/>
      <c r="J574" s="136"/>
    </row>
    <row r="575" hidden="1">
      <c r="A575" s="136"/>
      <c r="B575" s="163"/>
      <c r="C575" s="136"/>
      <c r="D575" s="136"/>
      <c r="E575" s="136"/>
      <c r="F575" s="136"/>
      <c r="G575" s="136"/>
      <c r="H575" s="82" t="e">
        <v>#N/A</v>
      </c>
      <c r="I575" s="136"/>
      <c r="J575" s="136"/>
    </row>
    <row r="576" hidden="1">
      <c r="A576" s="136"/>
      <c r="B576" s="163"/>
      <c r="C576" s="136"/>
      <c r="D576" s="136"/>
      <c r="E576" s="136"/>
      <c r="F576" s="136"/>
      <c r="G576" s="136"/>
      <c r="H576" s="82" t="e">
        <v>#N/A</v>
      </c>
      <c r="I576" s="136"/>
      <c r="J576" s="136"/>
    </row>
    <row r="577" hidden="1">
      <c r="A577" s="136"/>
      <c r="B577" s="163"/>
      <c r="C577" s="136"/>
      <c r="D577" s="136"/>
      <c r="E577" s="136"/>
      <c r="F577" s="136"/>
      <c r="G577" s="136"/>
      <c r="H577" s="82" t="e">
        <v>#N/A</v>
      </c>
      <c r="I577" s="136"/>
      <c r="J577" s="136"/>
    </row>
    <row r="578" hidden="1">
      <c r="A578" s="136"/>
      <c r="B578" s="163"/>
      <c r="C578" s="136"/>
      <c r="D578" s="136"/>
      <c r="E578" s="136"/>
      <c r="F578" s="136"/>
      <c r="G578" s="136"/>
      <c r="H578" s="82" t="e">
        <v>#N/A</v>
      </c>
      <c r="I578" s="136"/>
      <c r="J578" s="136"/>
    </row>
    <row r="579" hidden="1">
      <c r="A579" s="136"/>
      <c r="B579" s="163"/>
      <c r="C579" s="136"/>
      <c r="D579" s="136"/>
      <c r="E579" s="136"/>
      <c r="F579" s="136"/>
      <c r="G579" s="136"/>
      <c r="H579" s="82" t="e">
        <v>#N/A</v>
      </c>
      <c r="I579" s="136"/>
      <c r="J579" s="136"/>
    </row>
    <row r="580" hidden="1">
      <c r="A580" s="136"/>
      <c r="B580" s="163"/>
      <c r="C580" s="136"/>
      <c r="D580" s="136"/>
      <c r="E580" s="136"/>
      <c r="F580" s="136"/>
      <c r="G580" s="136"/>
      <c r="H580" s="82" t="e">
        <v>#N/A</v>
      </c>
      <c r="I580" s="136"/>
      <c r="J580" s="136"/>
    </row>
    <row r="581" hidden="1">
      <c r="A581" s="136"/>
      <c r="B581" s="163"/>
      <c r="C581" s="136"/>
      <c r="D581" s="136"/>
      <c r="E581" s="136"/>
      <c r="F581" s="136"/>
      <c r="G581" s="136"/>
      <c r="H581" s="82" t="e">
        <v>#N/A</v>
      </c>
      <c r="I581" s="136"/>
      <c r="J581" s="136"/>
    </row>
    <row r="582" hidden="1">
      <c r="A582" s="136"/>
      <c r="B582" s="163"/>
      <c r="C582" s="136"/>
      <c r="D582" s="136"/>
      <c r="E582" s="136"/>
      <c r="F582" s="136"/>
      <c r="G582" s="136"/>
      <c r="H582" s="82" t="e">
        <v>#N/A</v>
      </c>
      <c r="I582" s="136"/>
      <c r="J582" s="136"/>
    </row>
    <row r="583" hidden="1">
      <c r="A583" s="136"/>
      <c r="B583" s="163"/>
      <c r="C583" s="136"/>
      <c r="D583" s="136"/>
      <c r="E583" s="136"/>
      <c r="F583" s="136"/>
      <c r="G583" s="136"/>
      <c r="H583" s="82" t="e">
        <v>#N/A</v>
      </c>
      <c r="I583" s="136"/>
      <c r="J583" s="136"/>
    </row>
    <row r="584" hidden="1">
      <c r="A584" s="136"/>
      <c r="B584" s="163"/>
      <c r="C584" s="136"/>
      <c r="D584" s="136"/>
      <c r="E584" s="136"/>
      <c r="F584" s="136"/>
      <c r="G584" s="136"/>
      <c r="H584" s="82" t="e">
        <v>#N/A</v>
      </c>
      <c r="I584" s="136"/>
      <c r="J584" s="136"/>
    </row>
    <row r="585" hidden="1">
      <c r="A585" s="136"/>
      <c r="B585" s="163"/>
      <c r="C585" s="136"/>
      <c r="D585" s="136"/>
      <c r="E585" s="136"/>
      <c r="F585" s="136"/>
      <c r="G585" s="136"/>
      <c r="H585" s="82" t="e">
        <v>#N/A</v>
      </c>
      <c r="I585" s="136"/>
      <c r="J585" s="136"/>
    </row>
    <row r="586" hidden="1">
      <c r="A586" s="136"/>
      <c r="B586" s="163"/>
      <c r="C586" s="136"/>
      <c r="D586" s="136"/>
      <c r="E586" s="136"/>
      <c r="F586" s="136"/>
      <c r="G586" s="136"/>
      <c r="H586" s="82" t="e">
        <v>#N/A</v>
      </c>
      <c r="I586" s="136"/>
      <c r="J586" s="136"/>
    </row>
    <row r="587" hidden="1">
      <c r="A587" s="136"/>
      <c r="B587" s="163"/>
      <c r="C587" s="136"/>
      <c r="D587" s="136"/>
      <c r="E587" s="136"/>
      <c r="F587" s="136"/>
      <c r="G587" s="136"/>
      <c r="H587" s="82" t="e">
        <v>#N/A</v>
      </c>
      <c r="I587" s="136"/>
      <c r="J587" s="136"/>
    </row>
    <row r="588" hidden="1">
      <c r="A588" s="136"/>
      <c r="B588" s="163"/>
      <c r="C588" s="136"/>
      <c r="D588" s="136"/>
      <c r="E588" s="136"/>
      <c r="F588" s="136"/>
      <c r="G588" s="136"/>
      <c r="H588" s="82" t="e">
        <v>#N/A</v>
      </c>
      <c r="I588" s="136"/>
      <c r="J588" s="136"/>
    </row>
    <row r="589" hidden="1">
      <c r="A589" s="136"/>
      <c r="B589" s="163"/>
      <c r="C589" s="136"/>
      <c r="D589" s="136"/>
      <c r="E589" s="136"/>
      <c r="F589" s="136"/>
      <c r="G589" s="136"/>
      <c r="H589" s="82" t="e">
        <v>#N/A</v>
      </c>
      <c r="I589" s="136"/>
      <c r="J589" s="136"/>
    </row>
    <row r="590" hidden="1">
      <c r="A590" s="136"/>
      <c r="B590" s="163"/>
      <c r="C590" s="136"/>
      <c r="D590" s="136"/>
      <c r="E590" s="136"/>
      <c r="F590" s="136"/>
      <c r="G590" s="136"/>
      <c r="H590" s="82" t="e">
        <v>#N/A</v>
      </c>
      <c r="I590" s="136"/>
      <c r="J590" s="136"/>
    </row>
    <row r="591" hidden="1">
      <c r="A591" s="136"/>
      <c r="B591" s="163"/>
      <c r="C591" s="136"/>
      <c r="D591" s="136"/>
      <c r="E591" s="136"/>
      <c r="F591" s="136"/>
      <c r="G591" s="136"/>
      <c r="H591" s="82" t="e">
        <v>#N/A</v>
      </c>
      <c r="I591" s="136"/>
      <c r="J591" s="136"/>
    </row>
    <row r="592" hidden="1">
      <c r="A592" s="136"/>
      <c r="B592" s="163"/>
      <c r="C592" s="136"/>
      <c r="D592" s="136"/>
      <c r="E592" s="136"/>
      <c r="F592" s="136"/>
      <c r="G592" s="136"/>
      <c r="H592" s="82" t="e">
        <v>#N/A</v>
      </c>
      <c r="I592" s="136"/>
      <c r="J592" s="136"/>
    </row>
    <row r="593" hidden="1">
      <c r="A593" s="136"/>
      <c r="B593" s="163"/>
      <c r="C593" s="136"/>
      <c r="D593" s="136"/>
      <c r="E593" s="136"/>
      <c r="F593" s="136"/>
      <c r="G593" s="136"/>
      <c r="H593" s="82" t="e">
        <v>#N/A</v>
      </c>
      <c r="I593" s="136"/>
      <c r="J593" s="136"/>
    </row>
    <row r="594" hidden="1">
      <c r="A594" s="136"/>
      <c r="B594" s="163"/>
      <c r="C594" s="136"/>
      <c r="D594" s="136"/>
      <c r="E594" s="136"/>
      <c r="F594" s="136"/>
      <c r="G594" s="136"/>
      <c r="H594" s="82" t="e">
        <v>#N/A</v>
      </c>
      <c r="I594" s="136"/>
      <c r="J594" s="136"/>
    </row>
    <row r="595" hidden="1">
      <c r="A595" s="136"/>
      <c r="B595" s="163"/>
      <c r="C595" s="136"/>
      <c r="D595" s="136"/>
      <c r="E595" s="136"/>
      <c r="F595" s="136"/>
      <c r="G595" s="136"/>
      <c r="H595" s="82" t="e">
        <v>#N/A</v>
      </c>
      <c r="I595" s="136"/>
      <c r="J595" s="136"/>
    </row>
    <row r="596" hidden="1">
      <c r="A596" s="136"/>
      <c r="B596" s="163"/>
      <c r="C596" s="136"/>
      <c r="D596" s="136"/>
      <c r="E596" s="136"/>
      <c r="F596" s="136"/>
      <c r="G596" s="136"/>
      <c r="H596" s="82" t="e">
        <v>#N/A</v>
      </c>
      <c r="I596" s="136"/>
      <c r="J596" s="136"/>
    </row>
    <row r="597" hidden="1">
      <c r="A597" s="136"/>
      <c r="B597" s="163"/>
      <c r="C597" s="136"/>
      <c r="D597" s="136"/>
      <c r="E597" s="136"/>
      <c r="F597" s="136"/>
      <c r="G597" s="136"/>
      <c r="H597" s="82" t="e">
        <v>#N/A</v>
      </c>
      <c r="I597" s="136"/>
      <c r="J597" s="136"/>
    </row>
    <row r="598" hidden="1">
      <c r="A598" s="136"/>
      <c r="B598" s="163"/>
      <c r="C598" s="136"/>
      <c r="D598" s="136"/>
      <c r="E598" s="136"/>
      <c r="F598" s="136"/>
      <c r="G598" s="136"/>
      <c r="H598" s="82" t="e">
        <v>#N/A</v>
      </c>
      <c r="I598" s="136"/>
      <c r="J598" s="136"/>
    </row>
    <row r="599" hidden="1">
      <c r="A599" s="136"/>
      <c r="B599" s="163"/>
      <c r="C599" s="136"/>
      <c r="D599" s="136"/>
      <c r="E599" s="136"/>
      <c r="F599" s="136"/>
      <c r="G599" s="136"/>
      <c r="H599" s="82" t="e">
        <v>#N/A</v>
      </c>
      <c r="I599" s="136"/>
      <c r="J599" s="136"/>
    </row>
    <row r="600" hidden="1">
      <c r="A600" s="136"/>
      <c r="B600" s="163"/>
      <c r="C600" s="136"/>
      <c r="D600" s="136"/>
      <c r="E600" s="136"/>
      <c r="F600" s="136"/>
      <c r="G600" s="136"/>
      <c r="H600" s="82" t="e">
        <v>#N/A</v>
      </c>
      <c r="I600" s="136"/>
      <c r="J600" s="136"/>
    </row>
    <row r="601" hidden="1">
      <c r="A601" s="136"/>
      <c r="B601" s="163"/>
      <c r="C601" s="136"/>
      <c r="D601" s="136"/>
      <c r="E601" s="136"/>
      <c r="F601" s="136"/>
      <c r="G601" s="136"/>
      <c r="H601" s="82" t="e">
        <v>#N/A</v>
      </c>
      <c r="I601" s="136"/>
      <c r="J601" s="136"/>
    </row>
    <row r="602" hidden="1">
      <c r="A602" s="136"/>
      <c r="B602" s="163"/>
      <c r="C602" s="136"/>
      <c r="D602" s="136"/>
      <c r="E602" s="136"/>
      <c r="F602" s="136"/>
      <c r="G602" s="136"/>
      <c r="H602" s="82" t="e">
        <v>#N/A</v>
      </c>
      <c r="I602" s="136"/>
      <c r="J602" s="136"/>
    </row>
    <row r="603" hidden="1">
      <c r="A603" s="136"/>
      <c r="B603" s="163"/>
      <c r="C603" s="136"/>
      <c r="D603" s="136"/>
      <c r="E603" s="136"/>
      <c r="F603" s="136"/>
      <c r="G603" s="136"/>
      <c r="H603" s="82" t="e">
        <v>#N/A</v>
      </c>
      <c r="I603" s="136"/>
      <c r="J603" s="136"/>
    </row>
    <row r="604" hidden="1">
      <c r="A604" s="136"/>
      <c r="B604" s="163"/>
      <c r="C604" s="136"/>
      <c r="D604" s="136"/>
      <c r="E604" s="136"/>
      <c r="F604" s="136"/>
      <c r="G604" s="136"/>
      <c r="H604" s="82" t="e">
        <v>#N/A</v>
      </c>
      <c r="I604" s="136"/>
      <c r="J604" s="136"/>
    </row>
    <row r="605" hidden="1">
      <c r="A605" s="136"/>
      <c r="B605" s="163"/>
      <c r="C605" s="136"/>
      <c r="D605" s="136"/>
      <c r="E605" s="136"/>
      <c r="F605" s="136"/>
      <c r="G605" s="136"/>
      <c r="H605" s="82" t="e">
        <v>#N/A</v>
      </c>
      <c r="I605" s="136"/>
      <c r="J605" s="136"/>
    </row>
    <row r="606" hidden="1">
      <c r="A606" s="136"/>
      <c r="B606" s="163"/>
      <c r="C606" s="136"/>
      <c r="D606" s="136"/>
      <c r="E606" s="136"/>
      <c r="F606" s="136"/>
      <c r="G606" s="136"/>
      <c r="H606" s="82" t="e">
        <v>#N/A</v>
      </c>
      <c r="I606" s="136"/>
      <c r="J606" s="136"/>
    </row>
    <row r="607" hidden="1">
      <c r="A607" s="136"/>
      <c r="B607" s="163"/>
      <c r="C607" s="136"/>
      <c r="D607" s="136"/>
      <c r="E607" s="136"/>
      <c r="F607" s="136"/>
      <c r="G607" s="136"/>
      <c r="H607" s="82" t="e">
        <v>#N/A</v>
      </c>
      <c r="I607" s="136"/>
      <c r="J607" s="136"/>
    </row>
    <row r="608" hidden="1">
      <c r="A608" s="136"/>
      <c r="B608" s="163"/>
      <c r="C608" s="136"/>
      <c r="D608" s="136"/>
      <c r="E608" s="136"/>
      <c r="F608" s="136"/>
      <c r="G608" s="136"/>
      <c r="H608" s="82" t="e">
        <v>#N/A</v>
      </c>
      <c r="I608" s="136"/>
      <c r="J608" s="136"/>
    </row>
    <row r="609" hidden="1">
      <c r="A609" s="136"/>
      <c r="B609" s="163"/>
      <c r="C609" s="136"/>
      <c r="D609" s="136"/>
      <c r="E609" s="136"/>
      <c r="F609" s="136"/>
      <c r="G609" s="136"/>
      <c r="H609" s="82" t="e">
        <v>#N/A</v>
      </c>
      <c r="I609" s="136"/>
      <c r="J609" s="136"/>
    </row>
    <row r="610" hidden="1">
      <c r="A610" s="136"/>
      <c r="B610" s="163"/>
      <c r="C610" s="136"/>
      <c r="D610" s="136"/>
      <c r="E610" s="136"/>
      <c r="F610" s="136"/>
      <c r="G610" s="136"/>
      <c r="H610" s="82" t="e">
        <v>#N/A</v>
      </c>
      <c r="I610" s="136"/>
      <c r="J610" s="136"/>
    </row>
    <row r="611" hidden="1">
      <c r="A611" s="136"/>
      <c r="B611" s="163"/>
      <c r="C611" s="136"/>
      <c r="D611" s="136"/>
      <c r="E611" s="136"/>
      <c r="F611" s="136"/>
      <c r="G611" s="136"/>
      <c r="H611" s="82" t="e">
        <v>#N/A</v>
      </c>
      <c r="I611" s="136"/>
      <c r="J611" s="136"/>
    </row>
    <row r="612" hidden="1">
      <c r="A612" s="136"/>
      <c r="B612" s="163"/>
      <c r="C612" s="136"/>
      <c r="D612" s="136"/>
      <c r="E612" s="136"/>
      <c r="F612" s="136"/>
      <c r="G612" s="136"/>
      <c r="H612" s="82" t="e">
        <v>#N/A</v>
      </c>
      <c r="I612" s="136"/>
      <c r="J612" s="136"/>
    </row>
    <row r="613" hidden="1">
      <c r="A613" s="136"/>
      <c r="B613" s="163"/>
      <c r="C613" s="136"/>
      <c r="D613" s="136"/>
      <c r="E613" s="136"/>
      <c r="F613" s="136"/>
      <c r="G613" s="136"/>
      <c r="H613" s="82" t="e">
        <v>#N/A</v>
      </c>
      <c r="I613" s="136"/>
      <c r="J613" s="136"/>
    </row>
    <row r="614" hidden="1">
      <c r="A614" s="136"/>
      <c r="B614" s="163"/>
      <c r="C614" s="136"/>
      <c r="D614" s="136"/>
      <c r="E614" s="136"/>
      <c r="F614" s="136"/>
      <c r="G614" s="136"/>
      <c r="H614" s="82" t="e">
        <v>#N/A</v>
      </c>
      <c r="I614" s="136"/>
      <c r="J614" s="136"/>
    </row>
    <row r="615" hidden="1">
      <c r="A615" s="136"/>
      <c r="B615" s="163"/>
      <c r="C615" s="136"/>
      <c r="D615" s="136"/>
      <c r="E615" s="136"/>
      <c r="F615" s="136"/>
      <c r="G615" s="136"/>
      <c r="H615" s="82" t="e">
        <v>#N/A</v>
      </c>
      <c r="I615" s="136"/>
      <c r="J615" s="136"/>
    </row>
    <row r="616" hidden="1">
      <c r="A616" s="136"/>
      <c r="B616" s="163"/>
      <c r="C616" s="136"/>
      <c r="D616" s="136"/>
      <c r="E616" s="136"/>
      <c r="F616" s="136"/>
      <c r="G616" s="136"/>
      <c r="H616" s="82" t="e">
        <v>#N/A</v>
      </c>
      <c r="I616" s="136"/>
      <c r="J616" s="136"/>
    </row>
    <row r="617" hidden="1">
      <c r="A617" s="136"/>
      <c r="B617" s="163"/>
      <c r="C617" s="136"/>
      <c r="D617" s="136"/>
      <c r="E617" s="136"/>
      <c r="F617" s="136"/>
      <c r="G617" s="136"/>
      <c r="H617" s="82" t="e">
        <v>#N/A</v>
      </c>
      <c r="I617" s="136"/>
      <c r="J617" s="136"/>
    </row>
    <row r="618" hidden="1">
      <c r="A618" s="136"/>
      <c r="B618" s="163"/>
      <c r="C618" s="136"/>
      <c r="D618" s="136"/>
      <c r="E618" s="136"/>
      <c r="F618" s="136"/>
      <c r="G618" s="136"/>
      <c r="H618" s="82" t="e">
        <v>#N/A</v>
      </c>
      <c r="I618" s="136"/>
      <c r="J618" s="136"/>
    </row>
    <row r="619" hidden="1">
      <c r="A619" s="136"/>
      <c r="B619" s="163"/>
      <c r="C619" s="136"/>
      <c r="D619" s="136"/>
      <c r="E619" s="136"/>
      <c r="F619" s="136"/>
      <c r="G619" s="136"/>
      <c r="H619" s="82" t="e">
        <v>#N/A</v>
      </c>
      <c r="I619" s="136"/>
      <c r="J619" s="136"/>
    </row>
    <row r="620" hidden="1">
      <c r="A620" s="136"/>
      <c r="B620" s="163"/>
      <c r="C620" s="136"/>
      <c r="D620" s="136"/>
      <c r="E620" s="136"/>
      <c r="F620" s="136"/>
      <c r="G620" s="136"/>
      <c r="H620" s="82" t="e">
        <v>#N/A</v>
      </c>
      <c r="I620" s="136"/>
      <c r="J620" s="136"/>
    </row>
    <row r="621" hidden="1">
      <c r="A621" s="136"/>
      <c r="B621" s="163"/>
      <c r="C621" s="136"/>
      <c r="D621" s="136"/>
      <c r="E621" s="136"/>
      <c r="F621" s="136"/>
      <c r="G621" s="136"/>
      <c r="H621" s="82" t="e">
        <v>#N/A</v>
      </c>
      <c r="I621" s="136"/>
      <c r="J621" s="136"/>
    </row>
    <row r="622" hidden="1">
      <c r="A622" s="136"/>
      <c r="B622" s="163"/>
      <c r="C622" s="136"/>
      <c r="D622" s="136"/>
      <c r="E622" s="136"/>
      <c r="F622" s="136"/>
      <c r="G622" s="136"/>
      <c r="H622" s="82" t="e">
        <v>#N/A</v>
      </c>
      <c r="I622" s="136"/>
      <c r="J622" s="136"/>
    </row>
    <row r="623" hidden="1">
      <c r="A623" s="136"/>
      <c r="B623" s="163"/>
      <c r="C623" s="136"/>
      <c r="D623" s="136"/>
      <c r="E623" s="136"/>
      <c r="F623" s="136"/>
      <c r="G623" s="136"/>
      <c r="H623" s="82" t="e">
        <v>#N/A</v>
      </c>
      <c r="I623" s="136"/>
      <c r="J623" s="136"/>
    </row>
    <row r="624" hidden="1">
      <c r="A624" s="136"/>
      <c r="B624" s="163"/>
      <c r="C624" s="136"/>
      <c r="D624" s="136"/>
      <c r="E624" s="136"/>
      <c r="F624" s="136"/>
      <c r="G624" s="136"/>
      <c r="H624" s="82" t="e">
        <v>#N/A</v>
      </c>
      <c r="I624" s="136"/>
      <c r="J624" s="136"/>
    </row>
    <row r="625" hidden="1">
      <c r="A625" s="136"/>
      <c r="B625" s="163"/>
      <c r="C625" s="136"/>
      <c r="D625" s="136"/>
      <c r="E625" s="136"/>
      <c r="F625" s="136"/>
      <c r="G625" s="136"/>
      <c r="H625" s="82" t="e">
        <v>#N/A</v>
      </c>
      <c r="I625" s="136"/>
      <c r="J625" s="136"/>
    </row>
    <row r="626" hidden="1">
      <c r="A626" s="136"/>
      <c r="B626" s="163"/>
      <c r="C626" s="136"/>
      <c r="D626" s="136"/>
      <c r="E626" s="136"/>
      <c r="F626" s="136"/>
      <c r="G626" s="136"/>
      <c r="H626" s="82" t="e">
        <v>#N/A</v>
      </c>
      <c r="I626" s="136"/>
      <c r="J626" s="136"/>
    </row>
    <row r="627" hidden="1">
      <c r="A627" s="136"/>
      <c r="B627" s="163"/>
      <c r="C627" s="136"/>
      <c r="D627" s="136"/>
      <c r="E627" s="136"/>
      <c r="F627" s="136"/>
      <c r="G627" s="136"/>
      <c r="H627" s="82" t="e">
        <v>#N/A</v>
      </c>
      <c r="I627" s="136"/>
      <c r="J627" s="136"/>
    </row>
    <row r="628" hidden="1">
      <c r="A628" s="136"/>
      <c r="B628" s="163"/>
      <c r="C628" s="136"/>
      <c r="D628" s="136"/>
      <c r="E628" s="136"/>
      <c r="F628" s="136"/>
      <c r="G628" s="136"/>
      <c r="H628" s="82" t="e">
        <v>#N/A</v>
      </c>
      <c r="I628" s="136"/>
      <c r="J628" s="136"/>
    </row>
    <row r="629" hidden="1">
      <c r="A629" s="136"/>
      <c r="B629" s="163"/>
      <c r="C629" s="136"/>
      <c r="D629" s="136"/>
      <c r="E629" s="136"/>
      <c r="F629" s="136"/>
      <c r="G629" s="136"/>
      <c r="H629" s="82" t="e">
        <v>#N/A</v>
      </c>
      <c r="I629" s="136"/>
      <c r="J629" s="136"/>
    </row>
    <row r="630" hidden="1">
      <c r="A630" s="136"/>
      <c r="B630" s="163"/>
      <c r="C630" s="136"/>
      <c r="D630" s="136"/>
      <c r="E630" s="136"/>
      <c r="F630" s="136"/>
      <c r="G630" s="136"/>
      <c r="H630" s="82" t="e">
        <v>#N/A</v>
      </c>
      <c r="I630" s="136"/>
      <c r="J630" s="136"/>
    </row>
    <row r="631" hidden="1">
      <c r="A631" s="136"/>
      <c r="B631" s="163"/>
      <c r="C631" s="136"/>
      <c r="D631" s="136"/>
      <c r="E631" s="136"/>
      <c r="F631" s="136"/>
      <c r="G631" s="136"/>
      <c r="H631" s="82" t="e">
        <v>#N/A</v>
      </c>
      <c r="I631" s="136"/>
      <c r="J631" s="136"/>
    </row>
    <row r="632" hidden="1">
      <c r="A632" s="136"/>
      <c r="B632" s="163"/>
      <c r="C632" s="136"/>
      <c r="D632" s="136"/>
      <c r="E632" s="136"/>
      <c r="F632" s="136"/>
      <c r="G632" s="136"/>
      <c r="H632" s="82" t="e">
        <v>#N/A</v>
      </c>
      <c r="I632" s="136"/>
      <c r="J632" s="136"/>
    </row>
    <row r="633" hidden="1">
      <c r="A633" s="136"/>
      <c r="B633" s="163"/>
      <c r="C633" s="136"/>
      <c r="D633" s="136"/>
      <c r="E633" s="136"/>
      <c r="F633" s="136"/>
      <c r="G633" s="136"/>
      <c r="H633" s="82" t="e">
        <v>#N/A</v>
      </c>
      <c r="I633" s="136"/>
      <c r="J633" s="136"/>
    </row>
    <row r="634" hidden="1">
      <c r="A634" s="136"/>
      <c r="B634" s="163"/>
      <c r="C634" s="136"/>
      <c r="D634" s="136"/>
      <c r="E634" s="136"/>
      <c r="F634" s="136"/>
      <c r="G634" s="136"/>
      <c r="H634" s="82" t="e">
        <v>#N/A</v>
      </c>
      <c r="I634" s="136"/>
      <c r="J634" s="136"/>
    </row>
    <row r="635" hidden="1">
      <c r="A635" s="136"/>
      <c r="B635" s="163"/>
      <c r="C635" s="136"/>
      <c r="D635" s="136"/>
      <c r="E635" s="136"/>
      <c r="F635" s="136"/>
      <c r="G635" s="136"/>
      <c r="H635" s="82" t="e">
        <v>#N/A</v>
      </c>
      <c r="I635" s="136"/>
      <c r="J635" s="136"/>
    </row>
    <row r="636" hidden="1">
      <c r="A636" s="136"/>
      <c r="B636" s="163"/>
      <c r="C636" s="136"/>
      <c r="D636" s="136"/>
      <c r="E636" s="136"/>
      <c r="F636" s="136"/>
      <c r="G636" s="136"/>
      <c r="H636" s="82" t="e">
        <v>#N/A</v>
      </c>
      <c r="I636" s="136"/>
      <c r="J636" s="136"/>
    </row>
    <row r="637" hidden="1">
      <c r="A637" s="136"/>
      <c r="B637" s="163"/>
      <c r="C637" s="136"/>
      <c r="D637" s="136"/>
      <c r="E637" s="136"/>
      <c r="F637" s="136"/>
      <c r="G637" s="136"/>
      <c r="H637" s="82" t="e">
        <v>#N/A</v>
      </c>
      <c r="I637" s="136"/>
      <c r="J637" s="136"/>
    </row>
    <row r="638" hidden="1">
      <c r="A638" s="136"/>
      <c r="B638" s="163"/>
      <c r="C638" s="136"/>
      <c r="D638" s="136"/>
      <c r="E638" s="136"/>
      <c r="F638" s="136"/>
      <c r="G638" s="136"/>
      <c r="H638" s="82" t="e">
        <v>#N/A</v>
      </c>
      <c r="I638" s="136"/>
      <c r="J638" s="136"/>
    </row>
    <row r="639" hidden="1">
      <c r="A639" s="136"/>
      <c r="B639" s="163"/>
      <c r="C639" s="136"/>
      <c r="D639" s="136"/>
      <c r="E639" s="136"/>
      <c r="F639" s="136"/>
      <c r="G639" s="136"/>
      <c r="H639" s="82" t="e">
        <v>#N/A</v>
      </c>
      <c r="I639" s="136"/>
      <c r="J639" s="136"/>
    </row>
    <row r="640" hidden="1">
      <c r="A640" s="136"/>
      <c r="B640" s="163"/>
      <c r="C640" s="136"/>
      <c r="D640" s="136"/>
      <c r="E640" s="136"/>
      <c r="F640" s="136"/>
      <c r="G640" s="136"/>
      <c r="H640" s="82" t="e">
        <v>#N/A</v>
      </c>
      <c r="I640" s="136"/>
      <c r="J640" s="136"/>
    </row>
    <row r="641" hidden="1">
      <c r="A641" s="136"/>
      <c r="B641" s="163"/>
      <c r="C641" s="136"/>
      <c r="D641" s="136"/>
      <c r="E641" s="136"/>
      <c r="F641" s="136"/>
      <c r="G641" s="136"/>
      <c r="H641" s="82" t="e">
        <v>#N/A</v>
      </c>
      <c r="I641" s="136"/>
      <c r="J641" s="136"/>
    </row>
    <row r="642" hidden="1">
      <c r="A642" s="136"/>
      <c r="B642" s="163"/>
      <c r="C642" s="136"/>
      <c r="D642" s="136"/>
      <c r="E642" s="136"/>
      <c r="F642" s="136"/>
      <c r="G642" s="136"/>
      <c r="H642" s="82" t="e">
        <v>#N/A</v>
      </c>
      <c r="I642" s="136"/>
      <c r="J642" s="136"/>
    </row>
    <row r="643" hidden="1">
      <c r="A643" s="136"/>
      <c r="B643" s="163"/>
      <c r="C643" s="136"/>
      <c r="D643" s="136"/>
      <c r="E643" s="136"/>
      <c r="F643" s="136"/>
      <c r="G643" s="136"/>
      <c r="H643" s="82" t="e">
        <v>#N/A</v>
      </c>
      <c r="I643" s="136"/>
      <c r="J643" s="136"/>
    </row>
    <row r="644" hidden="1">
      <c r="A644" s="136"/>
      <c r="B644" s="163"/>
      <c r="C644" s="136"/>
      <c r="D644" s="136"/>
      <c r="E644" s="136"/>
      <c r="F644" s="136"/>
      <c r="G644" s="136"/>
      <c r="H644" s="82" t="e">
        <v>#N/A</v>
      </c>
      <c r="I644" s="136"/>
      <c r="J644" s="136"/>
    </row>
    <row r="645" hidden="1">
      <c r="A645" s="136"/>
      <c r="B645" s="163"/>
      <c r="C645" s="136"/>
      <c r="D645" s="136"/>
      <c r="E645" s="136"/>
      <c r="F645" s="136"/>
      <c r="G645" s="136"/>
      <c r="H645" s="82" t="e">
        <v>#N/A</v>
      </c>
      <c r="I645" s="136"/>
      <c r="J645" s="136"/>
    </row>
    <row r="646" hidden="1">
      <c r="A646" s="136"/>
      <c r="B646" s="163"/>
      <c r="C646" s="136"/>
      <c r="D646" s="136"/>
      <c r="E646" s="136"/>
      <c r="F646" s="136"/>
      <c r="G646" s="136"/>
      <c r="H646" s="82" t="e">
        <v>#N/A</v>
      </c>
      <c r="I646" s="136"/>
      <c r="J646" s="136"/>
    </row>
    <row r="647" hidden="1">
      <c r="A647" s="136"/>
      <c r="B647" s="163"/>
      <c r="C647" s="136"/>
      <c r="D647" s="136"/>
      <c r="E647" s="136"/>
      <c r="F647" s="136"/>
      <c r="G647" s="136"/>
      <c r="H647" s="82" t="e">
        <v>#N/A</v>
      </c>
      <c r="I647" s="136"/>
      <c r="J647" s="136"/>
    </row>
    <row r="648" hidden="1">
      <c r="A648" s="136"/>
      <c r="B648" s="163"/>
      <c r="C648" s="136"/>
      <c r="D648" s="136"/>
      <c r="E648" s="136"/>
      <c r="F648" s="136"/>
      <c r="G648" s="136"/>
      <c r="H648" s="82" t="e">
        <v>#N/A</v>
      </c>
      <c r="I648" s="136"/>
      <c r="J648" s="136"/>
    </row>
    <row r="649" hidden="1">
      <c r="A649" s="136"/>
      <c r="B649" s="163"/>
      <c r="C649" s="136"/>
      <c r="D649" s="136"/>
      <c r="E649" s="136"/>
      <c r="F649" s="136"/>
      <c r="G649" s="136"/>
      <c r="H649" s="82" t="e">
        <v>#N/A</v>
      </c>
      <c r="I649" s="136"/>
      <c r="J649" s="136"/>
    </row>
    <row r="650" hidden="1">
      <c r="A650" s="136"/>
      <c r="B650" s="163"/>
      <c r="C650" s="136"/>
      <c r="D650" s="136"/>
      <c r="E650" s="136"/>
      <c r="F650" s="136"/>
      <c r="G650" s="136"/>
      <c r="H650" s="82" t="e">
        <v>#N/A</v>
      </c>
      <c r="I650" s="136"/>
      <c r="J650" s="136"/>
    </row>
    <row r="651" hidden="1">
      <c r="A651" s="136"/>
      <c r="B651" s="163"/>
      <c r="C651" s="136"/>
      <c r="D651" s="136"/>
      <c r="E651" s="136"/>
      <c r="F651" s="136"/>
      <c r="G651" s="136"/>
      <c r="H651" s="82" t="e">
        <v>#N/A</v>
      </c>
      <c r="I651" s="136"/>
      <c r="J651" s="136"/>
    </row>
    <row r="652" hidden="1">
      <c r="A652" s="136"/>
      <c r="B652" s="163"/>
      <c r="C652" s="136"/>
      <c r="D652" s="136"/>
      <c r="E652" s="136"/>
      <c r="F652" s="136"/>
      <c r="G652" s="136"/>
      <c r="H652" s="82" t="e">
        <v>#N/A</v>
      </c>
      <c r="I652" s="136"/>
      <c r="J652" s="136"/>
    </row>
    <row r="653" hidden="1">
      <c r="A653" s="136"/>
      <c r="B653" s="163"/>
      <c r="C653" s="136"/>
      <c r="D653" s="136"/>
      <c r="E653" s="136"/>
      <c r="F653" s="136"/>
      <c r="G653" s="136"/>
      <c r="H653" s="82" t="e">
        <v>#N/A</v>
      </c>
      <c r="I653" s="136"/>
      <c r="J653" s="136"/>
    </row>
    <row r="654" hidden="1">
      <c r="A654" s="136"/>
      <c r="B654" s="163"/>
      <c r="C654" s="136"/>
      <c r="D654" s="136"/>
      <c r="E654" s="136"/>
      <c r="F654" s="136"/>
      <c r="G654" s="136"/>
      <c r="H654" s="82" t="e">
        <v>#N/A</v>
      </c>
      <c r="I654" s="136"/>
      <c r="J654" s="136"/>
    </row>
    <row r="655" hidden="1">
      <c r="A655" s="136"/>
      <c r="B655" s="163"/>
      <c r="C655" s="136"/>
      <c r="D655" s="136"/>
      <c r="E655" s="136"/>
      <c r="F655" s="136"/>
      <c r="G655" s="136"/>
      <c r="H655" s="82" t="e">
        <v>#N/A</v>
      </c>
      <c r="I655" s="136"/>
      <c r="J655" s="136"/>
    </row>
    <row r="656" hidden="1">
      <c r="A656" s="136"/>
      <c r="B656" s="163"/>
      <c r="C656" s="136"/>
      <c r="D656" s="136"/>
      <c r="E656" s="136"/>
      <c r="F656" s="136"/>
      <c r="G656" s="136"/>
      <c r="H656" s="82" t="e">
        <v>#N/A</v>
      </c>
      <c r="I656" s="136"/>
      <c r="J656" s="136"/>
    </row>
    <row r="657" hidden="1">
      <c r="A657" s="136"/>
      <c r="B657" s="163"/>
      <c r="C657" s="136"/>
      <c r="D657" s="136"/>
      <c r="E657" s="136"/>
      <c r="F657" s="136"/>
      <c r="G657" s="136"/>
      <c r="H657" s="82" t="e">
        <v>#N/A</v>
      </c>
      <c r="I657" s="136"/>
      <c r="J657" s="136"/>
    </row>
    <row r="658" hidden="1">
      <c r="A658" s="136"/>
      <c r="B658" s="163"/>
      <c r="C658" s="136"/>
      <c r="D658" s="136"/>
      <c r="E658" s="136"/>
      <c r="F658" s="136"/>
      <c r="G658" s="136"/>
      <c r="H658" s="82" t="e">
        <v>#N/A</v>
      </c>
      <c r="I658" s="136"/>
      <c r="J658" s="136"/>
    </row>
    <row r="659" hidden="1">
      <c r="A659" s="136"/>
      <c r="B659" s="163"/>
      <c r="C659" s="136"/>
      <c r="D659" s="136"/>
      <c r="E659" s="136"/>
      <c r="F659" s="136"/>
      <c r="G659" s="136"/>
      <c r="H659" s="82" t="e">
        <v>#N/A</v>
      </c>
      <c r="I659" s="136"/>
      <c r="J659" s="136"/>
    </row>
    <row r="660" hidden="1">
      <c r="A660" s="136"/>
      <c r="B660" s="163"/>
      <c r="C660" s="136"/>
      <c r="D660" s="136"/>
      <c r="E660" s="136"/>
      <c r="F660" s="136"/>
      <c r="G660" s="136"/>
      <c r="H660" s="82" t="e">
        <v>#N/A</v>
      </c>
      <c r="I660" s="136"/>
      <c r="J660" s="136"/>
    </row>
    <row r="661" hidden="1">
      <c r="A661" s="136"/>
      <c r="B661" s="163"/>
      <c r="C661" s="136"/>
      <c r="D661" s="136"/>
      <c r="E661" s="136"/>
      <c r="F661" s="136"/>
      <c r="G661" s="136"/>
      <c r="H661" s="82" t="e">
        <v>#N/A</v>
      </c>
      <c r="I661" s="136"/>
      <c r="J661" s="136"/>
    </row>
    <row r="662" hidden="1">
      <c r="A662" s="136"/>
      <c r="B662" s="163"/>
      <c r="C662" s="136"/>
      <c r="D662" s="136"/>
      <c r="E662" s="136"/>
      <c r="F662" s="136"/>
      <c r="G662" s="136"/>
      <c r="H662" s="82" t="e">
        <v>#N/A</v>
      </c>
      <c r="I662" s="136"/>
      <c r="J662" s="136"/>
    </row>
    <row r="663" hidden="1">
      <c r="A663" s="136"/>
      <c r="B663" s="163"/>
      <c r="C663" s="136"/>
      <c r="D663" s="136"/>
      <c r="E663" s="136"/>
      <c r="F663" s="136"/>
      <c r="G663" s="136"/>
      <c r="H663" s="82" t="e">
        <v>#N/A</v>
      </c>
      <c r="I663" s="136"/>
      <c r="J663" s="136"/>
    </row>
    <row r="664" hidden="1">
      <c r="A664" s="136"/>
      <c r="B664" s="163"/>
      <c r="C664" s="136"/>
      <c r="D664" s="136"/>
      <c r="E664" s="136"/>
      <c r="F664" s="136"/>
      <c r="G664" s="136"/>
      <c r="H664" s="82" t="e">
        <v>#N/A</v>
      </c>
      <c r="I664" s="136"/>
      <c r="J664" s="136"/>
    </row>
    <row r="665" hidden="1">
      <c r="A665" s="136"/>
      <c r="B665" s="163"/>
      <c r="C665" s="136"/>
      <c r="D665" s="136"/>
      <c r="E665" s="136"/>
      <c r="F665" s="136"/>
      <c r="G665" s="136"/>
      <c r="H665" s="82" t="e">
        <v>#N/A</v>
      </c>
      <c r="I665" s="136"/>
      <c r="J665" s="136"/>
    </row>
    <row r="666" hidden="1">
      <c r="A666" s="136"/>
      <c r="B666" s="163"/>
      <c r="C666" s="136"/>
      <c r="D666" s="136"/>
      <c r="E666" s="136"/>
      <c r="F666" s="136"/>
      <c r="G666" s="136"/>
      <c r="H666" s="82" t="e">
        <v>#N/A</v>
      </c>
      <c r="I666" s="136"/>
      <c r="J666" s="136"/>
    </row>
    <row r="667" hidden="1">
      <c r="A667" s="136"/>
      <c r="B667" s="163"/>
      <c r="C667" s="136"/>
      <c r="D667" s="136"/>
      <c r="E667" s="136"/>
      <c r="F667" s="136"/>
      <c r="G667" s="136"/>
      <c r="H667" s="82" t="e">
        <v>#N/A</v>
      </c>
      <c r="I667" s="136"/>
      <c r="J667" s="136"/>
    </row>
    <row r="668" hidden="1">
      <c r="A668" s="136"/>
      <c r="B668" s="163"/>
      <c r="C668" s="136"/>
      <c r="D668" s="136"/>
      <c r="E668" s="136"/>
      <c r="F668" s="136"/>
      <c r="G668" s="136"/>
      <c r="H668" s="82" t="e">
        <v>#N/A</v>
      </c>
      <c r="I668" s="136"/>
      <c r="J668" s="136"/>
    </row>
    <row r="669" hidden="1">
      <c r="A669" s="136"/>
      <c r="B669" s="163"/>
      <c r="C669" s="136"/>
      <c r="D669" s="136"/>
      <c r="E669" s="136"/>
      <c r="F669" s="136"/>
      <c r="G669" s="136"/>
      <c r="H669" s="82" t="e">
        <v>#N/A</v>
      </c>
      <c r="I669" s="136"/>
      <c r="J669" s="136"/>
    </row>
    <row r="670" hidden="1">
      <c r="A670" s="136"/>
      <c r="B670" s="163"/>
      <c r="C670" s="136"/>
      <c r="D670" s="136"/>
      <c r="E670" s="136"/>
      <c r="F670" s="136"/>
      <c r="G670" s="136"/>
      <c r="H670" s="82" t="e">
        <v>#N/A</v>
      </c>
      <c r="I670" s="136"/>
      <c r="J670" s="136"/>
    </row>
    <row r="671" hidden="1">
      <c r="A671" s="136"/>
      <c r="B671" s="163"/>
      <c r="C671" s="136"/>
      <c r="D671" s="136"/>
      <c r="E671" s="136"/>
      <c r="F671" s="136"/>
      <c r="G671" s="136"/>
      <c r="H671" s="82" t="e">
        <v>#N/A</v>
      </c>
      <c r="I671" s="136"/>
      <c r="J671" s="136"/>
    </row>
    <row r="672" hidden="1">
      <c r="A672" s="136"/>
      <c r="B672" s="163"/>
      <c r="C672" s="136"/>
      <c r="D672" s="136"/>
      <c r="E672" s="136"/>
      <c r="F672" s="136"/>
      <c r="G672" s="136"/>
      <c r="H672" s="82" t="e">
        <v>#N/A</v>
      </c>
      <c r="I672" s="136"/>
      <c r="J672" s="136"/>
    </row>
    <row r="673" hidden="1">
      <c r="A673" s="136"/>
      <c r="B673" s="163"/>
      <c r="C673" s="136"/>
      <c r="D673" s="136"/>
      <c r="E673" s="136"/>
      <c r="F673" s="136"/>
      <c r="G673" s="136"/>
      <c r="H673" s="82" t="e">
        <v>#N/A</v>
      </c>
      <c r="I673" s="136"/>
      <c r="J673" s="136"/>
    </row>
    <row r="674" hidden="1">
      <c r="A674" s="136"/>
      <c r="B674" s="163"/>
      <c r="C674" s="136"/>
      <c r="D674" s="136"/>
      <c r="E674" s="136"/>
      <c r="F674" s="136"/>
      <c r="G674" s="136"/>
      <c r="H674" s="82" t="e">
        <v>#N/A</v>
      </c>
      <c r="I674" s="136"/>
      <c r="J674" s="136"/>
    </row>
    <row r="675" hidden="1">
      <c r="A675" s="136"/>
      <c r="B675" s="163"/>
      <c r="C675" s="136"/>
      <c r="D675" s="136"/>
      <c r="E675" s="136"/>
      <c r="F675" s="136"/>
      <c r="G675" s="136"/>
      <c r="H675" s="82" t="e">
        <v>#N/A</v>
      </c>
      <c r="I675" s="136"/>
      <c r="J675" s="136"/>
    </row>
    <row r="676" hidden="1">
      <c r="A676" s="136"/>
      <c r="B676" s="163"/>
      <c r="C676" s="136"/>
      <c r="D676" s="136"/>
      <c r="E676" s="136"/>
      <c r="F676" s="136"/>
      <c r="G676" s="136"/>
      <c r="H676" s="82" t="e">
        <v>#N/A</v>
      </c>
      <c r="I676" s="136"/>
      <c r="J676" s="136"/>
    </row>
    <row r="677" hidden="1">
      <c r="A677" s="136"/>
      <c r="B677" s="163"/>
      <c r="C677" s="136"/>
      <c r="D677" s="136"/>
      <c r="E677" s="136"/>
      <c r="F677" s="136"/>
      <c r="G677" s="136"/>
      <c r="H677" s="82" t="e">
        <v>#N/A</v>
      </c>
      <c r="I677" s="136"/>
      <c r="J677" s="136"/>
    </row>
    <row r="678" hidden="1">
      <c r="A678" s="136"/>
      <c r="B678" s="163"/>
      <c r="C678" s="136"/>
      <c r="D678" s="136"/>
      <c r="E678" s="136"/>
      <c r="F678" s="136"/>
      <c r="G678" s="136"/>
      <c r="H678" s="82" t="e">
        <v>#N/A</v>
      </c>
      <c r="I678" s="136"/>
      <c r="J678" s="136"/>
    </row>
    <row r="679" hidden="1">
      <c r="A679" s="136"/>
      <c r="B679" s="163"/>
      <c r="C679" s="136"/>
      <c r="D679" s="136"/>
      <c r="E679" s="136"/>
      <c r="F679" s="136"/>
      <c r="G679" s="136"/>
      <c r="H679" s="82" t="e">
        <v>#N/A</v>
      </c>
      <c r="I679" s="136"/>
      <c r="J679" s="136"/>
    </row>
    <row r="680" hidden="1">
      <c r="A680" s="136"/>
      <c r="B680" s="163"/>
      <c r="C680" s="136"/>
      <c r="D680" s="136"/>
      <c r="E680" s="136"/>
      <c r="F680" s="136"/>
      <c r="G680" s="136"/>
      <c r="H680" s="82" t="e">
        <v>#N/A</v>
      </c>
      <c r="I680" s="136"/>
      <c r="J680" s="136"/>
    </row>
    <row r="681" hidden="1">
      <c r="A681" s="136"/>
      <c r="B681" s="163"/>
      <c r="C681" s="136"/>
      <c r="D681" s="136"/>
      <c r="E681" s="136"/>
      <c r="F681" s="136"/>
      <c r="G681" s="136"/>
      <c r="H681" s="82" t="e">
        <v>#N/A</v>
      </c>
      <c r="I681" s="136"/>
      <c r="J681" s="136"/>
    </row>
    <row r="682" hidden="1">
      <c r="A682" s="136"/>
      <c r="B682" s="163"/>
      <c r="C682" s="136"/>
      <c r="D682" s="136"/>
      <c r="E682" s="136"/>
      <c r="F682" s="136"/>
      <c r="G682" s="136"/>
      <c r="H682" s="82" t="e">
        <v>#N/A</v>
      </c>
      <c r="I682" s="136"/>
      <c r="J682" s="136"/>
    </row>
    <row r="683" hidden="1">
      <c r="A683" s="136"/>
      <c r="B683" s="163"/>
      <c r="C683" s="136"/>
      <c r="D683" s="136"/>
      <c r="E683" s="136"/>
      <c r="F683" s="136"/>
      <c r="G683" s="136"/>
      <c r="H683" s="82" t="e">
        <v>#N/A</v>
      </c>
      <c r="I683" s="136"/>
      <c r="J683" s="136"/>
    </row>
    <row r="684" hidden="1">
      <c r="A684" s="136"/>
      <c r="B684" s="163"/>
      <c r="C684" s="136"/>
      <c r="D684" s="136"/>
      <c r="E684" s="136"/>
      <c r="F684" s="136"/>
      <c r="G684" s="136"/>
      <c r="H684" s="82" t="e">
        <v>#N/A</v>
      </c>
      <c r="I684" s="136"/>
      <c r="J684" s="136"/>
    </row>
    <row r="685" hidden="1">
      <c r="A685" s="136"/>
      <c r="B685" s="163"/>
      <c r="C685" s="136"/>
      <c r="D685" s="136"/>
      <c r="E685" s="136"/>
      <c r="F685" s="136"/>
      <c r="G685" s="136"/>
      <c r="H685" s="82" t="e">
        <v>#N/A</v>
      </c>
      <c r="I685" s="136"/>
      <c r="J685" s="136"/>
    </row>
    <row r="686" hidden="1">
      <c r="A686" s="136"/>
      <c r="B686" s="163"/>
      <c r="C686" s="136"/>
      <c r="D686" s="136"/>
      <c r="E686" s="136"/>
      <c r="F686" s="136"/>
      <c r="G686" s="136"/>
      <c r="H686" s="82" t="e">
        <v>#N/A</v>
      </c>
      <c r="I686" s="136"/>
      <c r="J686" s="136"/>
    </row>
    <row r="687" hidden="1">
      <c r="A687" s="136"/>
      <c r="B687" s="163"/>
      <c r="C687" s="136"/>
      <c r="D687" s="136"/>
      <c r="E687" s="136"/>
      <c r="F687" s="136"/>
      <c r="G687" s="136"/>
      <c r="H687" s="82" t="e">
        <v>#N/A</v>
      </c>
      <c r="I687" s="136"/>
      <c r="J687" s="136"/>
    </row>
    <row r="688" hidden="1">
      <c r="A688" s="136"/>
      <c r="B688" s="163"/>
      <c r="C688" s="136"/>
      <c r="D688" s="136"/>
      <c r="E688" s="136"/>
      <c r="F688" s="136"/>
      <c r="G688" s="136"/>
      <c r="H688" s="82" t="e">
        <v>#N/A</v>
      </c>
      <c r="I688" s="136"/>
      <c r="J688" s="136"/>
    </row>
    <row r="689" hidden="1">
      <c r="A689" s="136"/>
      <c r="B689" s="163"/>
      <c r="C689" s="136"/>
      <c r="D689" s="136"/>
      <c r="E689" s="136"/>
      <c r="F689" s="136"/>
      <c r="G689" s="136"/>
      <c r="H689" s="82" t="e">
        <v>#N/A</v>
      </c>
      <c r="I689" s="136"/>
      <c r="J689" s="136"/>
    </row>
    <row r="690" hidden="1">
      <c r="A690" s="136"/>
      <c r="B690" s="163"/>
      <c r="C690" s="136"/>
      <c r="D690" s="136"/>
      <c r="E690" s="136"/>
      <c r="F690" s="136"/>
      <c r="G690" s="136"/>
      <c r="H690" s="82" t="e">
        <v>#N/A</v>
      </c>
      <c r="I690" s="136"/>
      <c r="J690" s="136"/>
    </row>
    <row r="691" hidden="1">
      <c r="A691" s="136"/>
      <c r="B691" s="163"/>
      <c r="C691" s="136"/>
      <c r="D691" s="136"/>
      <c r="E691" s="136"/>
      <c r="F691" s="136"/>
      <c r="G691" s="136"/>
      <c r="H691" s="82" t="e">
        <v>#N/A</v>
      </c>
      <c r="I691" s="136"/>
      <c r="J691" s="136"/>
    </row>
    <row r="692" hidden="1">
      <c r="A692" s="136"/>
      <c r="B692" s="163"/>
      <c r="C692" s="136"/>
      <c r="D692" s="136"/>
      <c r="E692" s="136"/>
      <c r="F692" s="136"/>
      <c r="G692" s="136"/>
      <c r="H692" s="82" t="e">
        <v>#N/A</v>
      </c>
      <c r="I692" s="136"/>
      <c r="J692" s="136"/>
    </row>
    <row r="693" hidden="1">
      <c r="A693" s="136"/>
      <c r="B693" s="163"/>
      <c r="C693" s="136"/>
      <c r="D693" s="136"/>
      <c r="E693" s="136"/>
      <c r="F693" s="136"/>
      <c r="G693" s="136"/>
      <c r="H693" s="82" t="e">
        <v>#N/A</v>
      </c>
      <c r="I693" s="136"/>
      <c r="J693" s="136"/>
    </row>
    <row r="694" hidden="1">
      <c r="A694" s="136"/>
      <c r="B694" s="163"/>
      <c r="C694" s="136"/>
      <c r="D694" s="136"/>
      <c r="E694" s="136"/>
      <c r="F694" s="136"/>
      <c r="G694" s="136"/>
      <c r="H694" s="82" t="e">
        <v>#N/A</v>
      </c>
      <c r="I694" s="136"/>
      <c r="J694" s="136"/>
    </row>
    <row r="695" hidden="1">
      <c r="A695" s="136"/>
      <c r="B695" s="163"/>
      <c r="C695" s="136"/>
      <c r="D695" s="136"/>
      <c r="E695" s="136"/>
      <c r="F695" s="136"/>
      <c r="G695" s="136"/>
      <c r="H695" s="82" t="e">
        <v>#N/A</v>
      </c>
      <c r="I695" s="136"/>
      <c r="J695" s="136"/>
    </row>
    <row r="696" hidden="1">
      <c r="A696" s="136"/>
      <c r="B696" s="163"/>
      <c r="C696" s="136"/>
      <c r="D696" s="136"/>
      <c r="E696" s="136"/>
      <c r="F696" s="136"/>
      <c r="G696" s="136"/>
      <c r="H696" s="82" t="e">
        <v>#N/A</v>
      </c>
      <c r="I696" s="136"/>
      <c r="J696" s="136"/>
    </row>
    <row r="697" hidden="1">
      <c r="A697" s="136"/>
      <c r="B697" s="163"/>
      <c r="C697" s="136"/>
      <c r="D697" s="136"/>
      <c r="E697" s="136"/>
      <c r="F697" s="136"/>
      <c r="G697" s="136"/>
      <c r="H697" s="82" t="e">
        <v>#N/A</v>
      </c>
      <c r="I697" s="136"/>
      <c r="J697" s="136"/>
    </row>
    <row r="698" hidden="1">
      <c r="A698" s="136"/>
      <c r="B698" s="163"/>
      <c r="C698" s="136"/>
      <c r="D698" s="136"/>
      <c r="E698" s="136"/>
      <c r="F698" s="136"/>
      <c r="G698" s="136"/>
      <c r="H698" s="82" t="e">
        <v>#N/A</v>
      </c>
      <c r="I698" s="136"/>
      <c r="J698" s="136"/>
    </row>
    <row r="699" hidden="1">
      <c r="A699" s="136"/>
      <c r="B699" s="163"/>
      <c r="C699" s="136"/>
      <c r="D699" s="136"/>
      <c r="E699" s="136"/>
      <c r="F699" s="136"/>
      <c r="G699" s="136"/>
      <c r="H699" s="82" t="e">
        <v>#N/A</v>
      </c>
      <c r="I699" s="136"/>
      <c r="J699" s="136"/>
    </row>
    <row r="700" hidden="1">
      <c r="A700" s="136"/>
      <c r="B700" s="163"/>
      <c r="C700" s="136"/>
      <c r="D700" s="136"/>
      <c r="E700" s="136"/>
      <c r="F700" s="136"/>
      <c r="G700" s="136"/>
      <c r="H700" s="82" t="e">
        <v>#N/A</v>
      </c>
      <c r="I700" s="136"/>
      <c r="J700" s="136"/>
    </row>
    <row r="701" hidden="1">
      <c r="A701" s="136"/>
      <c r="B701" s="163"/>
      <c r="C701" s="136"/>
      <c r="D701" s="136"/>
      <c r="E701" s="136"/>
      <c r="F701" s="136"/>
      <c r="G701" s="136"/>
      <c r="H701" s="82" t="e">
        <v>#N/A</v>
      </c>
      <c r="I701" s="136"/>
      <c r="J701" s="136"/>
    </row>
    <row r="702" hidden="1">
      <c r="A702" s="136"/>
      <c r="B702" s="163"/>
      <c r="C702" s="136"/>
      <c r="D702" s="136"/>
      <c r="E702" s="136"/>
      <c r="F702" s="136"/>
      <c r="G702" s="136"/>
      <c r="H702" s="82" t="e">
        <v>#N/A</v>
      </c>
      <c r="I702" s="136"/>
      <c r="J702" s="136"/>
    </row>
    <row r="703" hidden="1">
      <c r="A703" s="136"/>
      <c r="B703" s="163"/>
      <c r="C703" s="136"/>
      <c r="D703" s="136"/>
      <c r="E703" s="136"/>
      <c r="F703" s="136"/>
      <c r="G703" s="136"/>
      <c r="H703" s="82" t="e">
        <v>#N/A</v>
      </c>
      <c r="I703" s="136"/>
      <c r="J703" s="136"/>
    </row>
    <row r="704" hidden="1">
      <c r="A704" s="136"/>
      <c r="B704" s="163"/>
      <c r="C704" s="136"/>
      <c r="D704" s="136"/>
      <c r="E704" s="136"/>
      <c r="F704" s="136"/>
      <c r="G704" s="136"/>
      <c r="H704" s="82" t="e">
        <v>#N/A</v>
      </c>
      <c r="I704" s="136"/>
      <c r="J704" s="136"/>
    </row>
    <row r="705" hidden="1">
      <c r="A705" s="136"/>
      <c r="B705" s="163"/>
      <c r="C705" s="136"/>
      <c r="D705" s="136"/>
      <c r="E705" s="136"/>
      <c r="F705" s="136"/>
      <c r="G705" s="136"/>
      <c r="H705" s="82" t="e">
        <v>#N/A</v>
      </c>
      <c r="I705" s="136"/>
      <c r="J705" s="136"/>
    </row>
    <row r="706" hidden="1">
      <c r="A706" s="136"/>
      <c r="B706" s="163"/>
      <c r="C706" s="136"/>
      <c r="D706" s="136"/>
      <c r="E706" s="136"/>
      <c r="F706" s="136"/>
      <c r="G706" s="136"/>
      <c r="H706" s="82" t="e">
        <v>#N/A</v>
      </c>
      <c r="I706" s="136"/>
      <c r="J706" s="136"/>
    </row>
    <row r="707" hidden="1">
      <c r="A707" s="136"/>
      <c r="B707" s="163"/>
      <c r="C707" s="136"/>
      <c r="D707" s="136"/>
      <c r="E707" s="136"/>
      <c r="F707" s="136"/>
      <c r="G707" s="136"/>
      <c r="H707" s="82" t="e">
        <v>#N/A</v>
      </c>
      <c r="I707" s="136"/>
      <c r="J707" s="136"/>
    </row>
    <row r="708" hidden="1">
      <c r="A708" s="136"/>
      <c r="B708" s="163"/>
      <c r="C708" s="136"/>
      <c r="D708" s="136"/>
      <c r="E708" s="136"/>
      <c r="F708" s="136"/>
      <c r="G708" s="136"/>
      <c r="H708" s="82" t="e">
        <v>#N/A</v>
      </c>
      <c r="I708" s="136"/>
      <c r="J708" s="136"/>
    </row>
    <row r="709" hidden="1">
      <c r="A709" s="136"/>
      <c r="B709" s="163"/>
      <c r="C709" s="136"/>
      <c r="D709" s="136"/>
      <c r="E709" s="136"/>
      <c r="F709" s="136"/>
      <c r="G709" s="136"/>
      <c r="H709" s="82" t="e">
        <v>#N/A</v>
      </c>
      <c r="I709" s="136"/>
      <c r="J709" s="136"/>
    </row>
    <row r="710" hidden="1">
      <c r="A710" s="136"/>
      <c r="B710" s="163"/>
      <c r="C710" s="136"/>
      <c r="D710" s="136"/>
      <c r="E710" s="136"/>
      <c r="F710" s="136"/>
      <c r="G710" s="136"/>
      <c r="H710" s="82" t="e">
        <v>#N/A</v>
      </c>
      <c r="I710" s="136"/>
      <c r="J710" s="136"/>
    </row>
    <row r="711" hidden="1">
      <c r="A711" s="136"/>
      <c r="B711" s="163"/>
      <c r="C711" s="136"/>
      <c r="D711" s="136"/>
      <c r="E711" s="136"/>
      <c r="F711" s="136"/>
      <c r="G711" s="136"/>
      <c r="H711" s="82" t="e">
        <v>#N/A</v>
      </c>
      <c r="I711" s="136"/>
      <c r="J711" s="136"/>
    </row>
    <row r="712" hidden="1">
      <c r="A712" s="136"/>
      <c r="B712" s="163"/>
      <c r="C712" s="136"/>
      <c r="D712" s="136"/>
      <c r="E712" s="136"/>
      <c r="F712" s="136"/>
      <c r="G712" s="136"/>
      <c r="H712" s="82" t="e">
        <v>#N/A</v>
      </c>
      <c r="I712" s="136"/>
      <c r="J712" s="136"/>
    </row>
    <row r="713" hidden="1">
      <c r="A713" s="136"/>
      <c r="B713" s="163"/>
      <c r="C713" s="136"/>
      <c r="D713" s="136"/>
      <c r="E713" s="136"/>
      <c r="F713" s="136"/>
      <c r="G713" s="136"/>
      <c r="H713" s="82" t="e">
        <v>#N/A</v>
      </c>
      <c r="I713" s="136"/>
      <c r="J713" s="136"/>
    </row>
    <row r="714" hidden="1">
      <c r="A714" s="136"/>
      <c r="B714" s="163"/>
      <c r="C714" s="136"/>
      <c r="D714" s="136"/>
      <c r="E714" s="136"/>
      <c r="F714" s="136"/>
      <c r="G714" s="136"/>
      <c r="H714" s="82" t="e">
        <v>#N/A</v>
      </c>
      <c r="I714" s="136"/>
      <c r="J714" s="136"/>
    </row>
    <row r="715" hidden="1">
      <c r="A715" s="136"/>
      <c r="B715" s="163"/>
      <c r="C715" s="136"/>
      <c r="D715" s="136"/>
      <c r="E715" s="136"/>
      <c r="F715" s="136"/>
      <c r="G715" s="136"/>
      <c r="H715" s="82" t="e">
        <v>#N/A</v>
      </c>
      <c r="I715" s="136"/>
      <c r="J715" s="136"/>
    </row>
    <row r="716" hidden="1">
      <c r="A716" s="136"/>
      <c r="B716" s="163"/>
      <c r="C716" s="136"/>
      <c r="D716" s="136"/>
      <c r="E716" s="136"/>
      <c r="F716" s="136"/>
      <c r="G716" s="136"/>
      <c r="H716" s="82" t="e">
        <v>#N/A</v>
      </c>
      <c r="I716" s="136"/>
      <c r="J716" s="136"/>
    </row>
    <row r="717" hidden="1">
      <c r="A717" s="136"/>
      <c r="B717" s="163"/>
      <c r="C717" s="136"/>
      <c r="D717" s="136"/>
      <c r="E717" s="136"/>
      <c r="F717" s="136"/>
      <c r="G717" s="136"/>
      <c r="H717" s="82" t="e">
        <v>#N/A</v>
      </c>
      <c r="I717" s="136"/>
      <c r="J717" s="136"/>
    </row>
    <row r="718" hidden="1">
      <c r="A718" s="136"/>
      <c r="B718" s="163"/>
      <c r="C718" s="136"/>
      <c r="D718" s="136"/>
      <c r="E718" s="136"/>
      <c r="F718" s="136"/>
      <c r="G718" s="136"/>
      <c r="H718" s="82" t="e">
        <v>#N/A</v>
      </c>
      <c r="I718" s="136"/>
      <c r="J718" s="136"/>
    </row>
    <row r="719" hidden="1">
      <c r="A719" s="136"/>
      <c r="B719" s="163"/>
      <c r="C719" s="136"/>
      <c r="D719" s="136"/>
      <c r="E719" s="136"/>
      <c r="F719" s="136"/>
      <c r="G719" s="136"/>
      <c r="H719" s="82" t="e">
        <v>#N/A</v>
      </c>
      <c r="I719" s="136"/>
      <c r="J719" s="136"/>
    </row>
    <row r="720" hidden="1">
      <c r="A720" s="136"/>
      <c r="B720" s="163"/>
      <c r="C720" s="136"/>
      <c r="D720" s="136"/>
      <c r="E720" s="136"/>
      <c r="F720" s="136"/>
      <c r="G720" s="136"/>
      <c r="H720" s="82" t="e">
        <v>#N/A</v>
      </c>
      <c r="I720" s="136"/>
      <c r="J720" s="136"/>
    </row>
    <row r="721" hidden="1">
      <c r="A721" s="136"/>
      <c r="B721" s="163"/>
      <c r="C721" s="136"/>
      <c r="D721" s="136"/>
      <c r="E721" s="136"/>
      <c r="F721" s="136"/>
      <c r="G721" s="136"/>
      <c r="H721" s="82" t="e">
        <v>#N/A</v>
      </c>
      <c r="I721" s="136"/>
      <c r="J721" s="136"/>
    </row>
    <row r="722" hidden="1">
      <c r="A722" s="136"/>
      <c r="B722" s="163"/>
      <c r="C722" s="136"/>
      <c r="D722" s="136"/>
      <c r="E722" s="136"/>
      <c r="F722" s="136"/>
      <c r="G722" s="136"/>
      <c r="H722" s="82" t="e">
        <v>#N/A</v>
      </c>
      <c r="I722" s="136"/>
      <c r="J722" s="136"/>
    </row>
    <row r="723" hidden="1">
      <c r="A723" s="136"/>
      <c r="B723" s="163"/>
      <c r="C723" s="136"/>
      <c r="D723" s="136"/>
      <c r="E723" s="136"/>
      <c r="F723" s="136"/>
      <c r="G723" s="136"/>
      <c r="H723" s="82" t="e">
        <v>#N/A</v>
      </c>
      <c r="I723" s="136"/>
      <c r="J723" s="136"/>
    </row>
    <row r="724" hidden="1">
      <c r="A724" s="136"/>
      <c r="B724" s="163"/>
      <c r="C724" s="136"/>
      <c r="D724" s="136"/>
      <c r="E724" s="136"/>
      <c r="F724" s="136"/>
      <c r="G724" s="136"/>
      <c r="H724" s="82" t="e">
        <v>#N/A</v>
      </c>
      <c r="I724" s="136"/>
      <c r="J724" s="136"/>
    </row>
    <row r="725" hidden="1">
      <c r="A725" s="136"/>
      <c r="B725" s="163"/>
      <c r="C725" s="136"/>
      <c r="D725" s="136"/>
      <c r="E725" s="136"/>
      <c r="F725" s="136"/>
      <c r="G725" s="136"/>
      <c r="H725" s="82" t="e">
        <v>#N/A</v>
      </c>
      <c r="I725" s="136"/>
      <c r="J725" s="136"/>
    </row>
    <row r="726" hidden="1">
      <c r="A726" s="136"/>
      <c r="B726" s="163"/>
      <c r="C726" s="136"/>
      <c r="D726" s="136"/>
      <c r="E726" s="136"/>
      <c r="F726" s="136"/>
      <c r="G726" s="136"/>
      <c r="H726" s="82" t="e">
        <v>#N/A</v>
      </c>
      <c r="I726" s="136"/>
      <c r="J726" s="136"/>
    </row>
    <row r="727" hidden="1">
      <c r="A727" s="136"/>
      <c r="B727" s="163"/>
      <c r="C727" s="136"/>
      <c r="D727" s="136"/>
      <c r="E727" s="136"/>
      <c r="F727" s="136"/>
      <c r="G727" s="136"/>
      <c r="H727" s="82" t="e">
        <v>#N/A</v>
      </c>
      <c r="I727" s="136"/>
      <c r="J727" s="136"/>
    </row>
    <row r="728" hidden="1">
      <c r="A728" s="136"/>
      <c r="B728" s="163"/>
      <c r="C728" s="136"/>
      <c r="D728" s="136"/>
      <c r="E728" s="136"/>
      <c r="F728" s="136"/>
      <c r="G728" s="136"/>
      <c r="H728" s="82" t="e">
        <v>#N/A</v>
      </c>
      <c r="I728" s="136"/>
      <c r="J728" s="136"/>
    </row>
    <row r="729" hidden="1">
      <c r="A729" s="136"/>
      <c r="B729" s="163"/>
      <c r="C729" s="136"/>
      <c r="D729" s="136"/>
      <c r="E729" s="136"/>
      <c r="F729" s="136"/>
      <c r="G729" s="136"/>
      <c r="H729" s="82" t="e">
        <v>#N/A</v>
      </c>
      <c r="I729" s="136"/>
      <c r="J729" s="136"/>
    </row>
    <row r="730" hidden="1">
      <c r="A730" s="136"/>
      <c r="B730" s="163"/>
      <c r="C730" s="136"/>
      <c r="D730" s="136"/>
      <c r="E730" s="136"/>
      <c r="F730" s="136"/>
      <c r="G730" s="136"/>
      <c r="H730" s="82" t="e">
        <v>#N/A</v>
      </c>
      <c r="I730" s="136"/>
      <c r="J730" s="136"/>
    </row>
    <row r="731" hidden="1">
      <c r="A731" s="136"/>
      <c r="B731" s="163"/>
      <c r="C731" s="136"/>
      <c r="D731" s="136"/>
      <c r="E731" s="136"/>
      <c r="F731" s="136"/>
      <c r="G731" s="136"/>
      <c r="H731" s="82" t="e">
        <v>#N/A</v>
      </c>
      <c r="I731" s="136"/>
      <c r="J731" s="136"/>
    </row>
    <row r="732" hidden="1">
      <c r="A732" s="136"/>
      <c r="B732" s="163"/>
      <c r="C732" s="136"/>
      <c r="D732" s="136"/>
      <c r="E732" s="136"/>
      <c r="F732" s="136"/>
      <c r="G732" s="136"/>
      <c r="H732" s="82" t="e">
        <v>#N/A</v>
      </c>
      <c r="I732" s="136"/>
      <c r="J732" s="136"/>
    </row>
    <row r="733" hidden="1">
      <c r="A733" s="136"/>
      <c r="B733" s="163"/>
      <c r="C733" s="136"/>
      <c r="D733" s="136"/>
      <c r="E733" s="136"/>
      <c r="F733" s="136"/>
      <c r="G733" s="136"/>
      <c r="H733" s="82" t="e">
        <v>#N/A</v>
      </c>
      <c r="I733" s="136"/>
      <c r="J733" s="136"/>
    </row>
    <row r="734" hidden="1">
      <c r="A734" s="136"/>
      <c r="B734" s="163"/>
      <c r="C734" s="136"/>
      <c r="D734" s="136"/>
      <c r="E734" s="136"/>
      <c r="F734" s="136"/>
      <c r="G734" s="136"/>
      <c r="H734" s="82" t="e">
        <v>#N/A</v>
      </c>
      <c r="I734" s="136"/>
      <c r="J734" s="136"/>
    </row>
    <row r="735" hidden="1">
      <c r="A735" s="136"/>
      <c r="B735" s="163"/>
      <c r="C735" s="136"/>
      <c r="D735" s="136"/>
      <c r="E735" s="136"/>
      <c r="F735" s="136"/>
      <c r="G735" s="136"/>
      <c r="H735" s="82" t="e">
        <v>#N/A</v>
      </c>
      <c r="I735" s="136"/>
      <c r="J735" s="136"/>
    </row>
    <row r="736" hidden="1">
      <c r="A736" s="136"/>
      <c r="B736" s="163"/>
      <c r="C736" s="136"/>
      <c r="D736" s="136"/>
      <c r="E736" s="136"/>
      <c r="F736" s="136"/>
      <c r="G736" s="136"/>
      <c r="H736" s="82" t="e">
        <v>#N/A</v>
      </c>
      <c r="I736" s="136"/>
      <c r="J736" s="136"/>
    </row>
    <row r="737" hidden="1">
      <c r="A737" s="136"/>
      <c r="B737" s="163"/>
      <c r="C737" s="136"/>
      <c r="D737" s="136"/>
      <c r="E737" s="136"/>
      <c r="F737" s="136"/>
      <c r="G737" s="136"/>
      <c r="H737" s="82" t="e">
        <v>#N/A</v>
      </c>
      <c r="I737" s="136"/>
      <c r="J737" s="136"/>
    </row>
    <row r="738" hidden="1">
      <c r="A738" s="136"/>
      <c r="B738" s="163"/>
      <c r="C738" s="136"/>
      <c r="D738" s="136"/>
      <c r="E738" s="136"/>
      <c r="F738" s="136"/>
      <c r="G738" s="136"/>
      <c r="H738" s="82" t="e">
        <v>#N/A</v>
      </c>
      <c r="I738" s="136"/>
      <c r="J738" s="136"/>
    </row>
    <row r="739" hidden="1">
      <c r="A739" s="136"/>
      <c r="B739" s="163"/>
      <c r="C739" s="136"/>
      <c r="D739" s="136"/>
      <c r="E739" s="136"/>
      <c r="F739" s="136"/>
      <c r="G739" s="136"/>
      <c r="H739" s="82" t="e">
        <v>#N/A</v>
      </c>
      <c r="I739" s="136"/>
      <c r="J739" s="136"/>
    </row>
    <row r="740" hidden="1">
      <c r="A740" s="136"/>
      <c r="B740" s="163"/>
      <c r="C740" s="136"/>
      <c r="D740" s="136"/>
      <c r="E740" s="136"/>
      <c r="F740" s="136"/>
      <c r="G740" s="136"/>
      <c r="H740" s="82" t="e">
        <v>#N/A</v>
      </c>
      <c r="I740" s="136"/>
      <c r="J740" s="136"/>
    </row>
    <row r="741" hidden="1">
      <c r="A741" s="136"/>
      <c r="B741" s="163"/>
      <c r="C741" s="136"/>
      <c r="D741" s="136"/>
      <c r="E741" s="136"/>
      <c r="F741" s="136"/>
      <c r="G741" s="136"/>
      <c r="H741" s="82" t="e">
        <v>#N/A</v>
      </c>
      <c r="I741" s="136"/>
      <c r="J741" s="136"/>
    </row>
    <row r="742" hidden="1">
      <c r="A742" s="136"/>
      <c r="B742" s="163"/>
      <c r="C742" s="136"/>
      <c r="D742" s="136"/>
      <c r="E742" s="136"/>
      <c r="F742" s="136"/>
      <c r="G742" s="136"/>
      <c r="H742" s="82" t="e">
        <v>#N/A</v>
      </c>
      <c r="I742" s="136"/>
      <c r="J742" s="136"/>
    </row>
    <row r="743" hidden="1">
      <c r="A743" s="136"/>
      <c r="B743" s="163"/>
      <c r="C743" s="136"/>
      <c r="D743" s="136"/>
      <c r="E743" s="136"/>
      <c r="F743" s="136"/>
      <c r="G743" s="136"/>
      <c r="H743" s="82" t="e">
        <v>#N/A</v>
      </c>
      <c r="I743" s="136"/>
      <c r="J743" s="136"/>
    </row>
    <row r="744" hidden="1">
      <c r="A744" s="136"/>
      <c r="B744" s="163"/>
      <c r="C744" s="136"/>
      <c r="D744" s="136"/>
      <c r="E744" s="136"/>
      <c r="F744" s="136"/>
      <c r="G744" s="136"/>
      <c r="H744" s="82" t="e">
        <v>#N/A</v>
      </c>
      <c r="I744" s="136"/>
      <c r="J744" s="136"/>
    </row>
    <row r="745" hidden="1">
      <c r="A745" s="136"/>
      <c r="B745" s="163"/>
      <c r="C745" s="136"/>
      <c r="D745" s="136"/>
      <c r="E745" s="136"/>
      <c r="F745" s="136"/>
      <c r="G745" s="136"/>
      <c r="H745" s="82" t="e">
        <v>#N/A</v>
      </c>
      <c r="I745" s="136"/>
      <c r="J745" s="136"/>
    </row>
    <row r="746" hidden="1">
      <c r="A746" s="136"/>
      <c r="B746" s="163"/>
      <c r="C746" s="136"/>
      <c r="D746" s="136"/>
      <c r="E746" s="136"/>
      <c r="F746" s="136"/>
      <c r="G746" s="136"/>
      <c r="H746" s="82" t="e">
        <v>#N/A</v>
      </c>
      <c r="I746" s="136"/>
      <c r="J746" s="136"/>
    </row>
    <row r="747" hidden="1">
      <c r="A747" s="136"/>
      <c r="B747" s="163"/>
      <c r="C747" s="136"/>
      <c r="D747" s="136"/>
      <c r="E747" s="136"/>
      <c r="F747" s="136"/>
      <c r="G747" s="136"/>
      <c r="H747" s="82" t="e">
        <v>#N/A</v>
      </c>
      <c r="I747" s="136"/>
      <c r="J747" s="136"/>
    </row>
    <row r="748" hidden="1">
      <c r="A748" s="136"/>
      <c r="B748" s="163"/>
      <c r="C748" s="136"/>
      <c r="D748" s="136"/>
      <c r="E748" s="136"/>
      <c r="F748" s="136"/>
      <c r="G748" s="136"/>
      <c r="H748" s="82" t="e">
        <v>#N/A</v>
      </c>
      <c r="I748" s="136"/>
      <c r="J748" s="136"/>
    </row>
    <row r="749" hidden="1">
      <c r="A749" s="136"/>
      <c r="B749" s="163"/>
      <c r="C749" s="136"/>
      <c r="D749" s="136"/>
      <c r="E749" s="136"/>
      <c r="F749" s="136"/>
      <c r="G749" s="136"/>
      <c r="H749" s="82" t="e">
        <v>#N/A</v>
      </c>
      <c r="I749" s="136"/>
      <c r="J749" s="136"/>
    </row>
    <row r="750" hidden="1">
      <c r="A750" s="136"/>
      <c r="B750" s="163"/>
      <c r="C750" s="136"/>
      <c r="D750" s="136"/>
      <c r="E750" s="136"/>
      <c r="F750" s="136"/>
      <c r="G750" s="136"/>
      <c r="H750" s="82" t="e">
        <v>#N/A</v>
      </c>
      <c r="I750" s="136"/>
      <c r="J750" s="136"/>
    </row>
    <row r="751" hidden="1">
      <c r="A751" s="136"/>
      <c r="B751" s="163"/>
      <c r="C751" s="136"/>
      <c r="D751" s="136"/>
      <c r="E751" s="136"/>
      <c r="F751" s="136"/>
      <c r="G751" s="136"/>
      <c r="H751" s="82" t="e">
        <v>#N/A</v>
      </c>
      <c r="I751" s="136"/>
      <c r="J751" s="136"/>
    </row>
    <row r="752" hidden="1">
      <c r="A752" s="136"/>
      <c r="B752" s="163"/>
      <c r="C752" s="136"/>
      <c r="D752" s="136"/>
      <c r="E752" s="136"/>
      <c r="F752" s="136"/>
      <c r="G752" s="136"/>
      <c r="H752" s="82" t="e">
        <v>#N/A</v>
      </c>
      <c r="I752" s="136"/>
      <c r="J752" s="136"/>
    </row>
    <row r="753" hidden="1">
      <c r="A753" s="136"/>
      <c r="B753" s="163"/>
      <c r="C753" s="136"/>
      <c r="D753" s="136"/>
      <c r="E753" s="136"/>
      <c r="F753" s="136"/>
      <c r="G753" s="136"/>
      <c r="H753" s="82" t="e">
        <v>#N/A</v>
      </c>
      <c r="I753" s="136"/>
      <c r="J753" s="136"/>
    </row>
    <row r="754" hidden="1">
      <c r="A754" s="136"/>
      <c r="B754" s="163"/>
      <c r="C754" s="136"/>
      <c r="D754" s="136"/>
      <c r="E754" s="136"/>
      <c r="F754" s="136"/>
      <c r="G754" s="136"/>
      <c r="H754" s="82" t="e">
        <v>#N/A</v>
      </c>
      <c r="I754" s="136"/>
      <c r="J754" s="136"/>
    </row>
    <row r="755" hidden="1">
      <c r="A755" s="136"/>
      <c r="B755" s="163"/>
      <c r="C755" s="136"/>
      <c r="D755" s="136"/>
      <c r="E755" s="136"/>
      <c r="F755" s="136"/>
      <c r="G755" s="136"/>
      <c r="H755" s="82" t="e">
        <v>#N/A</v>
      </c>
      <c r="I755" s="136"/>
      <c r="J755" s="136"/>
    </row>
    <row r="756" hidden="1">
      <c r="A756" s="136"/>
      <c r="B756" s="163"/>
      <c r="C756" s="136"/>
      <c r="D756" s="136"/>
      <c r="E756" s="136"/>
      <c r="F756" s="136"/>
      <c r="G756" s="136"/>
      <c r="H756" s="82" t="e">
        <v>#N/A</v>
      </c>
      <c r="I756" s="136"/>
      <c r="J756" s="136"/>
    </row>
    <row r="757" hidden="1">
      <c r="A757" s="136"/>
      <c r="B757" s="163"/>
      <c r="C757" s="136"/>
      <c r="D757" s="136"/>
      <c r="E757" s="136"/>
      <c r="F757" s="136"/>
      <c r="G757" s="136"/>
      <c r="H757" s="82" t="e">
        <v>#N/A</v>
      </c>
      <c r="I757" s="136"/>
      <c r="J757" s="136"/>
    </row>
    <row r="758" hidden="1">
      <c r="A758" s="136"/>
      <c r="B758" s="163"/>
      <c r="C758" s="136"/>
      <c r="D758" s="136"/>
      <c r="E758" s="136"/>
      <c r="F758" s="136"/>
      <c r="G758" s="136"/>
      <c r="H758" s="82" t="e">
        <v>#N/A</v>
      </c>
      <c r="I758" s="136"/>
      <c r="J758" s="136"/>
    </row>
    <row r="759" hidden="1">
      <c r="A759" s="136"/>
      <c r="B759" s="163"/>
      <c r="C759" s="136"/>
      <c r="D759" s="136"/>
      <c r="E759" s="136"/>
      <c r="F759" s="136"/>
      <c r="G759" s="136"/>
      <c r="H759" s="82" t="e">
        <v>#N/A</v>
      </c>
      <c r="I759" s="136"/>
      <c r="J759" s="136"/>
    </row>
    <row r="760" hidden="1">
      <c r="A760" s="136"/>
      <c r="B760" s="163"/>
      <c r="C760" s="136"/>
      <c r="D760" s="136"/>
      <c r="E760" s="136"/>
      <c r="F760" s="136"/>
      <c r="G760" s="136"/>
      <c r="H760" s="82" t="e">
        <v>#N/A</v>
      </c>
      <c r="I760" s="136"/>
      <c r="J760" s="136"/>
    </row>
    <row r="761" hidden="1">
      <c r="A761" s="136"/>
      <c r="B761" s="163"/>
      <c r="C761" s="136"/>
      <c r="D761" s="136"/>
      <c r="E761" s="136"/>
      <c r="F761" s="136"/>
      <c r="G761" s="136"/>
      <c r="H761" s="82" t="e">
        <v>#N/A</v>
      </c>
      <c r="I761" s="136"/>
      <c r="J761" s="136"/>
    </row>
    <row r="762" hidden="1">
      <c r="A762" s="136"/>
      <c r="B762" s="163"/>
      <c r="C762" s="136"/>
      <c r="D762" s="136"/>
      <c r="E762" s="136"/>
      <c r="F762" s="136"/>
      <c r="G762" s="136"/>
      <c r="H762" s="82" t="e">
        <v>#N/A</v>
      </c>
      <c r="I762" s="136"/>
      <c r="J762" s="136"/>
    </row>
    <row r="763" hidden="1">
      <c r="A763" s="136"/>
      <c r="B763" s="163"/>
      <c r="C763" s="136"/>
      <c r="D763" s="136"/>
      <c r="E763" s="136"/>
      <c r="F763" s="136"/>
      <c r="G763" s="136"/>
      <c r="H763" s="82" t="e">
        <v>#N/A</v>
      </c>
      <c r="I763" s="136"/>
      <c r="J763" s="136"/>
    </row>
    <row r="764" hidden="1">
      <c r="A764" s="136"/>
      <c r="B764" s="163"/>
      <c r="C764" s="136"/>
      <c r="D764" s="136"/>
      <c r="E764" s="136"/>
      <c r="F764" s="136"/>
      <c r="G764" s="136"/>
      <c r="H764" s="82" t="e">
        <v>#N/A</v>
      </c>
      <c r="I764" s="136"/>
      <c r="J764" s="136"/>
    </row>
    <row r="765" hidden="1">
      <c r="A765" s="136"/>
      <c r="B765" s="163"/>
      <c r="C765" s="136"/>
      <c r="D765" s="136"/>
      <c r="E765" s="136"/>
      <c r="F765" s="136"/>
      <c r="G765" s="136"/>
      <c r="H765" s="82" t="e">
        <v>#N/A</v>
      </c>
      <c r="I765" s="136"/>
      <c r="J765" s="136"/>
    </row>
    <row r="766" hidden="1">
      <c r="A766" s="136"/>
      <c r="B766" s="163"/>
      <c r="C766" s="136"/>
      <c r="D766" s="136"/>
      <c r="E766" s="136"/>
      <c r="F766" s="136"/>
      <c r="G766" s="136"/>
      <c r="H766" s="82" t="e">
        <v>#N/A</v>
      </c>
      <c r="I766" s="136"/>
      <c r="J766" s="136"/>
    </row>
    <row r="767" hidden="1">
      <c r="A767" s="136"/>
      <c r="B767" s="163"/>
      <c r="C767" s="136"/>
      <c r="D767" s="136"/>
      <c r="E767" s="136"/>
      <c r="F767" s="136"/>
      <c r="G767" s="136"/>
      <c r="H767" s="82" t="e">
        <v>#N/A</v>
      </c>
      <c r="I767" s="136"/>
      <c r="J767" s="136"/>
    </row>
    <row r="768" hidden="1">
      <c r="A768" s="136"/>
      <c r="B768" s="163"/>
      <c r="C768" s="136"/>
      <c r="D768" s="136"/>
      <c r="E768" s="136"/>
      <c r="F768" s="136"/>
      <c r="G768" s="136"/>
      <c r="H768" s="82" t="e">
        <v>#N/A</v>
      </c>
      <c r="I768" s="136"/>
      <c r="J768" s="136"/>
    </row>
    <row r="769" hidden="1">
      <c r="A769" s="136"/>
      <c r="B769" s="163"/>
      <c r="C769" s="136"/>
      <c r="D769" s="136"/>
      <c r="E769" s="136"/>
      <c r="F769" s="136"/>
      <c r="G769" s="136"/>
      <c r="H769" s="82" t="e">
        <v>#N/A</v>
      </c>
      <c r="I769" s="136"/>
      <c r="J769" s="136"/>
    </row>
    <row r="770" hidden="1">
      <c r="A770" s="136"/>
      <c r="B770" s="163"/>
      <c r="C770" s="136"/>
      <c r="D770" s="136"/>
      <c r="E770" s="136"/>
      <c r="F770" s="136"/>
      <c r="G770" s="136"/>
      <c r="H770" s="82" t="e">
        <v>#N/A</v>
      </c>
      <c r="I770" s="136"/>
      <c r="J770" s="136"/>
    </row>
    <row r="771" hidden="1">
      <c r="A771" s="136"/>
      <c r="B771" s="163"/>
      <c r="C771" s="136"/>
      <c r="D771" s="136"/>
      <c r="E771" s="136"/>
      <c r="F771" s="136"/>
      <c r="G771" s="136"/>
      <c r="H771" s="82" t="e">
        <v>#N/A</v>
      </c>
      <c r="I771" s="136"/>
      <c r="J771" s="136"/>
    </row>
    <row r="772" hidden="1">
      <c r="A772" s="136"/>
      <c r="B772" s="163"/>
      <c r="C772" s="136"/>
      <c r="D772" s="136"/>
      <c r="E772" s="136"/>
      <c r="F772" s="136"/>
      <c r="G772" s="136"/>
      <c r="H772" s="82" t="e">
        <v>#N/A</v>
      </c>
      <c r="I772" s="136"/>
      <c r="J772" s="136"/>
    </row>
    <row r="773" hidden="1">
      <c r="A773" s="136"/>
      <c r="B773" s="163"/>
      <c r="C773" s="136"/>
      <c r="D773" s="136"/>
      <c r="E773" s="136"/>
      <c r="F773" s="136"/>
      <c r="G773" s="136"/>
      <c r="H773" s="82" t="e">
        <v>#N/A</v>
      </c>
      <c r="I773" s="136"/>
      <c r="J773" s="136"/>
    </row>
    <row r="774" hidden="1">
      <c r="A774" s="136"/>
      <c r="B774" s="163"/>
      <c r="C774" s="136"/>
      <c r="D774" s="136"/>
      <c r="E774" s="136"/>
      <c r="F774" s="136"/>
      <c r="G774" s="136"/>
      <c r="H774" s="82" t="e">
        <v>#N/A</v>
      </c>
      <c r="I774" s="136"/>
      <c r="J774" s="136"/>
    </row>
    <row r="775" hidden="1">
      <c r="A775" s="136"/>
      <c r="B775" s="163"/>
      <c r="C775" s="136"/>
      <c r="D775" s="136"/>
      <c r="E775" s="136"/>
      <c r="F775" s="136"/>
      <c r="G775" s="136"/>
      <c r="H775" s="82" t="e">
        <v>#N/A</v>
      </c>
      <c r="I775" s="136"/>
      <c r="J775" s="136"/>
    </row>
    <row r="776" hidden="1">
      <c r="A776" s="136"/>
      <c r="B776" s="163"/>
      <c r="C776" s="136"/>
      <c r="D776" s="136"/>
      <c r="E776" s="136"/>
      <c r="F776" s="136"/>
      <c r="G776" s="136"/>
      <c r="H776" s="82" t="e">
        <v>#N/A</v>
      </c>
      <c r="I776" s="136"/>
      <c r="J776" s="136"/>
    </row>
    <row r="777" hidden="1">
      <c r="A777" s="136"/>
      <c r="B777" s="163"/>
      <c r="C777" s="136"/>
      <c r="D777" s="136"/>
      <c r="E777" s="136"/>
      <c r="F777" s="136"/>
      <c r="G777" s="136"/>
      <c r="H777" s="82" t="e">
        <v>#N/A</v>
      </c>
      <c r="I777" s="136"/>
      <c r="J777" s="136"/>
    </row>
    <row r="778" hidden="1">
      <c r="A778" s="136"/>
      <c r="B778" s="163"/>
      <c r="C778" s="136"/>
      <c r="D778" s="136"/>
      <c r="E778" s="136"/>
      <c r="F778" s="136"/>
      <c r="G778" s="136"/>
      <c r="H778" s="82" t="e">
        <v>#N/A</v>
      </c>
      <c r="I778" s="136"/>
      <c r="J778" s="136"/>
    </row>
    <row r="779" hidden="1">
      <c r="A779" s="136"/>
      <c r="B779" s="163"/>
      <c r="C779" s="136"/>
      <c r="D779" s="136"/>
      <c r="E779" s="136"/>
      <c r="F779" s="136"/>
      <c r="G779" s="136"/>
      <c r="H779" s="82" t="e">
        <v>#N/A</v>
      </c>
      <c r="I779" s="136"/>
      <c r="J779" s="136"/>
    </row>
    <row r="780" hidden="1">
      <c r="A780" s="136"/>
      <c r="B780" s="163"/>
      <c r="C780" s="136"/>
      <c r="D780" s="136"/>
      <c r="E780" s="136"/>
      <c r="F780" s="136"/>
      <c r="G780" s="136"/>
      <c r="H780" s="82" t="e">
        <v>#N/A</v>
      </c>
      <c r="I780" s="136"/>
      <c r="J780" s="136"/>
    </row>
    <row r="781" hidden="1">
      <c r="A781" s="136"/>
      <c r="B781" s="163"/>
      <c r="C781" s="136"/>
      <c r="D781" s="136"/>
      <c r="E781" s="136"/>
      <c r="F781" s="136"/>
      <c r="G781" s="136"/>
      <c r="H781" s="82" t="e">
        <v>#N/A</v>
      </c>
      <c r="I781" s="136"/>
      <c r="J781" s="136"/>
    </row>
    <row r="782" hidden="1">
      <c r="A782" s="136"/>
      <c r="B782" s="163"/>
      <c r="C782" s="136"/>
      <c r="D782" s="136"/>
      <c r="E782" s="136"/>
      <c r="F782" s="136"/>
      <c r="G782" s="136"/>
      <c r="H782" s="82" t="e">
        <v>#N/A</v>
      </c>
      <c r="I782" s="136"/>
      <c r="J782" s="136"/>
    </row>
    <row r="783" hidden="1">
      <c r="A783" s="136"/>
      <c r="B783" s="163"/>
      <c r="C783" s="136"/>
      <c r="D783" s="136"/>
      <c r="E783" s="136"/>
      <c r="F783" s="136"/>
      <c r="G783" s="136"/>
      <c r="H783" s="82" t="e">
        <v>#N/A</v>
      </c>
      <c r="I783" s="136"/>
      <c r="J783" s="136"/>
    </row>
    <row r="784" hidden="1">
      <c r="A784" s="136"/>
      <c r="B784" s="163"/>
      <c r="C784" s="136"/>
      <c r="D784" s="136"/>
      <c r="E784" s="136"/>
      <c r="F784" s="136"/>
      <c r="G784" s="136"/>
      <c r="H784" s="82" t="e">
        <v>#N/A</v>
      </c>
      <c r="I784" s="136"/>
      <c r="J784" s="136"/>
    </row>
    <row r="785" hidden="1">
      <c r="A785" s="136"/>
      <c r="B785" s="163"/>
      <c r="C785" s="136"/>
      <c r="D785" s="136"/>
      <c r="E785" s="136"/>
      <c r="F785" s="136"/>
      <c r="G785" s="136"/>
      <c r="H785" s="82" t="e">
        <v>#N/A</v>
      </c>
      <c r="I785" s="136"/>
      <c r="J785" s="136"/>
    </row>
    <row r="786" hidden="1">
      <c r="A786" s="136"/>
      <c r="B786" s="163"/>
      <c r="C786" s="136"/>
      <c r="D786" s="136"/>
      <c r="E786" s="136"/>
      <c r="F786" s="136"/>
      <c r="G786" s="136"/>
      <c r="H786" s="82" t="e">
        <v>#N/A</v>
      </c>
      <c r="I786" s="136"/>
      <c r="J786" s="136"/>
    </row>
    <row r="787" hidden="1">
      <c r="A787" s="136"/>
      <c r="B787" s="163"/>
      <c r="C787" s="136"/>
      <c r="D787" s="136"/>
      <c r="E787" s="136"/>
      <c r="F787" s="136"/>
      <c r="G787" s="136"/>
      <c r="H787" s="82" t="e">
        <v>#N/A</v>
      </c>
      <c r="I787" s="136"/>
      <c r="J787" s="136"/>
    </row>
    <row r="788" hidden="1">
      <c r="A788" s="136"/>
      <c r="B788" s="163"/>
      <c r="C788" s="136"/>
      <c r="D788" s="136"/>
      <c r="E788" s="136"/>
      <c r="F788" s="136"/>
      <c r="G788" s="136"/>
      <c r="H788" s="82" t="e">
        <v>#N/A</v>
      </c>
      <c r="I788" s="136"/>
      <c r="J788" s="136"/>
    </row>
    <row r="789" hidden="1">
      <c r="A789" s="136"/>
      <c r="B789" s="163"/>
      <c r="C789" s="136"/>
      <c r="D789" s="136"/>
      <c r="E789" s="136"/>
      <c r="F789" s="136"/>
      <c r="G789" s="136"/>
      <c r="H789" s="82" t="e">
        <v>#N/A</v>
      </c>
      <c r="I789" s="136"/>
      <c r="J789" s="136"/>
    </row>
    <row r="790" hidden="1">
      <c r="A790" s="136"/>
      <c r="B790" s="163"/>
      <c r="C790" s="136"/>
      <c r="D790" s="136"/>
      <c r="E790" s="136"/>
      <c r="F790" s="136"/>
      <c r="G790" s="136"/>
      <c r="H790" s="82" t="e">
        <v>#N/A</v>
      </c>
      <c r="I790" s="136"/>
      <c r="J790" s="136"/>
    </row>
    <row r="791" hidden="1">
      <c r="A791" s="136"/>
      <c r="B791" s="163"/>
      <c r="C791" s="136"/>
      <c r="D791" s="136"/>
      <c r="E791" s="136"/>
      <c r="F791" s="136"/>
      <c r="G791" s="136"/>
      <c r="H791" s="82" t="e">
        <v>#N/A</v>
      </c>
      <c r="I791" s="136"/>
      <c r="J791" s="136"/>
    </row>
    <row r="792" hidden="1">
      <c r="A792" s="136"/>
      <c r="B792" s="163"/>
      <c r="C792" s="136"/>
      <c r="D792" s="136"/>
      <c r="E792" s="136"/>
      <c r="F792" s="136"/>
      <c r="G792" s="136"/>
      <c r="H792" s="82" t="e">
        <v>#N/A</v>
      </c>
      <c r="I792" s="136"/>
      <c r="J792" s="136"/>
    </row>
    <row r="793" hidden="1">
      <c r="A793" s="136"/>
      <c r="B793" s="163"/>
      <c r="C793" s="136"/>
      <c r="D793" s="136"/>
      <c r="E793" s="136"/>
      <c r="F793" s="136"/>
      <c r="G793" s="136"/>
      <c r="H793" s="82" t="e">
        <v>#N/A</v>
      </c>
      <c r="I793" s="136"/>
      <c r="J793" s="136"/>
    </row>
    <row r="794" hidden="1">
      <c r="A794" s="136"/>
      <c r="B794" s="163"/>
      <c r="C794" s="136"/>
      <c r="D794" s="136"/>
      <c r="E794" s="136"/>
      <c r="F794" s="136"/>
      <c r="G794" s="136"/>
      <c r="H794" s="82" t="e">
        <v>#N/A</v>
      </c>
      <c r="I794" s="136"/>
      <c r="J794" s="136"/>
    </row>
    <row r="795" hidden="1">
      <c r="A795" s="136"/>
      <c r="B795" s="163"/>
      <c r="C795" s="136"/>
      <c r="D795" s="136"/>
      <c r="E795" s="136"/>
      <c r="F795" s="136"/>
      <c r="G795" s="136"/>
      <c r="H795" s="82" t="e">
        <v>#N/A</v>
      </c>
      <c r="I795" s="136"/>
      <c r="J795" s="136"/>
    </row>
    <row r="796" hidden="1">
      <c r="A796" s="136"/>
      <c r="B796" s="163"/>
      <c r="C796" s="136"/>
      <c r="D796" s="136"/>
      <c r="E796" s="136"/>
      <c r="F796" s="136"/>
      <c r="G796" s="136"/>
      <c r="H796" s="82" t="e">
        <v>#N/A</v>
      </c>
      <c r="I796" s="136"/>
      <c r="J796" s="136"/>
    </row>
    <row r="797" hidden="1">
      <c r="A797" s="136"/>
      <c r="B797" s="163"/>
      <c r="C797" s="136"/>
      <c r="D797" s="136"/>
      <c r="E797" s="136"/>
      <c r="F797" s="136"/>
      <c r="G797" s="136"/>
      <c r="H797" s="82" t="e">
        <v>#N/A</v>
      </c>
      <c r="I797" s="136"/>
      <c r="J797" s="136"/>
    </row>
    <row r="798" hidden="1">
      <c r="A798" s="136"/>
      <c r="B798" s="163"/>
      <c r="C798" s="136"/>
      <c r="D798" s="136"/>
      <c r="E798" s="136"/>
      <c r="F798" s="246"/>
      <c r="G798" s="246"/>
      <c r="H798" s="82" t="e">
        <v>#N/A</v>
      </c>
      <c r="I798" s="246"/>
      <c r="J798" s="246"/>
    </row>
    <row r="799" hidden="1">
      <c r="A799" s="136"/>
      <c r="B799" s="163"/>
      <c r="C799" s="136"/>
      <c r="D799" s="136"/>
      <c r="E799" s="136"/>
      <c r="F799" s="246"/>
      <c r="G799" s="246"/>
      <c r="H799" s="82" t="e">
        <v>#N/A</v>
      </c>
      <c r="I799" s="246"/>
      <c r="J799" s="246"/>
    </row>
    <row r="800" hidden="1">
      <c r="A800" s="136"/>
      <c r="B800" s="163"/>
      <c r="C800" s="136"/>
      <c r="D800" s="136"/>
      <c r="E800" s="136"/>
      <c r="F800" s="246"/>
      <c r="G800" s="246"/>
      <c r="H800" s="82" t="e">
        <v>#N/A</v>
      </c>
      <c r="I800" s="246"/>
      <c r="J800" s="246"/>
    </row>
    <row r="801" hidden="1">
      <c r="A801" s="136"/>
      <c r="B801" s="163"/>
      <c r="C801" s="136"/>
      <c r="D801" s="136"/>
      <c r="E801" s="136"/>
      <c r="F801" s="246"/>
      <c r="G801" s="246"/>
      <c r="H801" s="82" t="e">
        <v>#N/A</v>
      </c>
      <c r="I801" s="246"/>
      <c r="J801" s="246"/>
    </row>
    <row r="802" hidden="1">
      <c r="A802" s="136"/>
      <c r="B802" s="136"/>
      <c r="C802" s="136"/>
      <c r="D802" s="136"/>
      <c r="E802" s="136"/>
      <c r="F802" s="246"/>
      <c r="G802" s="246"/>
      <c r="H802" s="82" t="e">
        <v>#N/A</v>
      </c>
      <c r="I802" s="246"/>
      <c r="J802" s="246"/>
    </row>
  </sheetData>
  <mergeCells count="46">
    <mergeCell ref="C1:D1"/>
    <mergeCell ref="A3:A7"/>
    <mergeCell ref="A10:A13"/>
    <mergeCell ref="A16:A18"/>
    <mergeCell ref="A25:A28"/>
    <mergeCell ref="A35:A39"/>
    <mergeCell ref="A42:A45"/>
    <mergeCell ref="A48:A50"/>
    <mergeCell ref="A53:A55"/>
    <mergeCell ref="A58:A59"/>
    <mergeCell ref="A62:A64"/>
    <mergeCell ref="A67:A69"/>
    <mergeCell ref="A72:A75"/>
    <mergeCell ref="A78:A81"/>
    <mergeCell ref="A84:A86"/>
    <mergeCell ref="A89:A91"/>
    <mergeCell ref="A94:A95"/>
    <mergeCell ref="A98:A101"/>
    <mergeCell ref="A104:A107"/>
    <mergeCell ref="A110:A115"/>
    <mergeCell ref="A118:A120"/>
    <mergeCell ref="A123:A126"/>
    <mergeCell ref="A130:A132"/>
    <mergeCell ref="A135:A136"/>
    <mergeCell ref="A139:A140"/>
    <mergeCell ref="A143:A146"/>
    <mergeCell ref="A149:A153"/>
    <mergeCell ref="A156:A158"/>
    <mergeCell ref="A161:A164"/>
    <mergeCell ref="A167:A170"/>
    <mergeCell ref="A173:A174"/>
    <mergeCell ref="A177:A179"/>
    <mergeCell ref="A182:A184"/>
    <mergeCell ref="A187:A189"/>
    <mergeCell ref="A192:A196"/>
    <mergeCell ref="A237:A239"/>
    <mergeCell ref="A242:A243"/>
    <mergeCell ref="A246:A248"/>
    <mergeCell ref="A251:A253"/>
    <mergeCell ref="A199:A201"/>
    <mergeCell ref="A204:A206"/>
    <mergeCell ref="A209:A210"/>
    <mergeCell ref="A213:A215"/>
    <mergeCell ref="A218:A220"/>
    <mergeCell ref="A226:A229"/>
    <mergeCell ref="A232:A234"/>
  </mergeCells>
  <conditionalFormatting sqref="B1:B7 B10:B18 B21:B22 B25:B28 B31:B32 B35:B39 B42:B45 B48:B50 B53:B55 B58:B59 B62:B64 B67:B69 B72:B75 B78:B81 B84:B86 B89:B91 B94:B95 B98:B101 B104:B107 B110:B115 B118:B120 B123:B126 B129:B136 B139:B140 B143:B146 B149:B153 B156:B164 B167:B174 B177:B179 B182:B184 B187:B189 B192:B196 B199:B201 B204:B206 B209:B210 B213:B215 B218:B220 B223 B226:B229 B232:B234 B237:B239 B242:B243 B246:B248 B251:B253 B256">
    <cfRule type="notContainsBlanks" dxfId="4" priority="1">
      <formula>LEN(TRIM(B1))&gt;0</formula>
    </cfRule>
  </conditionalFormatting>
  <drawing r:id="rId1"/>
  <tableParts count="34">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13.5"/>
    <col customWidth="1" min="3" max="3" width="14.13"/>
    <col customWidth="1" min="4" max="5" width="51.0"/>
    <col customWidth="1" min="6" max="26" width="40.25"/>
  </cols>
  <sheetData>
    <row r="1">
      <c r="A1" s="247" t="s">
        <v>5263</v>
      </c>
      <c r="B1" s="248"/>
      <c r="C1" s="248"/>
      <c r="D1" s="248"/>
      <c r="E1" s="248"/>
      <c r="F1" s="248"/>
      <c r="G1" s="248"/>
      <c r="H1" s="248"/>
      <c r="I1" s="248"/>
      <c r="J1" s="248"/>
      <c r="K1" s="248"/>
      <c r="L1" s="248"/>
      <c r="M1" s="248"/>
      <c r="N1" s="248"/>
      <c r="O1" s="248"/>
      <c r="P1" s="248"/>
      <c r="Q1" s="248"/>
      <c r="R1" s="248"/>
      <c r="S1" s="248"/>
    </row>
    <row r="2">
      <c r="A2" s="249" t="s">
        <v>5264</v>
      </c>
      <c r="B2" s="249" t="s">
        <v>5265</v>
      </c>
      <c r="C2" s="249" t="s">
        <v>9</v>
      </c>
      <c r="D2" s="249" t="s">
        <v>5266</v>
      </c>
      <c r="E2" s="250" t="s">
        <v>5267</v>
      </c>
      <c r="F2" s="251" t="s">
        <v>5268</v>
      </c>
      <c r="G2" s="252" t="s">
        <v>5269</v>
      </c>
      <c r="H2" s="252" t="s">
        <v>5270</v>
      </c>
      <c r="I2" s="248"/>
      <c r="J2" s="253">
        <f>COUNTIF(H:H,"done")</f>
        <v>322</v>
      </c>
      <c r="K2" s="248"/>
      <c r="L2" s="248"/>
      <c r="M2" s="248"/>
      <c r="N2" s="248"/>
      <c r="O2" s="248"/>
      <c r="P2" s="248"/>
      <c r="Q2" s="248"/>
      <c r="R2" s="248"/>
      <c r="S2" s="248"/>
    </row>
    <row r="3" hidden="1">
      <c r="A3" s="254">
        <v>6.0</v>
      </c>
      <c r="B3" s="255">
        <v>1.0</v>
      </c>
      <c r="C3" s="256">
        <v>0.0</v>
      </c>
      <c r="D3" s="257" t="s">
        <v>5271</v>
      </c>
      <c r="E3" s="258" t="s">
        <v>5272</v>
      </c>
      <c r="F3" s="258"/>
      <c r="G3" s="247" t="s">
        <v>5273</v>
      </c>
      <c r="H3" s="247" t="s">
        <v>5273</v>
      </c>
      <c r="I3" s="248"/>
      <c r="J3" s="248"/>
      <c r="K3" s="248"/>
      <c r="L3" s="248"/>
      <c r="M3" s="248"/>
      <c r="N3" s="248"/>
      <c r="O3" s="248"/>
      <c r="P3" s="248"/>
      <c r="Q3" s="248"/>
      <c r="R3" s="248"/>
      <c r="S3" s="248"/>
    </row>
    <row r="4" hidden="1">
      <c r="A4" s="256">
        <v>6.0</v>
      </c>
      <c r="B4" s="247">
        <v>1.0</v>
      </c>
      <c r="C4" s="256">
        <v>0.0</v>
      </c>
      <c r="D4" s="257" t="s">
        <v>5271</v>
      </c>
      <c r="E4" s="258" t="s">
        <v>5274</v>
      </c>
      <c r="F4" s="258"/>
      <c r="G4" s="247" t="s">
        <v>5273</v>
      </c>
      <c r="H4" s="247" t="s">
        <v>5273</v>
      </c>
      <c r="I4" s="248"/>
      <c r="J4" s="248"/>
      <c r="K4" s="248"/>
      <c r="L4" s="248"/>
      <c r="M4" s="248"/>
      <c r="N4" s="248"/>
      <c r="O4" s="248"/>
      <c r="P4" s="248"/>
      <c r="Q4" s="248"/>
      <c r="R4" s="248"/>
      <c r="S4" s="248"/>
    </row>
    <row r="5" hidden="1">
      <c r="A5" s="256">
        <v>6.0</v>
      </c>
      <c r="B5" s="256">
        <v>1.0</v>
      </c>
      <c r="C5" s="256">
        <v>1.0</v>
      </c>
      <c r="D5" s="257" t="s">
        <v>5275</v>
      </c>
      <c r="E5" s="258" t="s">
        <v>5276</v>
      </c>
      <c r="F5" s="258"/>
      <c r="G5" s="259" t="s">
        <v>5277</v>
      </c>
      <c r="H5" s="247" t="s">
        <v>5273</v>
      </c>
      <c r="I5" s="248"/>
      <c r="J5" s="248"/>
      <c r="K5" s="248"/>
      <c r="L5" s="248"/>
      <c r="M5" s="248"/>
      <c r="N5" s="248"/>
      <c r="O5" s="248"/>
      <c r="P5" s="248"/>
      <c r="Q5" s="248"/>
      <c r="R5" s="248"/>
      <c r="S5" s="248"/>
    </row>
    <row r="6" hidden="1">
      <c r="A6" s="256">
        <v>6.0</v>
      </c>
      <c r="B6" s="256">
        <v>1.0</v>
      </c>
      <c r="C6" s="256">
        <v>2.0</v>
      </c>
      <c r="D6" s="257" t="s">
        <v>69</v>
      </c>
      <c r="E6" s="258" t="s">
        <v>5278</v>
      </c>
      <c r="F6" s="258"/>
      <c r="G6" s="247" t="s">
        <v>5273</v>
      </c>
      <c r="H6" s="247" t="s">
        <v>5273</v>
      </c>
      <c r="I6" s="248"/>
      <c r="J6" s="248"/>
      <c r="K6" s="248"/>
      <c r="L6" s="248"/>
      <c r="M6" s="248"/>
      <c r="N6" s="248"/>
      <c r="O6" s="248"/>
      <c r="P6" s="248"/>
      <c r="Q6" s="248"/>
      <c r="R6" s="248"/>
      <c r="S6" s="248"/>
    </row>
    <row r="7" hidden="1">
      <c r="A7" s="256">
        <v>6.0</v>
      </c>
      <c r="B7" s="256">
        <v>1.0</v>
      </c>
      <c r="C7" s="256">
        <v>3.0</v>
      </c>
      <c r="D7" s="257" t="s">
        <v>69</v>
      </c>
      <c r="E7" s="258" t="s">
        <v>5279</v>
      </c>
      <c r="F7" s="258"/>
      <c r="G7" s="247" t="s">
        <v>5273</v>
      </c>
      <c r="H7" s="247" t="s">
        <v>5273</v>
      </c>
      <c r="I7" s="248"/>
      <c r="J7" s="248"/>
      <c r="K7" s="248"/>
      <c r="L7" s="248"/>
      <c r="M7" s="248"/>
      <c r="N7" s="248"/>
      <c r="O7" s="248"/>
      <c r="P7" s="248"/>
      <c r="Q7" s="248"/>
      <c r="R7" s="248"/>
      <c r="S7" s="248"/>
    </row>
    <row r="8" hidden="1">
      <c r="A8" s="260" t="s">
        <v>5280</v>
      </c>
      <c r="B8" s="256">
        <v>1.0</v>
      </c>
      <c r="C8" s="256">
        <v>4.0</v>
      </c>
      <c r="D8" s="257" t="s">
        <v>69</v>
      </c>
      <c r="E8" s="258" t="s">
        <v>5281</v>
      </c>
      <c r="F8" s="258"/>
      <c r="G8" s="247" t="s">
        <v>5273</v>
      </c>
      <c r="H8" s="247" t="s">
        <v>5273</v>
      </c>
      <c r="I8" s="248"/>
      <c r="J8" s="248"/>
      <c r="K8" s="248"/>
      <c r="L8" s="248"/>
      <c r="M8" s="248"/>
      <c r="N8" s="248"/>
      <c r="O8" s="248"/>
      <c r="P8" s="248"/>
      <c r="Q8" s="248"/>
      <c r="R8" s="248"/>
      <c r="S8" s="248"/>
    </row>
    <row r="9">
      <c r="A9" s="261"/>
      <c r="B9" s="256">
        <v>1.0</v>
      </c>
      <c r="C9" s="256">
        <v>5.0</v>
      </c>
      <c r="D9" s="257" t="s">
        <v>5282</v>
      </c>
      <c r="E9" s="258" t="s">
        <v>5283</v>
      </c>
      <c r="F9" s="262" t="s">
        <v>5284</v>
      </c>
      <c r="G9" s="247" t="s">
        <v>5273</v>
      </c>
      <c r="H9" s="247" t="s">
        <v>5273</v>
      </c>
      <c r="I9" s="248"/>
      <c r="J9" s="248"/>
      <c r="K9" s="248"/>
      <c r="L9" s="248"/>
      <c r="M9" s="248"/>
      <c r="N9" s="248"/>
      <c r="O9" s="248"/>
      <c r="P9" s="248"/>
      <c r="Q9" s="248"/>
      <c r="R9" s="248"/>
      <c r="S9" s="248"/>
    </row>
    <row r="10">
      <c r="A10" s="261" t="s">
        <v>5285</v>
      </c>
      <c r="B10" s="256">
        <v>1.0</v>
      </c>
      <c r="C10" s="256">
        <v>6.0</v>
      </c>
      <c r="D10" s="257" t="s">
        <v>5286</v>
      </c>
      <c r="E10" s="258" t="s">
        <v>5287</v>
      </c>
      <c r="F10" s="247"/>
      <c r="G10" s="247" t="s">
        <v>5273</v>
      </c>
      <c r="H10" s="247" t="s">
        <v>5273</v>
      </c>
      <c r="I10" s="248"/>
      <c r="J10" s="248"/>
      <c r="K10" s="248"/>
      <c r="L10" s="248"/>
      <c r="M10" s="248"/>
      <c r="N10" s="248"/>
      <c r="O10" s="248"/>
      <c r="P10" s="248"/>
      <c r="Q10" s="248"/>
      <c r="R10" s="248"/>
      <c r="S10" s="248"/>
    </row>
    <row r="11" hidden="1">
      <c r="A11" s="256">
        <v>6.0</v>
      </c>
      <c r="B11" s="256">
        <v>1.0</v>
      </c>
      <c r="C11" s="256">
        <v>7.0</v>
      </c>
      <c r="D11" s="257" t="s">
        <v>5288</v>
      </c>
      <c r="E11" s="258" t="s">
        <v>5289</v>
      </c>
      <c r="F11" s="258"/>
      <c r="G11" s="247" t="s">
        <v>5273</v>
      </c>
      <c r="H11" s="247" t="s">
        <v>5273</v>
      </c>
      <c r="I11" s="248"/>
      <c r="J11" s="248"/>
      <c r="K11" s="248"/>
      <c r="L11" s="248"/>
      <c r="M11" s="248"/>
      <c r="N11" s="248"/>
      <c r="O11" s="248"/>
      <c r="P11" s="248"/>
      <c r="Q11" s="248"/>
      <c r="R11" s="248"/>
      <c r="S11" s="248"/>
    </row>
    <row r="12" hidden="1">
      <c r="A12" s="263">
        <v>6.0</v>
      </c>
      <c r="B12" s="263">
        <v>1.0</v>
      </c>
      <c r="C12" s="263">
        <v>8.0</v>
      </c>
      <c r="D12" s="264" t="s">
        <v>5290</v>
      </c>
      <c r="E12" s="264" t="s">
        <v>5290</v>
      </c>
      <c r="F12" s="264"/>
      <c r="G12" s="265"/>
      <c r="H12" s="247" t="s">
        <v>5273</v>
      </c>
      <c r="I12" s="265"/>
      <c r="J12" s="265"/>
      <c r="K12" s="265"/>
      <c r="L12" s="265"/>
      <c r="M12" s="265"/>
      <c r="N12" s="265"/>
      <c r="O12" s="265"/>
      <c r="P12" s="265"/>
      <c r="Q12" s="265"/>
      <c r="R12" s="265"/>
      <c r="S12" s="265"/>
    </row>
    <row r="13" hidden="1">
      <c r="A13" s="256">
        <v>6.0</v>
      </c>
      <c r="B13" s="256">
        <v>2.0</v>
      </c>
      <c r="C13" s="256">
        <v>0.0</v>
      </c>
      <c r="D13" s="257" t="s">
        <v>5291</v>
      </c>
      <c r="E13" s="258" t="s">
        <v>5292</v>
      </c>
      <c r="F13" s="258"/>
      <c r="G13" s="247" t="s">
        <v>5273</v>
      </c>
      <c r="H13" s="247" t="s">
        <v>5273</v>
      </c>
      <c r="I13" s="248"/>
      <c r="J13" s="248"/>
      <c r="K13" s="248"/>
      <c r="L13" s="248"/>
      <c r="M13" s="248"/>
      <c r="N13" s="248"/>
      <c r="O13" s="248"/>
      <c r="P13" s="248"/>
      <c r="Q13" s="248"/>
      <c r="R13" s="248"/>
      <c r="S13" s="248"/>
    </row>
    <row r="14" hidden="1">
      <c r="A14" s="256">
        <v>6.0</v>
      </c>
      <c r="B14" s="256">
        <v>2.0</v>
      </c>
      <c r="C14" s="256">
        <v>1.0</v>
      </c>
      <c r="D14" s="257" t="s">
        <v>69</v>
      </c>
      <c r="E14" s="258" t="s">
        <v>5293</v>
      </c>
      <c r="F14" s="258"/>
      <c r="G14" s="259" t="s">
        <v>5294</v>
      </c>
      <c r="H14" s="247" t="s">
        <v>5273</v>
      </c>
      <c r="I14" s="248"/>
      <c r="J14" s="248"/>
      <c r="K14" s="248"/>
      <c r="L14" s="248"/>
      <c r="M14" s="248"/>
      <c r="N14" s="248"/>
      <c r="O14" s="248"/>
      <c r="P14" s="248"/>
      <c r="Q14" s="248"/>
      <c r="R14" s="248"/>
      <c r="S14" s="248"/>
    </row>
    <row r="15" hidden="1">
      <c r="A15" s="256">
        <v>6.0</v>
      </c>
      <c r="B15" s="256">
        <v>2.0</v>
      </c>
      <c r="C15" s="256">
        <v>2.0</v>
      </c>
      <c r="D15" s="257" t="s">
        <v>69</v>
      </c>
      <c r="E15" s="258" t="s">
        <v>5295</v>
      </c>
      <c r="F15" s="258"/>
      <c r="G15" s="247" t="s">
        <v>5273</v>
      </c>
      <c r="H15" s="247" t="s">
        <v>5273</v>
      </c>
      <c r="I15" s="248"/>
      <c r="J15" s="248"/>
      <c r="K15" s="248"/>
      <c r="L15" s="248"/>
      <c r="M15" s="248"/>
      <c r="N15" s="248"/>
      <c r="O15" s="248"/>
      <c r="P15" s="248"/>
      <c r="Q15" s="248"/>
      <c r="R15" s="248"/>
      <c r="S15" s="248"/>
    </row>
    <row r="16" hidden="1">
      <c r="A16" s="256">
        <v>6.0</v>
      </c>
      <c r="B16" s="256">
        <v>2.0</v>
      </c>
      <c r="C16" s="256">
        <v>3.0</v>
      </c>
      <c r="D16" s="257" t="s">
        <v>69</v>
      </c>
      <c r="E16" s="258" t="s">
        <v>5296</v>
      </c>
      <c r="F16" s="258"/>
      <c r="G16" s="247" t="s">
        <v>5273</v>
      </c>
      <c r="H16" s="247" t="s">
        <v>5273</v>
      </c>
      <c r="I16" s="248"/>
      <c r="J16" s="248"/>
      <c r="K16" s="248"/>
      <c r="L16" s="248"/>
      <c r="M16" s="248"/>
      <c r="N16" s="248"/>
      <c r="O16" s="248"/>
      <c r="P16" s="248"/>
      <c r="Q16" s="248"/>
      <c r="R16" s="248"/>
      <c r="S16" s="248"/>
    </row>
    <row r="17" hidden="1">
      <c r="A17" s="256">
        <v>6.0</v>
      </c>
      <c r="B17" s="256">
        <v>2.0</v>
      </c>
      <c r="C17" s="256">
        <v>4.0</v>
      </c>
      <c r="D17" s="257" t="s">
        <v>69</v>
      </c>
      <c r="E17" s="258" t="s">
        <v>5297</v>
      </c>
      <c r="F17" s="258"/>
      <c r="G17" s="247" t="s">
        <v>5273</v>
      </c>
      <c r="H17" s="247" t="s">
        <v>5273</v>
      </c>
      <c r="I17" s="248"/>
      <c r="J17" s="248"/>
      <c r="K17" s="248"/>
      <c r="L17" s="248"/>
      <c r="M17" s="248"/>
      <c r="N17" s="248"/>
      <c r="O17" s="248"/>
      <c r="P17" s="248"/>
      <c r="Q17" s="248"/>
      <c r="R17" s="248"/>
      <c r="S17" s="248"/>
    </row>
    <row r="18">
      <c r="A18" s="261" t="s">
        <v>5298</v>
      </c>
      <c r="B18" s="256">
        <v>2.0</v>
      </c>
      <c r="C18" s="256">
        <v>5.0</v>
      </c>
      <c r="D18" s="266" t="s">
        <v>5299</v>
      </c>
      <c r="E18" s="258" t="s">
        <v>5300</v>
      </c>
      <c r="F18" s="247"/>
      <c r="G18" s="247" t="s">
        <v>5273</v>
      </c>
      <c r="H18" s="247" t="s">
        <v>5273</v>
      </c>
      <c r="I18" s="248"/>
      <c r="J18" s="248"/>
      <c r="K18" s="248"/>
      <c r="L18" s="248"/>
      <c r="M18" s="248"/>
      <c r="N18" s="248"/>
      <c r="O18" s="248"/>
      <c r="P18" s="248"/>
      <c r="Q18" s="248"/>
      <c r="R18" s="248"/>
      <c r="S18" s="248"/>
    </row>
    <row r="19">
      <c r="A19" s="261" t="s">
        <v>5298</v>
      </c>
      <c r="B19" s="256">
        <v>2.0</v>
      </c>
      <c r="C19" s="256">
        <v>6.0</v>
      </c>
      <c r="D19" s="257" t="s">
        <v>5301</v>
      </c>
      <c r="E19" s="258" t="s">
        <v>5302</v>
      </c>
      <c r="F19" s="247"/>
      <c r="G19" s="247" t="s">
        <v>5273</v>
      </c>
      <c r="H19" s="247" t="s">
        <v>5273</v>
      </c>
      <c r="I19" s="248"/>
      <c r="J19" s="248"/>
      <c r="K19" s="248"/>
      <c r="L19" s="248"/>
      <c r="M19" s="248"/>
      <c r="N19" s="248"/>
      <c r="O19" s="248"/>
      <c r="P19" s="248"/>
      <c r="Q19" s="248"/>
      <c r="R19" s="248"/>
      <c r="S19" s="248"/>
    </row>
    <row r="20" hidden="1">
      <c r="A20" s="256">
        <v>6.0</v>
      </c>
      <c r="B20" s="256">
        <v>2.0</v>
      </c>
      <c r="C20" s="256">
        <v>7.0</v>
      </c>
      <c r="D20" s="257" t="s">
        <v>5303</v>
      </c>
      <c r="E20" s="258" t="s">
        <v>5304</v>
      </c>
      <c r="F20" s="258"/>
      <c r="G20" s="247" t="s">
        <v>5273</v>
      </c>
      <c r="H20" s="247" t="s">
        <v>5273</v>
      </c>
      <c r="I20" s="248"/>
      <c r="J20" s="248"/>
      <c r="K20" s="248"/>
      <c r="L20" s="248"/>
      <c r="M20" s="248"/>
      <c r="N20" s="248"/>
      <c r="O20" s="248"/>
      <c r="P20" s="248"/>
      <c r="Q20" s="248"/>
      <c r="R20" s="248"/>
      <c r="S20" s="248"/>
    </row>
    <row r="21" hidden="1">
      <c r="A21" s="267">
        <v>6.0</v>
      </c>
      <c r="B21" s="267">
        <v>2.0</v>
      </c>
      <c r="C21" s="267">
        <v>8.0</v>
      </c>
      <c r="D21" s="268" t="s">
        <v>5290</v>
      </c>
      <c r="E21" s="268" t="s">
        <v>5290</v>
      </c>
      <c r="F21" s="268"/>
      <c r="G21" s="269"/>
      <c r="H21" s="247" t="s">
        <v>5273</v>
      </c>
      <c r="I21" s="269"/>
      <c r="J21" s="269"/>
      <c r="K21" s="269"/>
      <c r="L21" s="269"/>
      <c r="M21" s="269"/>
      <c r="N21" s="269"/>
      <c r="O21" s="269"/>
      <c r="P21" s="269"/>
      <c r="Q21" s="269"/>
      <c r="R21" s="269"/>
      <c r="S21" s="269"/>
    </row>
    <row r="22" hidden="1">
      <c r="A22" s="256">
        <v>6.0</v>
      </c>
      <c r="B22" s="256">
        <v>3.0</v>
      </c>
      <c r="C22" s="256">
        <v>0.0</v>
      </c>
      <c r="D22" s="257" t="s">
        <v>5303</v>
      </c>
      <c r="E22" s="258" t="s">
        <v>5305</v>
      </c>
      <c r="F22" s="258"/>
      <c r="G22" s="247" t="s">
        <v>5273</v>
      </c>
      <c r="H22" s="247" t="s">
        <v>5273</v>
      </c>
      <c r="I22" s="248"/>
      <c r="J22" s="248"/>
      <c r="K22" s="248"/>
      <c r="L22" s="248"/>
      <c r="M22" s="248"/>
      <c r="N22" s="248"/>
      <c r="O22" s="248"/>
      <c r="P22" s="248"/>
      <c r="Q22" s="248"/>
      <c r="R22" s="248"/>
      <c r="S22" s="248"/>
    </row>
    <row r="23" hidden="1">
      <c r="A23" s="256">
        <v>6.0</v>
      </c>
      <c r="B23" s="256">
        <v>3.0</v>
      </c>
      <c r="C23" s="256">
        <v>0.0</v>
      </c>
      <c r="D23" s="257" t="s">
        <v>5291</v>
      </c>
      <c r="E23" s="258" t="s">
        <v>5306</v>
      </c>
      <c r="F23" s="258"/>
      <c r="G23" s="247" t="s">
        <v>5273</v>
      </c>
      <c r="H23" s="247" t="s">
        <v>5273</v>
      </c>
      <c r="I23" s="248"/>
      <c r="J23" s="248"/>
      <c r="K23" s="248"/>
      <c r="L23" s="248"/>
      <c r="M23" s="248"/>
      <c r="N23" s="248"/>
      <c r="O23" s="248"/>
      <c r="P23" s="248"/>
      <c r="Q23" s="248"/>
      <c r="R23" s="248"/>
      <c r="S23" s="248"/>
    </row>
    <row r="24" hidden="1">
      <c r="A24" s="256">
        <v>6.0</v>
      </c>
      <c r="B24" s="256">
        <v>3.0</v>
      </c>
      <c r="C24" s="256">
        <v>1.0</v>
      </c>
      <c r="D24" s="270"/>
      <c r="E24" s="258" t="s">
        <v>5307</v>
      </c>
      <c r="F24" s="258"/>
      <c r="G24" s="247" t="s">
        <v>5273</v>
      </c>
      <c r="H24" s="247" t="s">
        <v>5273</v>
      </c>
      <c r="I24" s="248"/>
      <c r="J24" s="248"/>
      <c r="K24" s="248"/>
      <c r="L24" s="248"/>
      <c r="M24" s="248"/>
      <c r="N24" s="248"/>
      <c r="O24" s="248"/>
      <c r="P24" s="248"/>
      <c r="Q24" s="248"/>
      <c r="R24" s="248"/>
      <c r="S24" s="248"/>
    </row>
    <row r="25" hidden="1">
      <c r="A25" s="256">
        <v>6.0</v>
      </c>
      <c r="B25" s="256">
        <v>3.0</v>
      </c>
      <c r="C25" s="256">
        <v>2.0</v>
      </c>
      <c r="D25" s="257" t="s">
        <v>5308</v>
      </c>
      <c r="E25" s="258" t="s">
        <v>5309</v>
      </c>
      <c r="F25" s="258"/>
      <c r="G25" s="247" t="s">
        <v>5273</v>
      </c>
      <c r="H25" s="247" t="s">
        <v>5273</v>
      </c>
      <c r="I25" s="248"/>
      <c r="J25" s="248"/>
      <c r="K25" s="248"/>
      <c r="L25" s="248"/>
      <c r="M25" s="248"/>
      <c r="N25" s="248"/>
      <c r="O25" s="248"/>
      <c r="P25" s="248"/>
      <c r="Q25" s="248"/>
      <c r="R25" s="248"/>
      <c r="S25" s="248"/>
    </row>
    <row r="26" hidden="1">
      <c r="A26" s="256">
        <v>6.0</v>
      </c>
      <c r="B26" s="256">
        <v>3.0</v>
      </c>
      <c r="C26" s="256">
        <v>3.0</v>
      </c>
      <c r="D26" s="257" t="s">
        <v>69</v>
      </c>
      <c r="E26" s="258" t="s">
        <v>5310</v>
      </c>
      <c r="F26" s="258"/>
      <c r="G26" s="247" t="s">
        <v>5273</v>
      </c>
      <c r="H26" s="247" t="s">
        <v>5273</v>
      </c>
      <c r="I26" s="248"/>
      <c r="J26" s="248"/>
      <c r="K26" s="248"/>
      <c r="L26" s="248"/>
      <c r="M26" s="248"/>
      <c r="N26" s="248"/>
      <c r="O26" s="248"/>
      <c r="P26" s="248"/>
      <c r="Q26" s="248"/>
      <c r="R26" s="248"/>
      <c r="S26" s="248"/>
    </row>
    <row r="27" hidden="1">
      <c r="A27" s="256">
        <v>6.0</v>
      </c>
      <c r="B27" s="256">
        <v>3.0</v>
      </c>
      <c r="C27" s="256">
        <v>4.0</v>
      </c>
      <c r="D27" s="257" t="s">
        <v>69</v>
      </c>
      <c r="E27" s="258" t="s">
        <v>5311</v>
      </c>
      <c r="F27" s="258"/>
      <c r="G27" s="247" t="s">
        <v>5273</v>
      </c>
      <c r="H27" s="247" t="s">
        <v>5273</v>
      </c>
      <c r="I27" s="248"/>
      <c r="J27" s="248"/>
      <c r="K27" s="248"/>
      <c r="L27" s="248"/>
      <c r="M27" s="248"/>
      <c r="N27" s="248"/>
      <c r="O27" s="248"/>
      <c r="P27" s="248"/>
      <c r="Q27" s="248"/>
      <c r="R27" s="248"/>
      <c r="S27" s="248"/>
    </row>
    <row r="28">
      <c r="A28" s="256">
        <v>6.0</v>
      </c>
      <c r="B28" s="256">
        <v>3.0</v>
      </c>
      <c r="C28" s="256">
        <v>5.0</v>
      </c>
      <c r="D28" s="257" t="s">
        <v>5312</v>
      </c>
      <c r="E28" s="258" t="s">
        <v>5313</v>
      </c>
      <c r="F28" s="247"/>
      <c r="G28" s="247" t="s">
        <v>5273</v>
      </c>
      <c r="H28" s="247" t="s">
        <v>5273</v>
      </c>
      <c r="I28" s="248"/>
      <c r="J28" s="248"/>
      <c r="K28" s="248"/>
      <c r="L28" s="248"/>
      <c r="M28" s="248"/>
      <c r="N28" s="248"/>
      <c r="O28" s="248"/>
      <c r="P28" s="248"/>
      <c r="Q28" s="248"/>
      <c r="R28" s="248"/>
      <c r="S28" s="248"/>
    </row>
    <row r="29">
      <c r="A29" s="261" t="s">
        <v>5298</v>
      </c>
      <c r="B29" s="256">
        <v>3.0</v>
      </c>
      <c r="C29" s="256">
        <v>6.0</v>
      </c>
      <c r="D29" s="257" t="s">
        <v>5301</v>
      </c>
      <c r="E29" s="258" t="s">
        <v>5314</v>
      </c>
      <c r="F29" s="247"/>
      <c r="G29" s="247" t="s">
        <v>5273</v>
      </c>
      <c r="H29" s="247" t="s">
        <v>5273</v>
      </c>
      <c r="I29" s="248"/>
      <c r="J29" s="248"/>
      <c r="K29" s="248"/>
      <c r="L29" s="248"/>
      <c r="M29" s="248"/>
      <c r="N29" s="248"/>
      <c r="O29" s="248"/>
      <c r="P29" s="248"/>
      <c r="Q29" s="248"/>
      <c r="R29" s="248"/>
      <c r="S29" s="248"/>
    </row>
    <row r="30" hidden="1">
      <c r="A30" s="271">
        <v>6.0</v>
      </c>
      <c r="B30" s="271">
        <v>3.0</v>
      </c>
      <c r="C30" s="271">
        <v>7.0</v>
      </c>
      <c r="D30" s="257" t="s">
        <v>69</v>
      </c>
      <c r="E30" s="258" t="s">
        <v>5315</v>
      </c>
      <c r="F30" s="258"/>
      <c r="G30" s="248"/>
      <c r="H30" s="247" t="s">
        <v>5273</v>
      </c>
      <c r="I30" s="248"/>
      <c r="J30" s="248"/>
      <c r="K30" s="248"/>
      <c r="L30" s="248"/>
      <c r="M30" s="248"/>
      <c r="N30" s="248"/>
      <c r="O30" s="248"/>
      <c r="P30" s="248"/>
      <c r="Q30" s="248"/>
      <c r="R30" s="248"/>
      <c r="S30" s="248"/>
    </row>
    <row r="31" hidden="1">
      <c r="A31" s="263">
        <v>6.0</v>
      </c>
      <c r="B31" s="263">
        <v>3.0</v>
      </c>
      <c r="C31" s="263">
        <v>8.0</v>
      </c>
      <c r="D31" s="264" t="s">
        <v>5290</v>
      </c>
      <c r="E31" s="264" t="s">
        <v>5290</v>
      </c>
      <c r="F31" s="264"/>
      <c r="G31" s="265"/>
      <c r="H31" s="247" t="s">
        <v>5273</v>
      </c>
      <c r="I31" s="265"/>
      <c r="J31" s="265"/>
      <c r="K31" s="265"/>
      <c r="L31" s="265"/>
      <c r="M31" s="265"/>
      <c r="N31" s="265"/>
      <c r="O31" s="265"/>
      <c r="P31" s="265"/>
      <c r="Q31" s="265"/>
      <c r="R31" s="265"/>
      <c r="S31" s="265"/>
    </row>
    <row r="32">
      <c r="A32" s="261" t="s">
        <v>5298</v>
      </c>
      <c r="B32" s="256">
        <v>4.0</v>
      </c>
      <c r="C32" s="256">
        <v>0.0</v>
      </c>
      <c r="D32" s="257" t="s">
        <v>5271</v>
      </c>
      <c r="E32" s="258" t="s">
        <v>5316</v>
      </c>
      <c r="F32" s="247"/>
      <c r="G32" s="247" t="s">
        <v>5273</v>
      </c>
      <c r="H32" s="247" t="s">
        <v>5273</v>
      </c>
      <c r="I32" s="248"/>
      <c r="J32" s="248"/>
      <c r="K32" s="248"/>
      <c r="L32" s="248"/>
      <c r="M32" s="248"/>
      <c r="N32" s="248"/>
      <c r="O32" s="248"/>
      <c r="P32" s="248"/>
      <c r="Q32" s="248"/>
      <c r="R32" s="248"/>
      <c r="S32" s="248"/>
    </row>
    <row r="33">
      <c r="A33" s="261" t="s">
        <v>5298</v>
      </c>
      <c r="B33" s="256">
        <v>4.0</v>
      </c>
      <c r="C33" s="256">
        <v>0.0</v>
      </c>
      <c r="D33" s="257" t="s">
        <v>5291</v>
      </c>
      <c r="E33" s="258" t="s">
        <v>5317</v>
      </c>
      <c r="F33" s="247"/>
      <c r="G33" s="247" t="s">
        <v>5273</v>
      </c>
      <c r="H33" s="247" t="s">
        <v>5273</v>
      </c>
      <c r="I33" s="248"/>
      <c r="J33" s="248"/>
      <c r="K33" s="248"/>
      <c r="L33" s="248"/>
      <c r="M33" s="248"/>
      <c r="N33" s="248"/>
      <c r="O33" s="248"/>
      <c r="P33" s="248"/>
      <c r="Q33" s="248"/>
      <c r="R33" s="248"/>
      <c r="S33" s="248"/>
    </row>
    <row r="34" hidden="1">
      <c r="A34" s="256">
        <v>6.0</v>
      </c>
      <c r="B34" s="256">
        <v>4.0</v>
      </c>
      <c r="C34" s="256">
        <v>1.0</v>
      </c>
      <c r="D34" s="257" t="s">
        <v>69</v>
      </c>
      <c r="E34" s="258" t="s">
        <v>5318</v>
      </c>
      <c r="F34" s="258"/>
      <c r="G34" s="247" t="s">
        <v>5273</v>
      </c>
      <c r="H34" s="247" t="s">
        <v>5273</v>
      </c>
      <c r="I34" s="248"/>
      <c r="J34" s="248"/>
      <c r="K34" s="248"/>
      <c r="L34" s="248"/>
      <c r="M34" s="248"/>
      <c r="N34" s="248"/>
      <c r="O34" s="248"/>
      <c r="P34" s="248"/>
      <c r="Q34" s="248"/>
      <c r="R34" s="248"/>
      <c r="S34" s="248"/>
    </row>
    <row r="35" hidden="1">
      <c r="A35" s="256">
        <v>6.0</v>
      </c>
      <c r="B35" s="256">
        <v>4.0</v>
      </c>
      <c r="C35" s="256">
        <v>2.0</v>
      </c>
      <c r="D35" s="257" t="s">
        <v>69</v>
      </c>
      <c r="E35" s="258" t="s">
        <v>5319</v>
      </c>
      <c r="F35" s="258"/>
      <c r="G35" s="247" t="s">
        <v>5273</v>
      </c>
      <c r="H35" s="247" t="s">
        <v>5273</v>
      </c>
      <c r="I35" s="248"/>
      <c r="J35" s="248"/>
      <c r="K35" s="248"/>
      <c r="L35" s="248"/>
      <c r="M35" s="248"/>
      <c r="N35" s="248"/>
      <c r="O35" s="248"/>
      <c r="P35" s="248"/>
      <c r="Q35" s="248"/>
      <c r="R35" s="248"/>
      <c r="S35" s="248"/>
    </row>
    <row r="36" hidden="1">
      <c r="A36" s="256">
        <v>6.0</v>
      </c>
      <c r="B36" s="256">
        <v>4.0</v>
      </c>
      <c r="C36" s="256">
        <v>3.0</v>
      </c>
      <c r="D36" s="257" t="s">
        <v>69</v>
      </c>
      <c r="E36" s="258" t="s">
        <v>5320</v>
      </c>
      <c r="F36" s="258"/>
      <c r="G36" s="247" t="s">
        <v>5273</v>
      </c>
      <c r="H36" s="247" t="s">
        <v>5273</v>
      </c>
      <c r="I36" s="248"/>
      <c r="J36" s="248"/>
      <c r="K36" s="248"/>
      <c r="L36" s="248"/>
      <c r="M36" s="248"/>
      <c r="N36" s="248"/>
      <c r="O36" s="248"/>
      <c r="P36" s="248"/>
      <c r="Q36" s="248"/>
      <c r="R36" s="248"/>
      <c r="S36" s="248"/>
    </row>
    <row r="37">
      <c r="A37" s="261" t="s">
        <v>5298</v>
      </c>
      <c r="B37" s="256">
        <v>4.0</v>
      </c>
      <c r="C37" s="256">
        <v>4.0</v>
      </c>
      <c r="D37" s="257" t="s">
        <v>69</v>
      </c>
      <c r="E37" s="272" t="s">
        <v>5321</v>
      </c>
      <c r="F37" s="255"/>
      <c r="G37" s="247" t="s">
        <v>5273</v>
      </c>
      <c r="H37" s="247" t="s">
        <v>5273</v>
      </c>
      <c r="I37" s="248"/>
      <c r="J37" s="248"/>
      <c r="K37" s="248"/>
      <c r="L37" s="248"/>
      <c r="M37" s="248"/>
      <c r="N37" s="248"/>
      <c r="O37" s="248"/>
      <c r="P37" s="248"/>
      <c r="Q37" s="248"/>
      <c r="R37" s="248"/>
      <c r="S37" s="248"/>
    </row>
    <row r="38">
      <c r="A38" s="261" t="s">
        <v>5298</v>
      </c>
      <c r="B38" s="256">
        <v>4.0</v>
      </c>
      <c r="C38" s="256">
        <v>5.0</v>
      </c>
      <c r="D38" s="257" t="s">
        <v>5322</v>
      </c>
      <c r="E38" s="258" t="s">
        <v>5323</v>
      </c>
      <c r="F38" s="247"/>
      <c r="G38" s="247" t="s">
        <v>5273</v>
      </c>
      <c r="H38" s="247" t="s">
        <v>5273</v>
      </c>
      <c r="I38" s="248"/>
      <c r="J38" s="248"/>
      <c r="K38" s="248"/>
      <c r="L38" s="248"/>
      <c r="M38" s="248"/>
      <c r="N38" s="248"/>
      <c r="O38" s="248"/>
      <c r="P38" s="248"/>
      <c r="Q38" s="248"/>
      <c r="R38" s="248"/>
      <c r="S38" s="248"/>
    </row>
    <row r="39">
      <c r="A39" s="261" t="s">
        <v>5298</v>
      </c>
      <c r="B39" s="256">
        <v>4.0</v>
      </c>
      <c r="C39" s="256">
        <v>6.0</v>
      </c>
      <c r="D39" s="257" t="s">
        <v>5322</v>
      </c>
      <c r="E39" s="258" t="s">
        <v>5324</v>
      </c>
      <c r="F39" s="247"/>
      <c r="G39" s="247" t="s">
        <v>5273</v>
      </c>
      <c r="H39" s="247" t="s">
        <v>5273</v>
      </c>
      <c r="I39" s="248"/>
      <c r="J39" s="248"/>
      <c r="K39" s="248"/>
      <c r="L39" s="248"/>
      <c r="M39" s="248"/>
      <c r="N39" s="248"/>
      <c r="O39" s="248"/>
      <c r="P39" s="248"/>
      <c r="Q39" s="248"/>
      <c r="R39" s="248"/>
      <c r="S39" s="248"/>
    </row>
    <row r="40">
      <c r="A40" s="261" t="s">
        <v>5325</v>
      </c>
      <c r="B40" s="256">
        <v>4.0</v>
      </c>
      <c r="C40" s="256">
        <v>7.0</v>
      </c>
      <c r="D40" s="257" t="s">
        <v>5322</v>
      </c>
      <c r="E40" s="258" t="s">
        <v>5326</v>
      </c>
      <c r="F40" s="247"/>
      <c r="G40" s="247" t="s">
        <v>5273</v>
      </c>
      <c r="H40" s="247" t="s">
        <v>5273</v>
      </c>
      <c r="I40" s="248"/>
      <c r="J40" s="248"/>
      <c r="K40" s="248"/>
      <c r="L40" s="248"/>
      <c r="M40" s="248"/>
      <c r="N40" s="248"/>
      <c r="O40" s="248"/>
      <c r="P40" s="248"/>
      <c r="Q40" s="248"/>
      <c r="R40" s="248"/>
      <c r="S40" s="248"/>
    </row>
    <row r="41">
      <c r="A41" s="261" t="s">
        <v>5325</v>
      </c>
      <c r="B41" s="256">
        <v>4.0</v>
      </c>
      <c r="C41" s="256">
        <v>8.0</v>
      </c>
      <c r="D41" s="257" t="s">
        <v>5322</v>
      </c>
      <c r="E41" s="258" t="s">
        <v>5327</v>
      </c>
      <c r="F41" s="247"/>
      <c r="G41" s="247" t="s">
        <v>5273</v>
      </c>
      <c r="H41" s="247" t="s">
        <v>5273</v>
      </c>
      <c r="I41" s="248"/>
      <c r="J41" s="248"/>
      <c r="K41" s="248"/>
      <c r="L41" s="248"/>
      <c r="M41" s="248"/>
      <c r="N41" s="248"/>
      <c r="O41" s="248"/>
      <c r="P41" s="248"/>
      <c r="Q41" s="248"/>
      <c r="R41" s="248"/>
      <c r="S41" s="248"/>
    </row>
    <row r="42" hidden="1">
      <c r="A42" s="273">
        <v>6.0</v>
      </c>
      <c r="B42" s="273">
        <v>4.0</v>
      </c>
      <c r="C42" s="273">
        <v>9.0</v>
      </c>
      <c r="D42" s="274" t="s">
        <v>5290</v>
      </c>
      <c r="E42" s="274" t="s">
        <v>5290</v>
      </c>
      <c r="F42" s="274"/>
      <c r="G42" s="265"/>
      <c r="H42" s="265"/>
      <c r="I42" s="265"/>
      <c r="J42" s="265"/>
      <c r="K42" s="265"/>
      <c r="L42" s="265"/>
      <c r="M42" s="265"/>
      <c r="N42" s="265"/>
      <c r="O42" s="265"/>
      <c r="P42" s="265"/>
      <c r="Q42" s="265"/>
      <c r="R42" s="265"/>
      <c r="S42" s="265"/>
    </row>
    <row r="43" hidden="1">
      <c r="A43" s="256">
        <v>6.0</v>
      </c>
      <c r="B43" s="256">
        <v>5.0</v>
      </c>
      <c r="C43" s="256">
        <v>0.0</v>
      </c>
      <c r="D43" s="257" t="s">
        <v>5291</v>
      </c>
      <c r="E43" s="258" t="s">
        <v>5328</v>
      </c>
      <c r="F43" s="258"/>
      <c r="G43" s="247" t="s">
        <v>5273</v>
      </c>
      <c r="H43" s="247" t="s">
        <v>5273</v>
      </c>
      <c r="I43" s="248"/>
      <c r="J43" s="248"/>
      <c r="K43" s="248"/>
      <c r="L43" s="248"/>
      <c r="M43" s="248"/>
      <c r="N43" s="248"/>
      <c r="O43" s="248"/>
      <c r="P43" s="248"/>
      <c r="Q43" s="248"/>
      <c r="R43" s="248"/>
      <c r="S43" s="248"/>
    </row>
    <row r="44" hidden="1">
      <c r="A44" s="256">
        <v>6.0</v>
      </c>
      <c r="B44" s="256">
        <v>5.0</v>
      </c>
      <c r="C44" s="256">
        <v>1.0</v>
      </c>
      <c r="D44" s="257" t="s">
        <v>69</v>
      </c>
      <c r="E44" s="258" t="s">
        <v>5329</v>
      </c>
      <c r="F44" s="258"/>
      <c r="G44" s="247" t="s">
        <v>5273</v>
      </c>
      <c r="H44" s="247" t="s">
        <v>5273</v>
      </c>
      <c r="I44" s="248"/>
      <c r="J44" s="248"/>
      <c r="K44" s="248"/>
      <c r="L44" s="248"/>
      <c r="M44" s="248"/>
      <c r="N44" s="248"/>
      <c r="O44" s="248"/>
      <c r="P44" s="248"/>
      <c r="Q44" s="248"/>
      <c r="R44" s="248"/>
      <c r="S44" s="248"/>
    </row>
    <row r="45" hidden="1">
      <c r="A45" s="256">
        <v>6.0</v>
      </c>
      <c r="B45" s="256">
        <v>5.0</v>
      </c>
      <c r="C45" s="256">
        <v>2.0</v>
      </c>
      <c r="D45" s="257" t="s">
        <v>69</v>
      </c>
      <c r="E45" s="258" t="s">
        <v>5330</v>
      </c>
      <c r="F45" s="258"/>
      <c r="G45" s="247" t="s">
        <v>5273</v>
      </c>
      <c r="H45" s="247" t="s">
        <v>5273</v>
      </c>
      <c r="I45" s="248"/>
      <c r="J45" s="248"/>
      <c r="K45" s="248"/>
      <c r="L45" s="248"/>
      <c r="M45" s="248"/>
      <c r="N45" s="248"/>
      <c r="O45" s="248"/>
      <c r="P45" s="248"/>
      <c r="Q45" s="248"/>
      <c r="R45" s="248"/>
      <c r="S45" s="248"/>
    </row>
    <row r="46" hidden="1">
      <c r="A46" s="256">
        <v>6.0</v>
      </c>
      <c r="B46" s="256">
        <v>5.0</v>
      </c>
      <c r="C46" s="256">
        <v>3.0</v>
      </c>
      <c r="D46" s="257" t="s">
        <v>69</v>
      </c>
      <c r="E46" s="258" t="s">
        <v>5331</v>
      </c>
      <c r="F46" s="258"/>
      <c r="G46" s="247" t="s">
        <v>5273</v>
      </c>
      <c r="H46" s="247" t="s">
        <v>5273</v>
      </c>
      <c r="I46" s="248"/>
      <c r="J46" s="248"/>
      <c r="K46" s="248"/>
      <c r="L46" s="248"/>
      <c r="M46" s="248"/>
      <c r="N46" s="248"/>
      <c r="O46" s="248"/>
      <c r="P46" s="248"/>
      <c r="Q46" s="248"/>
      <c r="R46" s="248"/>
      <c r="S46" s="248"/>
    </row>
    <row r="47" hidden="1">
      <c r="A47" s="256">
        <v>6.0</v>
      </c>
      <c r="B47" s="256">
        <v>5.0</v>
      </c>
      <c r="C47" s="256">
        <v>4.0</v>
      </c>
      <c r="D47" s="257" t="s">
        <v>69</v>
      </c>
      <c r="E47" s="258" t="s">
        <v>5332</v>
      </c>
      <c r="F47" s="258"/>
      <c r="G47" s="248"/>
      <c r="H47" s="247" t="s">
        <v>5273</v>
      </c>
      <c r="I47" s="248"/>
      <c r="J47" s="248"/>
      <c r="K47" s="248"/>
      <c r="L47" s="248"/>
      <c r="M47" s="248"/>
      <c r="N47" s="248"/>
      <c r="O47" s="248"/>
      <c r="P47" s="248"/>
      <c r="Q47" s="248"/>
      <c r="R47" s="248"/>
      <c r="S47" s="248"/>
    </row>
    <row r="48">
      <c r="A48" s="261" t="s">
        <v>5298</v>
      </c>
      <c r="B48" s="256">
        <v>5.0</v>
      </c>
      <c r="C48" s="256">
        <v>5.0</v>
      </c>
      <c r="D48" s="257" t="s">
        <v>69</v>
      </c>
      <c r="E48" s="275" t="s">
        <v>5333</v>
      </c>
      <c r="F48" s="276"/>
      <c r="G48" s="247" t="s">
        <v>5273</v>
      </c>
      <c r="H48" s="247" t="s">
        <v>5273</v>
      </c>
      <c r="I48" s="248"/>
      <c r="J48" s="248"/>
      <c r="K48" s="248"/>
      <c r="L48" s="248"/>
      <c r="M48" s="248"/>
      <c r="N48" s="248"/>
      <c r="O48" s="248"/>
      <c r="P48" s="248"/>
      <c r="Q48" s="248"/>
      <c r="R48" s="248"/>
      <c r="S48" s="248"/>
    </row>
    <row r="49">
      <c r="A49" s="261" t="s">
        <v>5298</v>
      </c>
      <c r="B49" s="256">
        <v>5.0</v>
      </c>
      <c r="C49" s="256">
        <v>6.0</v>
      </c>
      <c r="D49" s="257" t="s">
        <v>5334</v>
      </c>
      <c r="E49" s="258" t="s">
        <v>5335</v>
      </c>
      <c r="F49" s="247"/>
      <c r="G49" s="247" t="s">
        <v>5273</v>
      </c>
      <c r="H49" s="247" t="s">
        <v>5273</v>
      </c>
      <c r="I49" s="248"/>
      <c r="J49" s="248"/>
      <c r="K49" s="248"/>
      <c r="L49" s="248"/>
      <c r="M49" s="248"/>
      <c r="N49" s="248"/>
      <c r="O49" s="248"/>
      <c r="P49" s="248"/>
      <c r="Q49" s="248"/>
      <c r="R49" s="248"/>
      <c r="S49" s="248"/>
    </row>
    <row r="50" hidden="1">
      <c r="A50" s="273">
        <v>6.0</v>
      </c>
      <c r="B50" s="273">
        <v>5.0</v>
      </c>
      <c r="C50" s="273">
        <v>7.0</v>
      </c>
      <c r="D50" s="274" t="s">
        <v>5290</v>
      </c>
      <c r="E50" s="274" t="s">
        <v>5290</v>
      </c>
      <c r="F50" s="274"/>
      <c r="G50" s="265"/>
      <c r="H50" s="265"/>
      <c r="I50" s="265"/>
      <c r="J50" s="265"/>
      <c r="K50" s="265"/>
      <c r="L50" s="265"/>
      <c r="M50" s="265"/>
      <c r="N50" s="265"/>
      <c r="O50" s="265"/>
      <c r="P50" s="265"/>
      <c r="Q50" s="265"/>
      <c r="R50" s="265"/>
      <c r="S50" s="265"/>
    </row>
    <row r="51" hidden="1">
      <c r="A51" s="273">
        <v>6.0</v>
      </c>
      <c r="B51" s="273">
        <v>5.0</v>
      </c>
      <c r="C51" s="273">
        <v>8.0</v>
      </c>
      <c r="D51" s="274" t="s">
        <v>5290</v>
      </c>
      <c r="E51" s="274" t="s">
        <v>5290</v>
      </c>
      <c r="F51" s="274"/>
      <c r="G51" s="265"/>
      <c r="H51" s="265"/>
      <c r="I51" s="265"/>
      <c r="J51" s="265"/>
      <c r="K51" s="265"/>
      <c r="L51" s="265"/>
      <c r="M51" s="265"/>
      <c r="N51" s="265"/>
      <c r="O51" s="265"/>
      <c r="P51" s="265"/>
      <c r="Q51" s="265"/>
      <c r="R51" s="265"/>
      <c r="S51" s="265"/>
    </row>
    <row r="52" hidden="1">
      <c r="A52" s="273">
        <v>6.0</v>
      </c>
      <c r="B52" s="273">
        <v>5.0</v>
      </c>
      <c r="C52" s="273">
        <v>9.0</v>
      </c>
      <c r="D52" s="274" t="s">
        <v>5290</v>
      </c>
      <c r="E52" s="274" t="s">
        <v>5290</v>
      </c>
      <c r="F52" s="274"/>
      <c r="G52" s="265"/>
      <c r="H52" s="265"/>
      <c r="I52" s="265"/>
      <c r="J52" s="265"/>
      <c r="K52" s="265"/>
      <c r="L52" s="265"/>
      <c r="M52" s="265"/>
      <c r="N52" s="265"/>
      <c r="O52" s="265"/>
      <c r="P52" s="265"/>
      <c r="Q52" s="265"/>
      <c r="R52" s="265"/>
      <c r="S52" s="265"/>
    </row>
    <row r="53" hidden="1">
      <c r="A53" s="256">
        <v>6.0</v>
      </c>
      <c r="B53" s="256">
        <v>6.0</v>
      </c>
      <c r="C53" s="256">
        <v>0.0</v>
      </c>
      <c r="D53" s="257" t="s">
        <v>5291</v>
      </c>
      <c r="E53" s="258" t="s">
        <v>5336</v>
      </c>
      <c r="F53" s="258"/>
      <c r="G53" s="248"/>
      <c r="H53" s="247" t="s">
        <v>5273</v>
      </c>
      <c r="I53" s="248"/>
      <c r="J53" s="248"/>
      <c r="K53" s="248"/>
      <c r="L53" s="248"/>
      <c r="M53" s="248"/>
      <c r="N53" s="248"/>
      <c r="O53" s="248"/>
      <c r="P53" s="248"/>
      <c r="Q53" s="248"/>
      <c r="R53" s="248"/>
      <c r="S53" s="248"/>
    </row>
    <row r="54" hidden="1">
      <c r="A54" s="256">
        <v>6.0</v>
      </c>
      <c r="B54" s="256">
        <v>6.0</v>
      </c>
      <c r="C54" s="256">
        <v>1.0</v>
      </c>
      <c r="D54" s="257" t="s">
        <v>5337</v>
      </c>
      <c r="E54" s="258" t="s">
        <v>5338</v>
      </c>
      <c r="F54" s="258"/>
      <c r="G54" s="248"/>
      <c r="H54" s="247" t="s">
        <v>5273</v>
      </c>
      <c r="I54" s="248"/>
      <c r="J54" s="248"/>
      <c r="K54" s="248"/>
      <c r="L54" s="248"/>
      <c r="M54" s="248"/>
      <c r="N54" s="248"/>
      <c r="O54" s="248"/>
      <c r="P54" s="248"/>
      <c r="Q54" s="248"/>
      <c r="R54" s="248"/>
      <c r="S54" s="248"/>
    </row>
    <row r="55" hidden="1">
      <c r="A55" s="256">
        <v>6.0</v>
      </c>
      <c r="B55" s="256">
        <v>6.0</v>
      </c>
      <c r="C55" s="256">
        <v>2.0</v>
      </c>
      <c r="D55" s="257" t="s">
        <v>5337</v>
      </c>
      <c r="E55" s="258" t="s">
        <v>5339</v>
      </c>
      <c r="F55" s="258"/>
      <c r="G55" s="248"/>
      <c r="H55" s="247" t="s">
        <v>5273</v>
      </c>
      <c r="I55" s="248"/>
      <c r="J55" s="248"/>
      <c r="K55" s="248"/>
      <c r="L55" s="248"/>
      <c r="M55" s="248"/>
      <c r="N55" s="248"/>
      <c r="O55" s="248"/>
      <c r="P55" s="248"/>
      <c r="Q55" s="248"/>
      <c r="R55" s="248"/>
      <c r="S55" s="248"/>
    </row>
    <row r="56" hidden="1">
      <c r="A56" s="256">
        <v>6.0</v>
      </c>
      <c r="B56" s="256">
        <v>6.0</v>
      </c>
      <c r="C56" s="256">
        <v>3.0</v>
      </c>
      <c r="D56" s="257" t="s">
        <v>69</v>
      </c>
      <c r="E56" s="258" t="s">
        <v>5340</v>
      </c>
      <c r="F56" s="258"/>
      <c r="G56" s="248"/>
      <c r="H56" s="247" t="s">
        <v>5273</v>
      </c>
      <c r="I56" s="248"/>
      <c r="J56" s="248"/>
      <c r="K56" s="248"/>
      <c r="L56" s="248"/>
      <c r="M56" s="248"/>
      <c r="N56" s="248"/>
      <c r="O56" s="248"/>
      <c r="P56" s="248"/>
      <c r="Q56" s="248"/>
      <c r="R56" s="248"/>
      <c r="S56" s="248"/>
    </row>
    <row r="57" hidden="1">
      <c r="A57" s="256">
        <v>6.0</v>
      </c>
      <c r="B57" s="256">
        <v>6.0</v>
      </c>
      <c r="C57" s="256">
        <v>4.0</v>
      </c>
      <c r="D57" s="257" t="s">
        <v>69</v>
      </c>
      <c r="E57" s="258" t="s">
        <v>5341</v>
      </c>
      <c r="F57" s="258"/>
      <c r="G57" s="248"/>
      <c r="H57" s="247" t="s">
        <v>5273</v>
      </c>
      <c r="I57" s="248"/>
      <c r="J57" s="248"/>
      <c r="K57" s="248"/>
      <c r="L57" s="248"/>
      <c r="M57" s="248"/>
      <c r="N57" s="248"/>
      <c r="O57" s="248"/>
      <c r="P57" s="248"/>
      <c r="Q57" s="248"/>
      <c r="R57" s="248"/>
      <c r="S57" s="248"/>
    </row>
    <row r="58">
      <c r="A58" s="261" t="s">
        <v>5298</v>
      </c>
      <c r="B58" s="256">
        <v>6.0</v>
      </c>
      <c r="C58" s="256">
        <v>5.0</v>
      </c>
      <c r="D58" s="257" t="s">
        <v>5342</v>
      </c>
      <c r="E58" s="258" t="s">
        <v>5343</v>
      </c>
      <c r="F58" s="247"/>
      <c r="G58" s="247" t="s">
        <v>5273</v>
      </c>
      <c r="H58" s="247" t="s">
        <v>5273</v>
      </c>
      <c r="I58" s="248"/>
      <c r="J58" s="248"/>
      <c r="K58" s="248"/>
      <c r="L58" s="248"/>
      <c r="M58" s="248"/>
      <c r="N58" s="248"/>
      <c r="O58" s="248"/>
      <c r="P58" s="248"/>
      <c r="Q58" s="248"/>
      <c r="R58" s="248"/>
      <c r="S58" s="248"/>
    </row>
    <row r="59">
      <c r="A59" s="261" t="s">
        <v>5298</v>
      </c>
      <c r="B59" s="256">
        <v>6.0</v>
      </c>
      <c r="C59" s="256">
        <v>6.0</v>
      </c>
      <c r="D59" s="257" t="s">
        <v>69</v>
      </c>
      <c r="E59" s="277" t="s">
        <v>5344</v>
      </c>
      <c r="F59" s="278"/>
      <c r="G59" s="247" t="s">
        <v>5273</v>
      </c>
      <c r="H59" s="247" t="s">
        <v>5273</v>
      </c>
      <c r="I59" s="248"/>
      <c r="J59" s="248"/>
      <c r="K59" s="248"/>
      <c r="L59" s="248"/>
      <c r="M59" s="248"/>
      <c r="N59" s="248"/>
      <c r="O59" s="248"/>
      <c r="P59" s="279"/>
      <c r="Q59" s="279"/>
      <c r="R59" s="279"/>
      <c r="S59" s="279"/>
    </row>
    <row r="60" hidden="1">
      <c r="A60" s="267">
        <v>6.0</v>
      </c>
      <c r="B60" s="267">
        <v>6.0</v>
      </c>
      <c r="C60" s="267">
        <v>7.0</v>
      </c>
      <c r="D60" s="268" t="s">
        <v>5290</v>
      </c>
      <c r="E60" s="268" t="s">
        <v>5290</v>
      </c>
      <c r="F60" s="268"/>
      <c r="G60" s="269"/>
      <c r="H60" s="269"/>
      <c r="I60" s="269"/>
      <c r="J60" s="269"/>
      <c r="K60" s="269"/>
      <c r="L60" s="269"/>
      <c r="M60" s="269"/>
      <c r="N60" s="269"/>
      <c r="O60" s="269"/>
      <c r="P60" s="269"/>
      <c r="Q60" s="269"/>
      <c r="R60" s="269"/>
      <c r="S60" s="269"/>
    </row>
    <row r="61" hidden="1">
      <c r="A61" s="267">
        <v>6.0</v>
      </c>
      <c r="B61" s="267">
        <v>6.0</v>
      </c>
      <c r="C61" s="267">
        <v>8.0</v>
      </c>
      <c r="D61" s="268" t="s">
        <v>5290</v>
      </c>
      <c r="E61" s="268" t="s">
        <v>5290</v>
      </c>
      <c r="F61" s="268"/>
      <c r="G61" s="269"/>
      <c r="H61" s="269"/>
      <c r="I61" s="269"/>
      <c r="J61" s="269"/>
      <c r="K61" s="269"/>
      <c r="L61" s="269"/>
      <c r="M61" s="269"/>
      <c r="N61" s="269"/>
      <c r="O61" s="269"/>
      <c r="P61" s="269"/>
      <c r="Q61" s="269"/>
      <c r="R61" s="269"/>
      <c r="S61" s="269"/>
    </row>
    <row r="62" hidden="1">
      <c r="A62" s="256">
        <v>6.0</v>
      </c>
      <c r="B62" s="256">
        <v>7.0</v>
      </c>
      <c r="C62" s="256">
        <v>0.0</v>
      </c>
      <c r="D62" s="257" t="s">
        <v>5291</v>
      </c>
      <c r="E62" s="258" t="s">
        <v>5345</v>
      </c>
      <c r="F62" s="258"/>
      <c r="G62" s="248"/>
      <c r="H62" s="247" t="s">
        <v>5273</v>
      </c>
      <c r="I62" s="248"/>
      <c r="J62" s="248"/>
      <c r="K62" s="248"/>
      <c r="L62" s="248"/>
      <c r="M62" s="248"/>
      <c r="N62" s="248"/>
      <c r="O62" s="248"/>
      <c r="P62" s="248"/>
      <c r="Q62" s="248"/>
      <c r="R62" s="248"/>
      <c r="S62" s="248"/>
    </row>
    <row r="63" hidden="1">
      <c r="A63" s="256">
        <v>6.0</v>
      </c>
      <c r="B63" s="256">
        <v>7.0</v>
      </c>
      <c r="C63" s="256">
        <v>1.0</v>
      </c>
      <c r="D63" s="257" t="s">
        <v>69</v>
      </c>
      <c r="E63" s="258" t="s">
        <v>5346</v>
      </c>
      <c r="F63" s="258"/>
      <c r="G63" s="248"/>
      <c r="H63" s="247" t="s">
        <v>5273</v>
      </c>
      <c r="I63" s="248"/>
      <c r="J63" s="248"/>
      <c r="K63" s="248"/>
      <c r="L63" s="248"/>
      <c r="M63" s="248"/>
      <c r="N63" s="248"/>
      <c r="O63" s="248"/>
      <c r="P63" s="248"/>
      <c r="Q63" s="248"/>
      <c r="R63" s="248"/>
      <c r="S63" s="248"/>
    </row>
    <row r="64" hidden="1">
      <c r="A64" s="256">
        <v>6.0</v>
      </c>
      <c r="B64" s="256">
        <v>7.0</v>
      </c>
      <c r="C64" s="256">
        <v>2.0</v>
      </c>
      <c r="D64" s="257" t="s">
        <v>69</v>
      </c>
      <c r="E64" s="258" t="s">
        <v>5347</v>
      </c>
      <c r="F64" s="258"/>
      <c r="G64" s="248"/>
      <c r="H64" s="247" t="s">
        <v>5273</v>
      </c>
      <c r="I64" s="248"/>
      <c r="J64" s="248"/>
      <c r="K64" s="248"/>
      <c r="L64" s="248"/>
      <c r="M64" s="248"/>
      <c r="N64" s="248"/>
      <c r="O64" s="248"/>
      <c r="P64" s="248"/>
      <c r="Q64" s="248"/>
      <c r="R64" s="248"/>
      <c r="S64" s="248"/>
    </row>
    <row r="65" hidden="1">
      <c r="A65" s="256">
        <v>6.0</v>
      </c>
      <c r="B65" s="256">
        <v>7.0</v>
      </c>
      <c r="C65" s="256">
        <v>3.0</v>
      </c>
      <c r="D65" s="257" t="s">
        <v>69</v>
      </c>
      <c r="E65" s="280" t="s">
        <v>5348</v>
      </c>
      <c r="F65" s="258"/>
      <c r="G65" s="248"/>
      <c r="H65" s="247" t="s">
        <v>5273</v>
      </c>
      <c r="I65" s="248"/>
      <c r="J65" s="248"/>
      <c r="K65" s="248"/>
      <c r="L65" s="248"/>
      <c r="M65" s="248"/>
      <c r="N65" s="248"/>
      <c r="O65" s="248"/>
      <c r="P65" s="248"/>
      <c r="Q65" s="248"/>
      <c r="R65" s="248"/>
      <c r="S65" s="248"/>
    </row>
    <row r="66" hidden="1">
      <c r="A66" s="256">
        <v>6.0</v>
      </c>
      <c r="B66" s="256">
        <v>7.0</v>
      </c>
      <c r="C66" s="256">
        <v>4.0</v>
      </c>
      <c r="D66" s="257" t="s">
        <v>69</v>
      </c>
      <c r="E66" s="258" t="s">
        <v>5349</v>
      </c>
      <c r="F66" s="258"/>
      <c r="G66" s="248"/>
      <c r="H66" s="247" t="s">
        <v>5273</v>
      </c>
      <c r="I66" s="248"/>
      <c r="J66" s="248"/>
      <c r="K66" s="248"/>
      <c r="L66" s="248"/>
      <c r="M66" s="248"/>
      <c r="N66" s="248"/>
      <c r="O66" s="248"/>
      <c r="P66" s="248"/>
      <c r="Q66" s="248"/>
      <c r="R66" s="248"/>
      <c r="S66" s="248"/>
    </row>
    <row r="67">
      <c r="A67" s="256">
        <v>6.0</v>
      </c>
      <c r="B67" s="256">
        <v>7.0</v>
      </c>
      <c r="C67" s="256">
        <v>5.0</v>
      </c>
      <c r="D67" s="257" t="s">
        <v>5350</v>
      </c>
      <c r="E67" s="275" t="s">
        <v>5351</v>
      </c>
      <c r="F67" s="276"/>
      <c r="G67" s="248"/>
      <c r="H67" s="247" t="s">
        <v>5273</v>
      </c>
      <c r="I67" s="248"/>
      <c r="J67" s="248"/>
      <c r="K67" s="248"/>
      <c r="L67" s="248"/>
      <c r="M67" s="248"/>
      <c r="N67" s="248"/>
      <c r="O67" s="248"/>
      <c r="P67" s="248"/>
      <c r="Q67" s="248"/>
      <c r="R67" s="248"/>
      <c r="S67" s="248"/>
    </row>
    <row r="68">
      <c r="A68" s="281" t="s">
        <v>5298</v>
      </c>
      <c r="B68" s="282">
        <v>7.0</v>
      </c>
      <c r="C68" s="282">
        <v>6.0</v>
      </c>
      <c r="D68" s="257" t="s">
        <v>5352</v>
      </c>
      <c r="E68" s="275" t="s">
        <v>5353</v>
      </c>
      <c r="F68" s="276"/>
      <c r="G68" s="248"/>
      <c r="H68" s="247" t="s">
        <v>5273</v>
      </c>
      <c r="I68" s="248"/>
      <c r="J68" s="248"/>
      <c r="K68" s="248"/>
      <c r="L68" s="248"/>
      <c r="M68" s="248"/>
      <c r="N68" s="248"/>
      <c r="O68" s="248"/>
      <c r="P68" s="248"/>
      <c r="Q68" s="248"/>
      <c r="R68" s="248"/>
      <c r="S68" s="248"/>
    </row>
    <row r="69" hidden="1">
      <c r="A69" s="256">
        <v>6.0</v>
      </c>
      <c r="B69" s="256">
        <v>7.0</v>
      </c>
      <c r="C69" s="256">
        <v>7.0</v>
      </c>
      <c r="D69" s="257" t="s">
        <v>69</v>
      </c>
      <c r="E69" s="277" t="s">
        <v>5354</v>
      </c>
      <c r="F69" s="277"/>
      <c r="G69" s="248"/>
      <c r="H69" s="247" t="s">
        <v>5273</v>
      </c>
      <c r="I69" s="248"/>
      <c r="J69" s="248"/>
      <c r="K69" s="248"/>
      <c r="L69" s="248"/>
      <c r="M69" s="248"/>
      <c r="N69" s="248"/>
      <c r="O69" s="248"/>
      <c r="P69" s="248"/>
      <c r="Q69" s="248"/>
      <c r="R69" s="248"/>
      <c r="S69" s="248"/>
    </row>
    <row r="70" hidden="1">
      <c r="A70" s="267">
        <v>6.0</v>
      </c>
      <c r="B70" s="267">
        <v>7.0</v>
      </c>
      <c r="C70" s="267">
        <v>8.0</v>
      </c>
      <c r="D70" s="268" t="s">
        <v>5290</v>
      </c>
      <c r="E70" s="268" t="s">
        <v>5290</v>
      </c>
      <c r="F70" s="268"/>
      <c r="G70" s="269"/>
      <c r="H70" s="269"/>
      <c r="I70" s="269"/>
      <c r="J70" s="269"/>
      <c r="K70" s="269"/>
      <c r="L70" s="269"/>
      <c r="M70" s="269"/>
      <c r="N70" s="269"/>
      <c r="O70" s="269"/>
      <c r="P70" s="269"/>
      <c r="Q70" s="269"/>
      <c r="R70" s="269"/>
      <c r="S70" s="269"/>
    </row>
    <row r="71" hidden="1">
      <c r="A71" s="256">
        <v>7.0</v>
      </c>
      <c r="B71" s="256">
        <v>1.0</v>
      </c>
      <c r="C71" s="256">
        <v>0.0</v>
      </c>
      <c r="D71" s="257" t="s">
        <v>5291</v>
      </c>
      <c r="E71" s="258" t="s">
        <v>5355</v>
      </c>
      <c r="F71" s="258"/>
      <c r="G71" s="248"/>
      <c r="H71" s="247" t="s">
        <v>5273</v>
      </c>
      <c r="I71" s="248"/>
      <c r="J71" s="248"/>
      <c r="K71" s="248"/>
      <c r="L71" s="248"/>
      <c r="M71" s="248"/>
      <c r="N71" s="248"/>
      <c r="O71" s="248"/>
      <c r="P71" s="248"/>
      <c r="Q71" s="248"/>
      <c r="R71" s="248"/>
      <c r="S71" s="248"/>
    </row>
    <row r="72" hidden="1">
      <c r="A72" s="256">
        <v>7.0</v>
      </c>
      <c r="B72" s="256">
        <v>1.0</v>
      </c>
      <c r="C72" s="256">
        <v>1.0</v>
      </c>
      <c r="D72" s="257" t="s">
        <v>69</v>
      </c>
      <c r="E72" s="258" t="s">
        <v>5356</v>
      </c>
      <c r="F72" s="258"/>
      <c r="G72" s="248"/>
      <c r="H72" s="247" t="s">
        <v>5273</v>
      </c>
      <c r="I72" s="248"/>
      <c r="J72" s="248"/>
      <c r="K72" s="248"/>
      <c r="L72" s="248"/>
      <c r="M72" s="248"/>
      <c r="N72" s="248"/>
      <c r="O72" s="248"/>
      <c r="P72" s="248"/>
      <c r="Q72" s="248"/>
      <c r="R72" s="248"/>
      <c r="S72" s="248"/>
    </row>
    <row r="73" hidden="1">
      <c r="A73" s="256">
        <v>7.0</v>
      </c>
      <c r="B73" s="256">
        <v>1.0</v>
      </c>
      <c r="C73" s="256">
        <v>1.0</v>
      </c>
      <c r="D73" s="257" t="s">
        <v>5357</v>
      </c>
      <c r="E73" s="258" t="s">
        <v>5358</v>
      </c>
      <c r="F73" s="258"/>
      <c r="G73" s="248"/>
      <c r="H73" s="247" t="s">
        <v>5273</v>
      </c>
      <c r="I73" s="248"/>
      <c r="J73" s="248"/>
      <c r="K73" s="248"/>
      <c r="L73" s="248"/>
      <c r="M73" s="248"/>
      <c r="N73" s="248"/>
      <c r="O73" s="248"/>
      <c r="P73" s="248"/>
      <c r="Q73" s="248"/>
      <c r="R73" s="248"/>
      <c r="S73" s="248"/>
    </row>
    <row r="74" hidden="1">
      <c r="A74" s="256">
        <v>7.0</v>
      </c>
      <c r="B74" s="256">
        <v>1.0</v>
      </c>
      <c r="C74" s="256">
        <v>1.0</v>
      </c>
      <c r="D74" s="257" t="s">
        <v>5357</v>
      </c>
      <c r="E74" s="258" t="s">
        <v>5359</v>
      </c>
      <c r="F74" s="258"/>
      <c r="G74" s="248"/>
      <c r="H74" s="247" t="s">
        <v>5273</v>
      </c>
      <c r="I74" s="248"/>
      <c r="J74" s="248"/>
      <c r="K74" s="248"/>
      <c r="L74" s="248"/>
      <c r="M74" s="248"/>
      <c r="N74" s="248"/>
      <c r="O74" s="248"/>
      <c r="P74" s="248"/>
      <c r="Q74" s="248"/>
      <c r="R74" s="248"/>
      <c r="S74" s="248"/>
    </row>
    <row r="75" hidden="1">
      <c r="A75" s="256">
        <v>7.0</v>
      </c>
      <c r="B75" s="256">
        <v>1.0</v>
      </c>
      <c r="C75" s="256">
        <v>1.0</v>
      </c>
      <c r="D75" s="257" t="s">
        <v>5357</v>
      </c>
      <c r="E75" s="258" t="s">
        <v>5360</v>
      </c>
      <c r="F75" s="258"/>
      <c r="G75" s="248"/>
      <c r="H75" s="247" t="s">
        <v>5273</v>
      </c>
      <c r="I75" s="248"/>
      <c r="J75" s="248"/>
      <c r="K75" s="248"/>
      <c r="L75" s="248"/>
      <c r="M75" s="248"/>
      <c r="N75" s="248"/>
      <c r="O75" s="248"/>
      <c r="P75" s="248"/>
      <c r="Q75" s="248"/>
      <c r="R75" s="248"/>
      <c r="S75" s="248"/>
    </row>
    <row r="76" hidden="1">
      <c r="A76" s="256">
        <v>7.0</v>
      </c>
      <c r="B76" s="256">
        <v>1.0</v>
      </c>
      <c r="C76" s="256">
        <v>1.0</v>
      </c>
      <c r="D76" s="257" t="s">
        <v>1389</v>
      </c>
      <c r="E76" s="258" t="s">
        <v>5361</v>
      </c>
      <c r="F76" s="258"/>
      <c r="G76" s="248"/>
      <c r="H76" s="247" t="s">
        <v>5273</v>
      </c>
      <c r="I76" s="248"/>
      <c r="J76" s="248"/>
      <c r="K76" s="248"/>
      <c r="L76" s="248"/>
      <c r="M76" s="248"/>
      <c r="N76" s="248"/>
      <c r="O76" s="248"/>
      <c r="P76" s="248"/>
      <c r="Q76" s="248"/>
      <c r="R76" s="248"/>
      <c r="S76" s="248"/>
    </row>
    <row r="77" hidden="1">
      <c r="A77" s="256">
        <v>7.0</v>
      </c>
      <c r="B77" s="256">
        <v>1.0</v>
      </c>
      <c r="C77" s="256">
        <v>2.0</v>
      </c>
      <c r="D77" s="257" t="s">
        <v>69</v>
      </c>
      <c r="E77" s="258" t="s">
        <v>5362</v>
      </c>
      <c r="F77" s="258"/>
      <c r="G77" s="248"/>
      <c r="H77" s="247" t="s">
        <v>5273</v>
      </c>
      <c r="I77" s="248"/>
      <c r="J77" s="248"/>
      <c r="K77" s="248"/>
      <c r="L77" s="248"/>
      <c r="M77" s="248"/>
      <c r="N77" s="248"/>
      <c r="O77" s="248"/>
      <c r="P77" s="248"/>
      <c r="Q77" s="248"/>
      <c r="R77" s="248"/>
      <c r="S77" s="248"/>
    </row>
    <row r="78" hidden="1">
      <c r="A78" s="256">
        <v>7.0</v>
      </c>
      <c r="B78" s="256">
        <v>1.0</v>
      </c>
      <c r="C78" s="256">
        <v>3.0</v>
      </c>
      <c r="D78" s="257" t="s">
        <v>5357</v>
      </c>
      <c r="E78" s="258" t="s">
        <v>5363</v>
      </c>
      <c r="F78" s="258"/>
      <c r="G78" s="248"/>
      <c r="H78" s="247" t="s">
        <v>5273</v>
      </c>
      <c r="I78" s="248"/>
      <c r="J78" s="248"/>
      <c r="K78" s="248"/>
      <c r="L78" s="248"/>
      <c r="M78" s="248"/>
      <c r="N78" s="248"/>
      <c r="O78" s="248"/>
      <c r="P78" s="248"/>
      <c r="Q78" s="248"/>
      <c r="R78" s="248"/>
      <c r="S78" s="248"/>
    </row>
    <row r="79" hidden="1">
      <c r="A79" s="256">
        <v>7.0</v>
      </c>
      <c r="B79" s="256">
        <v>1.0</v>
      </c>
      <c r="C79" s="256">
        <v>3.0</v>
      </c>
      <c r="D79" s="257" t="s">
        <v>5364</v>
      </c>
      <c r="E79" s="258" t="s">
        <v>5365</v>
      </c>
      <c r="F79" s="258"/>
      <c r="G79" s="248"/>
      <c r="H79" s="247" t="s">
        <v>5273</v>
      </c>
      <c r="I79" s="248"/>
      <c r="J79" s="248"/>
      <c r="K79" s="248"/>
      <c r="L79" s="248"/>
      <c r="M79" s="248"/>
      <c r="N79" s="248"/>
      <c r="O79" s="248"/>
      <c r="P79" s="248"/>
      <c r="Q79" s="248"/>
      <c r="R79" s="248"/>
      <c r="S79" s="248"/>
    </row>
    <row r="80" hidden="1">
      <c r="A80" s="256">
        <v>7.0</v>
      </c>
      <c r="B80" s="256">
        <v>1.0</v>
      </c>
      <c r="C80" s="256">
        <v>3.0</v>
      </c>
      <c r="D80" s="257" t="s">
        <v>1389</v>
      </c>
      <c r="E80" s="258" t="s">
        <v>5366</v>
      </c>
      <c r="F80" s="258"/>
      <c r="G80" s="248"/>
      <c r="H80" s="247" t="s">
        <v>5273</v>
      </c>
      <c r="I80" s="248"/>
      <c r="J80" s="248"/>
      <c r="K80" s="248"/>
      <c r="L80" s="248"/>
      <c r="M80" s="248"/>
      <c r="N80" s="248"/>
      <c r="O80" s="248"/>
      <c r="P80" s="248"/>
      <c r="Q80" s="248"/>
      <c r="R80" s="248"/>
      <c r="S80" s="248"/>
    </row>
    <row r="81" hidden="1">
      <c r="A81" s="256">
        <v>7.0</v>
      </c>
      <c r="B81" s="256">
        <v>1.0</v>
      </c>
      <c r="C81" s="256">
        <v>4.0</v>
      </c>
      <c r="D81" s="257" t="s">
        <v>69</v>
      </c>
      <c r="E81" s="258" t="s">
        <v>5367</v>
      </c>
      <c r="F81" s="258"/>
      <c r="G81" s="248"/>
      <c r="H81" s="247" t="s">
        <v>5273</v>
      </c>
      <c r="I81" s="248"/>
      <c r="J81" s="248"/>
      <c r="K81" s="248"/>
      <c r="L81" s="248"/>
      <c r="M81" s="248"/>
      <c r="N81" s="248"/>
      <c r="O81" s="248"/>
      <c r="P81" s="248"/>
      <c r="Q81" s="248"/>
      <c r="R81" s="248"/>
      <c r="S81" s="248"/>
    </row>
    <row r="82">
      <c r="A82" s="261" t="s">
        <v>5368</v>
      </c>
      <c r="B82" s="256">
        <v>1.0</v>
      </c>
      <c r="C82" s="256">
        <v>5.0</v>
      </c>
      <c r="D82" s="270"/>
      <c r="E82" s="258" t="s">
        <v>5369</v>
      </c>
      <c r="F82" s="247"/>
      <c r="G82" s="248"/>
      <c r="H82" s="247" t="s">
        <v>5273</v>
      </c>
      <c r="I82" s="248"/>
      <c r="J82" s="248"/>
      <c r="K82" s="248"/>
      <c r="L82" s="248"/>
      <c r="M82" s="248"/>
      <c r="N82" s="248"/>
      <c r="O82" s="248"/>
      <c r="P82" s="248"/>
      <c r="Q82" s="248"/>
      <c r="R82" s="248"/>
      <c r="S82" s="248"/>
    </row>
    <row r="83">
      <c r="A83" s="261" t="s">
        <v>5370</v>
      </c>
      <c r="B83" s="256">
        <v>1.0</v>
      </c>
      <c r="C83" s="256">
        <v>6.0</v>
      </c>
      <c r="D83" s="257" t="s">
        <v>5290</v>
      </c>
      <c r="E83" s="258" t="s">
        <v>5371</v>
      </c>
      <c r="F83" s="247"/>
      <c r="G83" s="248"/>
      <c r="H83" s="247" t="s">
        <v>5273</v>
      </c>
      <c r="I83" s="248"/>
      <c r="J83" s="248"/>
      <c r="K83" s="248"/>
      <c r="L83" s="248"/>
      <c r="M83" s="248"/>
      <c r="N83" s="248"/>
      <c r="O83" s="248"/>
      <c r="P83" s="248"/>
      <c r="Q83" s="248"/>
      <c r="R83" s="248"/>
      <c r="S83" s="248"/>
    </row>
    <row r="84" hidden="1">
      <c r="A84" s="256">
        <v>7.0</v>
      </c>
      <c r="B84" s="256">
        <v>1.0</v>
      </c>
      <c r="C84" s="256">
        <v>7.0</v>
      </c>
      <c r="D84" s="257" t="s">
        <v>69</v>
      </c>
      <c r="E84" s="258" t="s">
        <v>5372</v>
      </c>
      <c r="F84" s="258"/>
      <c r="G84" s="248"/>
      <c r="H84" s="247" t="s">
        <v>5273</v>
      </c>
      <c r="I84" s="248"/>
      <c r="J84" s="248"/>
      <c r="K84" s="248"/>
      <c r="L84" s="248"/>
      <c r="M84" s="248"/>
      <c r="N84" s="248"/>
      <c r="O84" s="248"/>
      <c r="P84" s="248"/>
      <c r="Q84" s="248"/>
      <c r="R84" s="248"/>
      <c r="S84" s="248"/>
    </row>
    <row r="85" hidden="1">
      <c r="A85" s="267">
        <v>7.0</v>
      </c>
      <c r="B85" s="267">
        <v>1.0</v>
      </c>
      <c r="C85" s="267">
        <v>8.0</v>
      </c>
      <c r="D85" s="268" t="s">
        <v>5290</v>
      </c>
      <c r="E85" s="268" t="s">
        <v>5290</v>
      </c>
      <c r="F85" s="268"/>
      <c r="G85" s="269"/>
      <c r="H85" s="269"/>
      <c r="I85" s="269"/>
      <c r="J85" s="269"/>
      <c r="K85" s="269"/>
      <c r="L85" s="269"/>
      <c r="M85" s="269"/>
      <c r="N85" s="269"/>
      <c r="O85" s="269"/>
      <c r="P85" s="269"/>
      <c r="Q85" s="269"/>
      <c r="R85" s="269"/>
      <c r="S85" s="269"/>
    </row>
    <row r="86" hidden="1">
      <c r="A86" s="256">
        <v>7.0</v>
      </c>
      <c r="B86" s="256">
        <v>2.0</v>
      </c>
      <c r="C86" s="256">
        <v>0.0</v>
      </c>
      <c r="D86" s="257" t="s">
        <v>5373</v>
      </c>
      <c r="E86" s="258" t="s">
        <v>5374</v>
      </c>
      <c r="F86" s="258"/>
      <c r="G86" s="248"/>
      <c r="H86" s="247" t="s">
        <v>5273</v>
      </c>
      <c r="I86" s="248"/>
      <c r="J86" s="248"/>
      <c r="K86" s="248"/>
      <c r="L86" s="248"/>
      <c r="M86" s="248"/>
      <c r="N86" s="248"/>
      <c r="O86" s="248"/>
      <c r="P86" s="248"/>
      <c r="Q86" s="248"/>
      <c r="R86" s="248"/>
      <c r="S86" s="248"/>
    </row>
    <row r="87" hidden="1">
      <c r="A87" s="256">
        <v>7.0</v>
      </c>
      <c r="B87" s="256">
        <v>2.0</v>
      </c>
      <c r="C87" s="256">
        <v>1.0</v>
      </c>
      <c r="D87" s="257" t="s">
        <v>69</v>
      </c>
      <c r="E87" s="283" t="s">
        <v>5375</v>
      </c>
      <c r="F87" s="283"/>
      <c r="G87" s="248"/>
      <c r="H87" s="247" t="s">
        <v>5273</v>
      </c>
      <c r="I87" s="248"/>
      <c r="J87" s="248"/>
      <c r="K87" s="248"/>
      <c r="L87" s="248"/>
      <c r="M87" s="248"/>
      <c r="N87" s="248"/>
      <c r="O87" s="248"/>
      <c r="P87" s="248"/>
      <c r="Q87" s="248"/>
      <c r="R87" s="248"/>
      <c r="S87" s="248"/>
    </row>
    <row r="88" hidden="1">
      <c r="A88" s="256">
        <v>7.0</v>
      </c>
      <c r="B88" s="256">
        <v>2.0</v>
      </c>
      <c r="C88" s="256">
        <v>2.0</v>
      </c>
      <c r="D88" s="257" t="s">
        <v>69</v>
      </c>
      <c r="E88" s="258" t="s">
        <v>5376</v>
      </c>
      <c r="F88" s="258"/>
      <c r="G88" s="248"/>
      <c r="H88" s="247" t="s">
        <v>5273</v>
      </c>
      <c r="I88" s="248"/>
      <c r="J88" s="248"/>
      <c r="K88" s="248"/>
      <c r="L88" s="248"/>
      <c r="M88" s="248"/>
      <c r="N88" s="248"/>
      <c r="O88" s="248"/>
      <c r="P88" s="248"/>
      <c r="Q88" s="248"/>
      <c r="R88" s="248"/>
      <c r="S88" s="248"/>
    </row>
    <row r="89" hidden="1">
      <c r="A89" s="256">
        <v>7.0</v>
      </c>
      <c r="B89" s="256">
        <v>2.0</v>
      </c>
      <c r="C89" s="256">
        <v>3.0</v>
      </c>
      <c r="D89" s="257" t="s">
        <v>69</v>
      </c>
      <c r="E89" s="258" t="s">
        <v>5377</v>
      </c>
      <c r="F89" s="258"/>
      <c r="G89" s="248"/>
      <c r="H89" s="247" t="s">
        <v>5273</v>
      </c>
      <c r="I89" s="248"/>
      <c r="J89" s="248"/>
      <c r="K89" s="248"/>
      <c r="L89" s="248"/>
      <c r="M89" s="248"/>
      <c r="N89" s="248"/>
      <c r="O89" s="248"/>
      <c r="P89" s="248"/>
      <c r="Q89" s="248"/>
      <c r="R89" s="248"/>
      <c r="S89" s="248"/>
    </row>
    <row r="90">
      <c r="A90" s="261" t="s">
        <v>5370</v>
      </c>
      <c r="B90" s="256">
        <v>2.0</v>
      </c>
      <c r="C90" s="256">
        <v>4.0</v>
      </c>
      <c r="D90" s="257" t="s">
        <v>69</v>
      </c>
      <c r="E90" s="258" t="s">
        <v>5378</v>
      </c>
      <c r="F90" s="247"/>
      <c r="G90" s="248"/>
      <c r="H90" s="247" t="s">
        <v>5273</v>
      </c>
      <c r="I90" s="248"/>
      <c r="J90" s="248"/>
      <c r="K90" s="248"/>
      <c r="L90" s="248"/>
      <c r="M90" s="248"/>
      <c r="N90" s="248"/>
      <c r="O90" s="248"/>
      <c r="P90" s="248"/>
      <c r="Q90" s="248"/>
      <c r="R90" s="248"/>
      <c r="S90" s="248"/>
    </row>
    <row r="91">
      <c r="A91" s="261" t="s">
        <v>5370</v>
      </c>
      <c r="B91" s="256">
        <v>2.0</v>
      </c>
      <c r="C91" s="256">
        <v>5.0</v>
      </c>
      <c r="D91" s="270"/>
      <c r="E91" s="258" t="s">
        <v>5379</v>
      </c>
      <c r="F91" s="247"/>
      <c r="G91" s="248"/>
      <c r="H91" s="247" t="s">
        <v>5273</v>
      </c>
      <c r="I91" s="248"/>
      <c r="J91" s="248"/>
      <c r="K91" s="248"/>
      <c r="L91" s="248"/>
      <c r="M91" s="248"/>
      <c r="N91" s="248"/>
      <c r="O91" s="248"/>
      <c r="P91" s="248"/>
      <c r="Q91" s="248"/>
      <c r="R91" s="248"/>
      <c r="S91" s="248"/>
    </row>
    <row r="92">
      <c r="A92" s="261" t="s">
        <v>5370</v>
      </c>
      <c r="B92" s="256">
        <v>2.0</v>
      </c>
      <c r="C92" s="256">
        <v>6.0</v>
      </c>
      <c r="D92" s="270"/>
      <c r="E92" s="258" t="s">
        <v>5380</v>
      </c>
      <c r="F92" s="247"/>
      <c r="G92" s="248"/>
      <c r="H92" s="247" t="s">
        <v>5273</v>
      </c>
      <c r="I92" s="248"/>
      <c r="J92" s="248"/>
      <c r="K92" s="248"/>
      <c r="L92" s="248"/>
      <c r="M92" s="248"/>
      <c r="N92" s="248"/>
      <c r="O92" s="248"/>
      <c r="P92" s="248"/>
      <c r="Q92" s="248"/>
      <c r="R92" s="248"/>
      <c r="S92" s="248"/>
    </row>
    <row r="93" hidden="1">
      <c r="A93" s="256">
        <v>7.0</v>
      </c>
      <c r="B93" s="256">
        <v>2.0</v>
      </c>
      <c r="C93" s="256">
        <v>7.0</v>
      </c>
      <c r="D93" s="257" t="s">
        <v>69</v>
      </c>
      <c r="E93" s="258" t="s">
        <v>5381</v>
      </c>
      <c r="F93" s="258"/>
      <c r="G93" s="248"/>
      <c r="H93" s="247" t="s">
        <v>5273</v>
      </c>
      <c r="I93" s="248"/>
      <c r="J93" s="248"/>
      <c r="K93" s="248"/>
      <c r="L93" s="248"/>
      <c r="M93" s="248"/>
      <c r="N93" s="248"/>
      <c r="O93" s="248"/>
      <c r="P93" s="248"/>
      <c r="Q93" s="248"/>
      <c r="R93" s="248"/>
      <c r="S93" s="248"/>
    </row>
    <row r="94" hidden="1">
      <c r="A94" s="273">
        <v>7.0</v>
      </c>
      <c r="B94" s="273">
        <v>2.0</v>
      </c>
      <c r="C94" s="273">
        <v>8.0</v>
      </c>
      <c r="D94" s="265"/>
      <c r="E94" s="274" t="s">
        <v>5290</v>
      </c>
      <c r="F94" s="274"/>
      <c r="G94" s="265"/>
      <c r="H94" s="265"/>
      <c r="I94" s="265"/>
      <c r="J94" s="265"/>
      <c r="K94" s="265"/>
      <c r="L94" s="265"/>
      <c r="M94" s="265"/>
      <c r="N94" s="265"/>
      <c r="O94" s="265"/>
      <c r="P94" s="265"/>
      <c r="Q94" s="265"/>
      <c r="R94" s="265"/>
      <c r="S94" s="265"/>
    </row>
    <row r="95" hidden="1">
      <c r="A95" s="256">
        <v>7.0</v>
      </c>
      <c r="B95" s="256">
        <v>3.0</v>
      </c>
      <c r="C95" s="256">
        <v>0.0</v>
      </c>
      <c r="D95" s="257" t="s">
        <v>5382</v>
      </c>
      <c r="E95" s="258" t="s">
        <v>5383</v>
      </c>
      <c r="F95" s="258"/>
      <c r="G95" s="248"/>
      <c r="H95" s="247" t="s">
        <v>5273</v>
      </c>
      <c r="I95" s="248"/>
      <c r="J95" s="248"/>
      <c r="K95" s="248"/>
      <c r="L95" s="248"/>
      <c r="M95" s="248"/>
      <c r="N95" s="248"/>
      <c r="O95" s="248"/>
      <c r="P95" s="248"/>
      <c r="Q95" s="248"/>
      <c r="R95" s="248"/>
      <c r="S95" s="248"/>
    </row>
    <row r="96" hidden="1">
      <c r="A96" s="248"/>
      <c r="B96" s="256">
        <v>3.0</v>
      </c>
      <c r="C96" s="256">
        <v>1.0</v>
      </c>
      <c r="D96" s="257" t="s">
        <v>1389</v>
      </c>
      <c r="E96" s="258" t="s">
        <v>5384</v>
      </c>
      <c r="F96" s="258"/>
      <c r="G96" s="248"/>
      <c r="H96" s="247" t="s">
        <v>5273</v>
      </c>
      <c r="I96" s="248"/>
      <c r="J96" s="248"/>
      <c r="K96" s="248"/>
      <c r="L96" s="248"/>
      <c r="M96" s="248"/>
      <c r="N96" s="248"/>
      <c r="O96" s="248"/>
      <c r="P96" s="248"/>
      <c r="Q96" s="248"/>
      <c r="R96" s="248"/>
      <c r="S96" s="248"/>
    </row>
    <row r="97" hidden="1">
      <c r="A97" s="256">
        <v>7.0</v>
      </c>
      <c r="B97" s="256">
        <v>3.0</v>
      </c>
      <c r="C97" s="256">
        <v>2.0</v>
      </c>
      <c r="D97" s="270"/>
      <c r="E97" s="258" t="s">
        <v>5385</v>
      </c>
      <c r="F97" s="258"/>
      <c r="G97" s="248"/>
      <c r="H97" s="247" t="s">
        <v>5273</v>
      </c>
      <c r="I97" s="248"/>
      <c r="J97" s="248"/>
      <c r="K97" s="248"/>
      <c r="L97" s="248"/>
      <c r="M97" s="248"/>
      <c r="N97" s="248"/>
      <c r="O97" s="248"/>
      <c r="P97" s="248"/>
      <c r="Q97" s="248"/>
      <c r="R97" s="248"/>
      <c r="S97" s="248"/>
    </row>
    <row r="98" hidden="1">
      <c r="A98" s="256">
        <v>7.0</v>
      </c>
      <c r="B98" s="256">
        <v>3.0</v>
      </c>
      <c r="C98" s="256">
        <v>3.0</v>
      </c>
      <c r="D98" s="270"/>
      <c r="E98" s="258" t="s">
        <v>5386</v>
      </c>
      <c r="F98" s="258"/>
      <c r="G98" s="248"/>
      <c r="H98" s="247" t="s">
        <v>5273</v>
      </c>
      <c r="I98" s="248"/>
      <c r="J98" s="248"/>
      <c r="K98" s="248"/>
      <c r="L98" s="248"/>
      <c r="M98" s="248"/>
      <c r="N98" s="248"/>
      <c r="O98" s="248"/>
      <c r="P98" s="248"/>
      <c r="Q98" s="248"/>
      <c r="R98" s="248"/>
      <c r="S98" s="248"/>
    </row>
    <row r="99" hidden="1">
      <c r="A99" s="256">
        <v>7.0</v>
      </c>
      <c r="B99" s="256">
        <v>3.0</v>
      </c>
      <c r="C99" s="256">
        <v>4.0</v>
      </c>
      <c r="D99" s="270"/>
      <c r="E99" s="284" t="s">
        <v>5387</v>
      </c>
      <c r="F99" s="284"/>
      <c r="G99" s="248"/>
      <c r="H99" s="247" t="s">
        <v>5273</v>
      </c>
      <c r="I99" s="248"/>
      <c r="J99" s="248"/>
      <c r="K99" s="248"/>
      <c r="L99" s="248"/>
      <c r="M99" s="248"/>
      <c r="N99" s="248"/>
      <c r="O99" s="248"/>
      <c r="P99" s="248"/>
      <c r="Q99" s="248"/>
      <c r="R99" s="248"/>
      <c r="S99" s="248"/>
    </row>
    <row r="100">
      <c r="A100" s="256">
        <v>7.0</v>
      </c>
      <c r="B100" s="256">
        <v>3.0</v>
      </c>
      <c r="C100" s="256">
        <v>5.0</v>
      </c>
      <c r="D100" s="257" t="s">
        <v>5388</v>
      </c>
      <c r="E100" s="258" t="s">
        <v>5389</v>
      </c>
      <c r="F100" s="247"/>
      <c r="G100" s="248"/>
      <c r="H100" s="247" t="s">
        <v>5273</v>
      </c>
      <c r="I100" s="248"/>
      <c r="J100" s="248"/>
      <c r="K100" s="248"/>
      <c r="L100" s="248"/>
      <c r="M100" s="248"/>
      <c r="N100" s="248"/>
      <c r="O100" s="248"/>
      <c r="P100" s="248"/>
      <c r="Q100" s="248"/>
      <c r="R100" s="248"/>
      <c r="S100" s="248"/>
    </row>
    <row r="101">
      <c r="A101" s="261" t="s">
        <v>5368</v>
      </c>
      <c r="B101" s="256">
        <v>3.0</v>
      </c>
      <c r="C101" s="256">
        <v>6.0</v>
      </c>
      <c r="D101" s="257" t="s">
        <v>5301</v>
      </c>
      <c r="E101" s="258" t="s">
        <v>5390</v>
      </c>
      <c r="F101" s="247"/>
      <c r="G101" s="248"/>
      <c r="H101" s="247" t="s">
        <v>5273</v>
      </c>
      <c r="I101" s="248"/>
      <c r="J101" s="248"/>
      <c r="K101" s="248"/>
      <c r="L101" s="248"/>
      <c r="M101" s="248"/>
      <c r="N101" s="248"/>
      <c r="O101" s="248"/>
      <c r="P101" s="248"/>
      <c r="Q101" s="248"/>
      <c r="R101" s="248"/>
      <c r="S101" s="248"/>
    </row>
    <row r="102" hidden="1">
      <c r="A102" s="256">
        <v>7.0</v>
      </c>
      <c r="B102" s="256">
        <v>3.0</v>
      </c>
      <c r="C102" s="256">
        <v>7.0</v>
      </c>
      <c r="D102" s="257" t="s">
        <v>69</v>
      </c>
      <c r="E102" s="258" t="s">
        <v>5391</v>
      </c>
      <c r="F102" s="258"/>
      <c r="G102" s="248"/>
      <c r="H102" s="247" t="s">
        <v>5273</v>
      </c>
      <c r="I102" s="248"/>
      <c r="J102" s="248"/>
      <c r="K102" s="248"/>
      <c r="L102" s="248"/>
      <c r="M102" s="248"/>
      <c r="N102" s="248"/>
      <c r="O102" s="248"/>
      <c r="P102" s="248"/>
      <c r="Q102" s="248"/>
      <c r="R102" s="248"/>
      <c r="S102" s="248"/>
    </row>
    <row r="103" hidden="1">
      <c r="A103" s="273">
        <v>7.0</v>
      </c>
      <c r="B103" s="273">
        <v>3.0</v>
      </c>
      <c r="C103" s="273">
        <v>8.0</v>
      </c>
      <c r="D103" s="274" t="s">
        <v>5290</v>
      </c>
      <c r="E103" s="274" t="s">
        <v>5290</v>
      </c>
      <c r="F103" s="274"/>
      <c r="G103" s="265"/>
      <c r="H103" s="265"/>
      <c r="I103" s="265"/>
      <c r="J103" s="265"/>
      <c r="K103" s="265"/>
      <c r="L103" s="265"/>
      <c r="M103" s="265"/>
      <c r="N103" s="265"/>
      <c r="O103" s="265"/>
      <c r="P103" s="265"/>
      <c r="Q103" s="265"/>
      <c r="R103" s="265"/>
      <c r="S103" s="265"/>
    </row>
    <row r="104">
      <c r="A104" s="261" t="s">
        <v>5370</v>
      </c>
      <c r="B104" s="256">
        <v>4.0</v>
      </c>
      <c r="C104" s="256">
        <v>0.0</v>
      </c>
      <c r="D104" s="270"/>
      <c r="E104" s="258" t="s">
        <v>5392</v>
      </c>
      <c r="F104" s="247"/>
      <c r="G104" s="248"/>
      <c r="H104" s="247" t="s">
        <v>5273</v>
      </c>
      <c r="I104" s="248"/>
      <c r="J104" s="248"/>
      <c r="K104" s="248"/>
      <c r="L104" s="248"/>
      <c r="M104" s="248"/>
      <c r="N104" s="248"/>
      <c r="O104" s="248"/>
      <c r="P104" s="248"/>
      <c r="Q104" s="248"/>
      <c r="R104" s="248"/>
      <c r="S104" s="248"/>
    </row>
    <row r="105">
      <c r="A105" s="256">
        <v>7.0</v>
      </c>
      <c r="B105" s="256">
        <v>4.0</v>
      </c>
      <c r="C105" s="256">
        <v>1.0</v>
      </c>
      <c r="D105" s="270"/>
      <c r="E105" s="258" t="s">
        <v>5393</v>
      </c>
      <c r="F105" s="247"/>
      <c r="G105" s="248"/>
      <c r="H105" s="247" t="s">
        <v>5273</v>
      </c>
      <c r="I105" s="248"/>
      <c r="J105" s="248"/>
      <c r="K105" s="248"/>
      <c r="L105" s="248"/>
      <c r="M105" s="248"/>
      <c r="N105" s="248"/>
      <c r="O105" s="248"/>
      <c r="P105" s="248"/>
      <c r="Q105" s="248"/>
      <c r="R105" s="248"/>
      <c r="S105" s="248"/>
    </row>
    <row r="106" hidden="1">
      <c r="A106" s="256">
        <v>7.0</v>
      </c>
      <c r="B106" s="256">
        <v>4.0</v>
      </c>
      <c r="C106" s="256">
        <v>2.0</v>
      </c>
      <c r="D106" s="257" t="s">
        <v>69</v>
      </c>
      <c r="E106" s="258" t="s">
        <v>5394</v>
      </c>
      <c r="F106" s="258"/>
      <c r="G106" s="248"/>
      <c r="H106" s="247" t="s">
        <v>5273</v>
      </c>
      <c r="I106" s="248"/>
      <c r="J106" s="248"/>
      <c r="K106" s="248"/>
      <c r="L106" s="248"/>
      <c r="M106" s="248"/>
      <c r="N106" s="248"/>
      <c r="O106" s="248"/>
      <c r="P106" s="248"/>
      <c r="Q106" s="248"/>
      <c r="R106" s="248"/>
      <c r="S106" s="248"/>
    </row>
    <row r="107" hidden="1">
      <c r="A107" s="256">
        <v>7.0</v>
      </c>
      <c r="B107" s="256">
        <v>4.0</v>
      </c>
      <c r="C107" s="256">
        <v>3.0</v>
      </c>
      <c r="D107" s="257" t="s">
        <v>69</v>
      </c>
      <c r="E107" s="258" t="s">
        <v>5395</v>
      </c>
      <c r="F107" s="258"/>
      <c r="G107" s="248"/>
      <c r="H107" s="247" t="s">
        <v>5273</v>
      </c>
      <c r="I107" s="248"/>
      <c r="J107" s="248"/>
      <c r="K107" s="248"/>
      <c r="L107" s="248"/>
      <c r="M107" s="248"/>
      <c r="N107" s="248"/>
      <c r="O107" s="248"/>
      <c r="P107" s="248"/>
      <c r="Q107" s="248"/>
      <c r="R107" s="248"/>
      <c r="S107" s="248"/>
    </row>
    <row r="108" hidden="1">
      <c r="A108" s="256">
        <v>7.0</v>
      </c>
      <c r="B108" s="256">
        <v>4.0</v>
      </c>
      <c r="C108" s="256">
        <v>4.0</v>
      </c>
      <c r="D108" s="257" t="s">
        <v>69</v>
      </c>
      <c r="E108" s="258" t="s">
        <v>5396</v>
      </c>
      <c r="F108" s="258"/>
      <c r="G108" s="248"/>
      <c r="H108" s="247" t="s">
        <v>5273</v>
      </c>
      <c r="I108" s="248"/>
      <c r="J108" s="248"/>
      <c r="K108" s="248"/>
      <c r="L108" s="248"/>
      <c r="M108" s="248"/>
      <c r="N108" s="248"/>
      <c r="O108" s="248"/>
      <c r="P108" s="248"/>
      <c r="Q108" s="248"/>
      <c r="R108" s="248"/>
      <c r="S108" s="248"/>
    </row>
    <row r="109">
      <c r="A109" s="281" t="s">
        <v>5370</v>
      </c>
      <c r="B109" s="282">
        <v>4.0</v>
      </c>
      <c r="C109" s="282">
        <v>5.0</v>
      </c>
      <c r="D109" s="257" t="s">
        <v>5397</v>
      </c>
      <c r="E109" s="277" t="s">
        <v>5398</v>
      </c>
      <c r="F109" s="278"/>
      <c r="G109" s="260" t="s">
        <v>5273</v>
      </c>
      <c r="H109" s="247" t="s">
        <v>5273</v>
      </c>
      <c r="I109" s="285"/>
      <c r="J109" s="285"/>
      <c r="K109" s="285"/>
      <c r="L109" s="285"/>
      <c r="M109" s="285"/>
      <c r="N109" s="285"/>
      <c r="O109" s="285"/>
      <c r="P109" s="285"/>
      <c r="Q109" s="285"/>
      <c r="R109" s="285"/>
      <c r="S109" s="285"/>
    </row>
    <row r="110">
      <c r="A110" s="261" t="s">
        <v>5370</v>
      </c>
      <c r="B110" s="256">
        <v>4.0</v>
      </c>
      <c r="C110" s="256">
        <v>6.0</v>
      </c>
      <c r="D110" s="257" t="s">
        <v>5399</v>
      </c>
      <c r="E110" s="258" t="s">
        <v>5400</v>
      </c>
      <c r="F110" s="247"/>
      <c r="G110" s="247" t="s">
        <v>5273</v>
      </c>
      <c r="H110" s="247" t="s">
        <v>5273</v>
      </c>
      <c r="I110" s="279"/>
      <c r="J110" s="279"/>
      <c r="K110" s="279"/>
      <c r="L110" s="279"/>
      <c r="M110" s="279"/>
      <c r="N110" s="279"/>
      <c r="O110" s="279"/>
      <c r="P110" s="279"/>
      <c r="Q110" s="279"/>
      <c r="R110" s="279"/>
      <c r="S110" s="279"/>
    </row>
    <row r="111">
      <c r="A111" s="261" t="s">
        <v>5370</v>
      </c>
      <c r="B111" s="256">
        <v>4.0</v>
      </c>
      <c r="C111" s="256">
        <v>7.0</v>
      </c>
      <c r="D111" s="257" t="s">
        <v>4666</v>
      </c>
      <c r="E111" s="258" t="s">
        <v>5401</v>
      </c>
      <c r="F111" s="247"/>
      <c r="G111" s="248"/>
      <c r="H111" s="247" t="s">
        <v>5273</v>
      </c>
      <c r="I111" s="279"/>
      <c r="J111" s="279"/>
      <c r="K111" s="279"/>
      <c r="L111" s="279"/>
      <c r="M111" s="279"/>
      <c r="N111" s="279"/>
      <c r="O111" s="279"/>
      <c r="P111" s="279"/>
      <c r="Q111" s="279"/>
      <c r="R111" s="279"/>
      <c r="S111" s="279"/>
    </row>
    <row r="112">
      <c r="A112" s="261" t="s">
        <v>5370</v>
      </c>
      <c r="B112" s="256">
        <v>4.0</v>
      </c>
      <c r="C112" s="256">
        <v>8.0</v>
      </c>
      <c r="D112" s="247" t="s">
        <v>5402</v>
      </c>
      <c r="E112" s="258" t="s">
        <v>5403</v>
      </c>
      <c r="F112" s="247"/>
      <c r="G112" s="247" t="s">
        <v>5273</v>
      </c>
      <c r="H112" s="247" t="s">
        <v>5273</v>
      </c>
      <c r="I112" s="248"/>
      <c r="J112" s="248"/>
      <c r="K112" s="248"/>
      <c r="L112" s="248"/>
      <c r="M112" s="248"/>
      <c r="N112" s="248"/>
      <c r="O112" s="248"/>
      <c r="P112" s="248"/>
      <c r="Q112" s="248"/>
      <c r="R112" s="248"/>
      <c r="S112" s="248"/>
    </row>
    <row r="113" hidden="1">
      <c r="A113" s="267">
        <v>7.0</v>
      </c>
      <c r="B113" s="267">
        <v>4.0</v>
      </c>
      <c r="C113" s="267">
        <v>9.0</v>
      </c>
      <c r="D113" s="268" t="s">
        <v>5290</v>
      </c>
      <c r="E113" s="268" t="s">
        <v>5290</v>
      </c>
      <c r="F113" s="268"/>
      <c r="G113" s="269"/>
      <c r="H113" s="269"/>
      <c r="I113" s="269"/>
      <c r="J113" s="269"/>
      <c r="K113" s="269"/>
      <c r="L113" s="269"/>
      <c r="M113" s="269"/>
      <c r="N113" s="269"/>
      <c r="O113" s="269"/>
      <c r="P113" s="269"/>
      <c r="Q113" s="269"/>
      <c r="R113" s="269"/>
      <c r="S113" s="269"/>
    </row>
    <row r="114" hidden="1">
      <c r="A114" s="256">
        <v>7.0</v>
      </c>
      <c r="B114" s="256">
        <v>5.0</v>
      </c>
      <c r="C114" s="256">
        <v>0.0</v>
      </c>
      <c r="D114" s="257" t="s">
        <v>5404</v>
      </c>
      <c r="E114" s="258" t="s">
        <v>5405</v>
      </c>
      <c r="F114" s="258"/>
      <c r="G114" s="248"/>
      <c r="H114" s="247" t="s">
        <v>5273</v>
      </c>
      <c r="I114" s="279"/>
      <c r="J114" s="279"/>
      <c r="K114" s="279"/>
      <c r="L114" s="279"/>
      <c r="M114" s="279"/>
      <c r="N114" s="279"/>
      <c r="O114" s="279"/>
      <c r="P114" s="279"/>
      <c r="Q114" s="279"/>
      <c r="R114" s="279"/>
      <c r="S114" s="279"/>
    </row>
    <row r="115" hidden="1">
      <c r="A115" s="256">
        <v>7.0</v>
      </c>
      <c r="B115" s="256">
        <v>5.0</v>
      </c>
      <c r="C115" s="256">
        <v>1.0</v>
      </c>
      <c r="D115" s="257" t="s">
        <v>69</v>
      </c>
      <c r="E115" s="258" t="s">
        <v>5406</v>
      </c>
      <c r="F115" s="258"/>
      <c r="G115" s="248"/>
      <c r="H115" s="247" t="s">
        <v>5273</v>
      </c>
      <c r="I115" s="279"/>
      <c r="J115" s="279"/>
      <c r="K115" s="279"/>
      <c r="L115" s="279"/>
      <c r="M115" s="279"/>
      <c r="N115" s="279"/>
      <c r="O115" s="279"/>
      <c r="P115" s="279"/>
      <c r="Q115" s="279"/>
      <c r="R115" s="279"/>
      <c r="S115" s="279"/>
    </row>
    <row r="116" hidden="1">
      <c r="A116" s="256">
        <v>7.0</v>
      </c>
      <c r="B116" s="256">
        <v>5.0</v>
      </c>
      <c r="C116" s="256">
        <v>2.0</v>
      </c>
      <c r="D116" s="257" t="s">
        <v>69</v>
      </c>
      <c r="E116" s="258" t="s">
        <v>5407</v>
      </c>
      <c r="F116" s="258"/>
      <c r="G116" s="248"/>
      <c r="H116" s="247" t="s">
        <v>5273</v>
      </c>
      <c r="I116" s="248"/>
      <c r="J116" s="248"/>
      <c r="K116" s="248"/>
      <c r="L116" s="248"/>
      <c r="M116" s="248"/>
      <c r="N116" s="248"/>
      <c r="O116" s="248"/>
      <c r="P116" s="248"/>
      <c r="Q116" s="248"/>
      <c r="R116" s="248"/>
      <c r="S116" s="248"/>
    </row>
    <row r="117" hidden="1">
      <c r="A117" s="256">
        <v>7.0</v>
      </c>
      <c r="B117" s="256">
        <v>5.0</v>
      </c>
      <c r="C117" s="256">
        <v>3.0</v>
      </c>
      <c r="D117" s="257" t="s">
        <v>69</v>
      </c>
      <c r="E117" s="258" t="s">
        <v>5408</v>
      </c>
      <c r="F117" s="258"/>
      <c r="G117" s="248"/>
      <c r="H117" s="247" t="s">
        <v>5273</v>
      </c>
      <c r="I117" s="248"/>
      <c r="J117" s="248"/>
      <c r="K117" s="248"/>
      <c r="L117" s="248"/>
      <c r="M117" s="248"/>
      <c r="N117" s="248"/>
      <c r="O117" s="248"/>
      <c r="P117" s="248"/>
      <c r="Q117" s="248"/>
      <c r="R117" s="248"/>
      <c r="S117" s="248"/>
    </row>
    <row r="118" hidden="1">
      <c r="A118" s="256">
        <v>7.0</v>
      </c>
      <c r="B118" s="256">
        <v>5.0</v>
      </c>
      <c r="C118" s="256">
        <v>4.0</v>
      </c>
      <c r="D118" s="257" t="s">
        <v>69</v>
      </c>
      <c r="E118" s="258" t="s">
        <v>5409</v>
      </c>
      <c r="F118" s="258"/>
      <c r="G118" s="248"/>
      <c r="H118" s="247" t="s">
        <v>5273</v>
      </c>
      <c r="I118" s="248"/>
      <c r="J118" s="248"/>
      <c r="K118" s="248"/>
      <c r="L118" s="248"/>
      <c r="M118" s="248"/>
      <c r="N118" s="248"/>
      <c r="O118" s="248"/>
      <c r="P118" s="248"/>
      <c r="Q118" s="248"/>
      <c r="R118" s="248"/>
      <c r="S118" s="248"/>
    </row>
    <row r="119" hidden="1">
      <c r="A119" s="256">
        <v>7.0</v>
      </c>
      <c r="B119" s="256">
        <v>5.0</v>
      </c>
      <c r="C119" s="256">
        <v>5.0</v>
      </c>
      <c r="D119" s="257" t="s">
        <v>69</v>
      </c>
      <c r="E119" s="258" t="s">
        <v>5410</v>
      </c>
      <c r="F119" s="258"/>
      <c r="G119" s="248"/>
      <c r="H119" s="247" t="s">
        <v>5273</v>
      </c>
      <c r="I119" s="248"/>
      <c r="J119" s="248"/>
      <c r="K119" s="248"/>
      <c r="L119" s="248"/>
      <c r="M119" s="248"/>
      <c r="N119" s="248"/>
      <c r="O119" s="248"/>
      <c r="P119" s="248"/>
      <c r="Q119" s="248"/>
      <c r="R119" s="248"/>
      <c r="S119" s="248"/>
    </row>
    <row r="120">
      <c r="A120" s="261" t="s">
        <v>5368</v>
      </c>
      <c r="B120" s="256">
        <v>5.0</v>
      </c>
      <c r="C120" s="256">
        <v>6.0</v>
      </c>
      <c r="D120" s="257" t="s">
        <v>5411</v>
      </c>
      <c r="E120" s="286" t="s">
        <v>5412</v>
      </c>
      <c r="F120" s="287"/>
      <c r="G120" s="247" t="s">
        <v>5273</v>
      </c>
      <c r="H120" s="247" t="s">
        <v>5273</v>
      </c>
      <c r="I120" s="279"/>
      <c r="J120" s="279"/>
      <c r="K120" s="279"/>
      <c r="L120" s="279"/>
      <c r="M120" s="279"/>
      <c r="N120" s="279"/>
      <c r="O120" s="279"/>
      <c r="P120" s="279"/>
      <c r="Q120" s="279"/>
      <c r="R120" s="279"/>
      <c r="S120" s="279"/>
    </row>
    <row r="121">
      <c r="A121" s="261" t="s">
        <v>5370</v>
      </c>
      <c r="B121" s="256">
        <v>5.0</v>
      </c>
      <c r="C121" s="256">
        <v>7.0</v>
      </c>
      <c r="D121" s="257" t="s">
        <v>5413</v>
      </c>
      <c r="E121" s="258" t="s">
        <v>5414</v>
      </c>
      <c r="F121" s="247"/>
      <c r="G121" s="248"/>
      <c r="H121" s="247" t="s">
        <v>5273</v>
      </c>
      <c r="I121" s="248"/>
      <c r="J121" s="248"/>
      <c r="K121" s="248"/>
      <c r="L121" s="248"/>
      <c r="M121" s="248"/>
      <c r="N121" s="248"/>
      <c r="O121" s="248"/>
      <c r="P121" s="248"/>
      <c r="Q121" s="248"/>
      <c r="R121" s="248"/>
      <c r="S121" s="248"/>
    </row>
    <row r="122" hidden="1">
      <c r="A122" s="256">
        <v>7.0</v>
      </c>
      <c r="B122" s="256">
        <v>5.0</v>
      </c>
      <c r="C122" s="256">
        <v>8.0</v>
      </c>
      <c r="D122" s="257" t="s">
        <v>69</v>
      </c>
      <c r="E122" s="258" t="s">
        <v>5415</v>
      </c>
      <c r="F122" s="258"/>
      <c r="G122" s="248"/>
      <c r="H122" s="247" t="s">
        <v>5273</v>
      </c>
      <c r="I122" s="248"/>
      <c r="J122" s="248"/>
      <c r="K122" s="248"/>
      <c r="L122" s="248"/>
      <c r="M122" s="248"/>
      <c r="N122" s="248"/>
      <c r="O122" s="248"/>
      <c r="P122" s="248"/>
      <c r="Q122" s="248"/>
      <c r="R122" s="248"/>
      <c r="S122" s="248"/>
    </row>
    <row r="123" hidden="1">
      <c r="A123" s="267">
        <v>7.0</v>
      </c>
      <c r="B123" s="267">
        <v>5.0</v>
      </c>
      <c r="C123" s="267">
        <v>9.0</v>
      </c>
      <c r="D123" s="268" t="s">
        <v>5288</v>
      </c>
      <c r="E123" s="268" t="s">
        <v>5290</v>
      </c>
      <c r="F123" s="268"/>
      <c r="G123" s="269"/>
      <c r="H123" s="269"/>
      <c r="I123" s="269"/>
      <c r="J123" s="269"/>
      <c r="K123" s="269"/>
      <c r="L123" s="269"/>
      <c r="M123" s="269"/>
      <c r="N123" s="269"/>
      <c r="O123" s="269"/>
      <c r="P123" s="269"/>
      <c r="Q123" s="269"/>
      <c r="R123" s="269"/>
      <c r="S123" s="269"/>
    </row>
    <row r="124" hidden="1">
      <c r="A124" s="256">
        <v>7.0</v>
      </c>
      <c r="B124" s="256">
        <v>6.0</v>
      </c>
      <c r="C124" s="256">
        <v>0.0</v>
      </c>
      <c r="D124" s="257" t="s">
        <v>5416</v>
      </c>
      <c r="E124" s="258" t="s">
        <v>5417</v>
      </c>
      <c r="F124" s="258"/>
      <c r="G124" s="248"/>
      <c r="H124" s="247" t="s">
        <v>5273</v>
      </c>
      <c r="I124" s="248"/>
      <c r="J124" s="248"/>
      <c r="K124" s="248"/>
      <c r="L124" s="248"/>
      <c r="M124" s="248"/>
      <c r="N124" s="248"/>
      <c r="O124" s="248"/>
      <c r="P124" s="248"/>
      <c r="Q124" s="248"/>
      <c r="R124" s="248"/>
      <c r="S124" s="248"/>
    </row>
    <row r="125" hidden="1">
      <c r="A125" s="256">
        <v>7.0</v>
      </c>
      <c r="B125" s="256">
        <v>6.0</v>
      </c>
      <c r="C125" s="256">
        <v>1.0</v>
      </c>
      <c r="D125" s="257" t="s">
        <v>69</v>
      </c>
      <c r="E125" s="258" t="s">
        <v>5418</v>
      </c>
      <c r="F125" s="258"/>
      <c r="G125" s="248"/>
      <c r="H125" s="247" t="s">
        <v>5273</v>
      </c>
      <c r="I125" s="248"/>
      <c r="J125" s="248"/>
      <c r="K125" s="248"/>
      <c r="L125" s="248"/>
      <c r="M125" s="248"/>
      <c r="N125" s="248"/>
      <c r="O125" s="248"/>
      <c r="P125" s="248"/>
      <c r="Q125" s="248"/>
      <c r="R125" s="248"/>
      <c r="S125" s="248"/>
    </row>
    <row r="126" hidden="1">
      <c r="A126" s="256">
        <v>7.0</v>
      </c>
      <c r="B126" s="256">
        <v>6.0</v>
      </c>
      <c r="C126" s="256">
        <v>2.0</v>
      </c>
      <c r="D126" s="257" t="s">
        <v>69</v>
      </c>
      <c r="E126" s="258" t="s">
        <v>5419</v>
      </c>
      <c r="F126" s="258"/>
      <c r="G126" s="248"/>
      <c r="H126" s="247" t="s">
        <v>5273</v>
      </c>
      <c r="I126" s="248"/>
      <c r="J126" s="248"/>
      <c r="K126" s="248"/>
      <c r="L126" s="248"/>
      <c r="M126" s="248"/>
      <c r="N126" s="248"/>
      <c r="O126" s="248"/>
      <c r="P126" s="248"/>
      <c r="Q126" s="248"/>
      <c r="R126" s="248"/>
      <c r="S126" s="248"/>
    </row>
    <row r="127" hidden="1">
      <c r="A127" s="256">
        <v>7.0</v>
      </c>
      <c r="B127" s="256">
        <v>6.0</v>
      </c>
      <c r="C127" s="256">
        <v>3.0</v>
      </c>
      <c r="D127" s="257" t="s">
        <v>69</v>
      </c>
      <c r="E127" s="258" t="s">
        <v>5420</v>
      </c>
      <c r="F127" s="258"/>
      <c r="G127" s="248"/>
      <c r="H127" s="247" t="s">
        <v>5273</v>
      </c>
      <c r="I127" s="248"/>
      <c r="J127" s="248"/>
      <c r="K127" s="248"/>
      <c r="L127" s="248"/>
      <c r="M127" s="248"/>
      <c r="N127" s="248"/>
      <c r="O127" s="248"/>
      <c r="P127" s="248"/>
      <c r="Q127" s="248"/>
      <c r="R127" s="248"/>
      <c r="S127" s="248"/>
    </row>
    <row r="128" hidden="1">
      <c r="A128" s="256">
        <v>7.0</v>
      </c>
      <c r="B128" s="256">
        <v>6.0</v>
      </c>
      <c r="C128" s="256">
        <v>4.0</v>
      </c>
      <c r="D128" s="257" t="s">
        <v>69</v>
      </c>
      <c r="E128" s="258" t="s">
        <v>5421</v>
      </c>
      <c r="F128" s="258"/>
      <c r="G128" s="248"/>
      <c r="H128" s="247" t="s">
        <v>5273</v>
      </c>
      <c r="I128" s="248"/>
      <c r="J128" s="248"/>
      <c r="K128" s="248"/>
      <c r="L128" s="248"/>
      <c r="M128" s="248"/>
      <c r="N128" s="248"/>
      <c r="O128" s="248"/>
      <c r="P128" s="248"/>
      <c r="Q128" s="248"/>
      <c r="R128" s="248"/>
      <c r="S128" s="248"/>
    </row>
    <row r="129">
      <c r="A129" s="261" t="s">
        <v>5370</v>
      </c>
      <c r="B129" s="256">
        <v>6.0</v>
      </c>
      <c r="C129" s="256">
        <v>5.0</v>
      </c>
      <c r="D129" s="257" t="s">
        <v>5422</v>
      </c>
      <c r="E129" s="277" t="s">
        <v>5423</v>
      </c>
      <c r="F129" s="278"/>
      <c r="G129" s="247" t="s">
        <v>5273</v>
      </c>
      <c r="H129" s="247" t="s">
        <v>5273</v>
      </c>
      <c r="I129" s="279"/>
      <c r="J129" s="279"/>
      <c r="K129" s="279"/>
      <c r="L129" s="279"/>
      <c r="M129" s="279"/>
      <c r="N129" s="279"/>
      <c r="O129" s="279"/>
      <c r="P129" s="279"/>
      <c r="Q129" s="279"/>
      <c r="R129" s="279"/>
      <c r="S129" s="279"/>
    </row>
    <row r="130">
      <c r="A130" s="261" t="s">
        <v>5370</v>
      </c>
      <c r="B130" s="256">
        <v>6.0</v>
      </c>
      <c r="C130" s="256">
        <v>6.0</v>
      </c>
      <c r="D130" s="257" t="s">
        <v>69</v>
      </c>
      <c r="E130" s="258" t="s">
        <v>5424</v>
      </c>
      <c r="F130" s="247"/>
      <c r="G130" s="248"/>
      <c r="H130" s="247" t="s">
        <v>5273</v>
      </c>
      <c r="I130" s="248"/>
      <c r="J130" s="248"/>
      <c r="K130" s="248"/>
      <c r="L130" s="248"/>
      <c r="M130" s="248"/>
      <c r="N130" s="248"/>
      <c r="O130" s="248"/>
      <c r="P130" s="248"/>
      <c r="Q130" s="248"/>
      <c r="R130" s="248"/>
      <c r="S130" s="248"/>
    </row>
    <row r="131" hidden="1">
      <c r="A131" s="256">
        <v>7.0</v>
      </c>
      <c r="B131" s="256">
        <v>6.0</v>
      </c>
      <c r="C131" s="256">
        <v>7.0</v>
      </c>
      <c r="D131" s="257" t="s">
        <v>69</v>
      </c>
      <c r="E131" s="258" t="s">
        <v>5425</v>
      </c>
      <c r="F131" s="258"/>
      <c r="G131" s="248"/>
      <c r="H131" s="247" t="s">
        <v>5273</v>
      </c>
      <c r="I131" s="248"/>
      <c r="J131" s="248"/>
      <c r="K131" s="248"/>
      <c r="L131" s="248"/>
      <c r="M131" s="248"/>
      <c r="N131" s="248"/>
      <c r="O131" s="248"/>
      <c r="P131" s="248"/>
      <c r="Q131" s="248"/>
      <c r="R131" s="248"/>
      <c r="S131" s="248"/>
    </row>
    <row r="132" hidden="1">
      <c r="A132" s="288">
        <v>7.0</v>
      </c>
      <c r="B132" s="288">
        <v>6.0</v>
      </c>
      <c r="C132" s="288">
        <v>8.0</v>
      </c>
      <c r="D132" s="289"/>
      <c r="E132" s="289"/>
      <c r="F132" s="289"/>
      <c r="G132" s="289"/>
      <c r="H132" s="289"/>
      <c r="I132" s="289"/>
      <c r="J132" s="289"/>
      <c r="K132" s="289"/>
      <c r="L132" s="289"/>
      <c r="M132" s="289"/>
      <c r="N132" s="289"/>
      <c r="O132" s="289"/>
      <c r="P132" s="289"/>
      <c r="Q132" s="289"/>
      <c r="R132" s="289"/>
      <c r="S132" s="289"/>
    </row>
    <row r="133" hidden="1">
      <c r="A133" s="256">
        <v>7.0</v>
      </c>
      <c r="B133" s="256">
        <v>7.0</v>
      </c>
      <c r="C133" s="256">
        <v>0.0</v>
      </c>
      <c r="D133" s="257" t="s">
        <v>69</v>
      </c>
      <c r="E133" s="286" t="s">
        <v>5426</v>
      </c>
      <c r="F133" s="286"/>
      <c r="G133" s="248"/>
      <c r="H133" s="247" t="s">
        <v>5273</v>
      </c>
      <c r="I133" s="248"/>
      <c r="J133" s="248"/>
      <c r="K133" s="279"/>
      <c r="L133" s="279"/>
      <c r="M133" s="279"/>
      <c r="N133" s="279"/>
      <c r="O133" s="279"/>
      <c r="P133" s="279"/>
      <c r="Q133" s="279"/>
      <c r="R133" s="279"/>
      <c r="S133" s="279"/>
    </row>
    <row r="134" hidden="1">
      <c r="A134" s="256">
        <v>7.0</v>
      </c>
      <c r="B134" s="256">
        <v>7.0</v>
      </c>
      <c r="C134" s="256">
        <v>1.0</v>
      </c>
      <c r="D134" s="257" t="s">
        <v>69</v>
      </c>
      <c r="E134" s="286" t="s">
        <v>5427</v>
      </c>
      <c r="F134" s="286"/>
      <c r="G134" s="248"/>
      <c r="H134" s="247" t="s">
        <v>5273</v>
      </c>
      <c r="I134" s="248"/>
      <c r="J134" s="248"/>
      <c r="K134" s="279"/>
      <c r="L134" s="279"/>
      <c r="M134" s="279"/>
      <c r="N134" s="279"/>
      <c r="O134" s="279"/>
      <c r="P134" s="279"/>
      <c r="Q134" s="279"/>
      <c r="R134" s="279"/>
      <c r="S134" s="279"/>
    </row>
    <row r="135" hidden="1">
      <c r="A135" s="256">
        <v>7.0</v>
      </c>
      <c r="B135" s="256">
        <v>7.0</v>
      </c>
      <c r="C135" s="256">
        <v>2.0</v>
      </c>
      <c r="D135" s="257" t="s">
        <v>69</v>
      </c>
      <c r="E135" s="290" t="s">
        <v>5428</v>
      </c>
      <c r="F135" s="290"/>
      <c r="G135" s="248"/>
      <c r="H135" s="247" t="s">
        <v>5273</v>
      </c>
      <c r="I135" s="248"/>
      <c r="J135" s="248"/>
      <c r="K135" s="248"/>
      <c r="L135" s="248"/>
      <c r="M135" s="248"/>
      <c r="N135" s="248"/>
      <c r="O135" s="248"/>
      <c r="P135" s="248"/>
      <c r="Q135" s="248"/>
      <c r="R135" s="248"/>
      <c r="S135" s="248"/>
    </row>
    <row r="136" hidden="1">
      <c r="A136" s="256">
        <v>7.0</v>
      </c>
      <c r="B136" s="256">
        <v>7.0</v>
      </c>
      <c r="C136" s="256">
        <v>3.0</v>
      </c>
      <c r="D136" s="257" t="s">
        <v>69</v>
      </c>
      <c r="E136" s="286" t="s">
        <v>5429</v>
      </c>
      <c r="F136" s="286"/>
      <c r="G136" s="248"/>
      <c r="H136" s="247" t="s">
        <v>5273</v>
      </c>
      <c r="I136" s="248"/>
      <c r="J136" s="248"/>
      <c r="K136" s="248"/>
      <c r="L136" s="248"/>
      <c r="M136" s="248"/>
      <c r="N136" s="248"/>
      <c r="O136" s="248"/>
      <c r="P136" s="248"/>
      <c r="Q136" s="248"/>
      <c r="R136" s="248"/>
      <c r="S136" s="248"/>
    </row>
    <row r="137" hidden="1">
      <c r="A137" s="256">
        <v>7.0</v>
      </c>
      <c r="B137" s="256">
        <v>7.0</v>
      </c>
      <c r="C137" s="256">
        <v>4.0</v>
      </c>
      <c r="D137" s="257" t="s">
        <v>69</v>
      </c>
      <c r="E137" s="286" t="s">
        <v>5430</v>
      </c>
      <c r="F137" s="286"/>
      <c r="G137" s="248"/>
      <c r="H137" s="247" t="s">
        <v>5273</v>
      </c>
      <c r="I137" s="248"/>
      <c r="J137" s="248"/>
      <c r="K137" s="248"/>
      <c r="L137" s="248"/>
      <c r="M137" s="248"/>
      <c r="N137" s="248"/>
      <c r="O137" s="248"/>
      <c r="P137" s="248"/>
      <c r="Q137" s="248"/>
      <c r="R137" s="248"/>
      <c r="S137" s="248"/>
    </row>
    <row r="138">
      <c r="A138" s="261" t="s">
        <v>5370</v>
      </c>
      <c r="B138" s="256">
        <v>7.0</v>
      </c>
      <c r="C138" s="256">
        <v>5.0</v>
      </c>
      <c r="D138" s="257" t="s">
        <v>3437</v>
      </c>
      <c r="E138" s="286" t="s">
        <v>5431</v>
      </c>
      <c r="F138" s="287"/>
      <c r="G138" s="247" t="s">
        <v>5273</v>
      </c>
      <c r="H138" s="247" t="s">
        <v>5273</v>
      </c>
      <c r="I138" s="248"/>
      <c r="J138" s="248"/>
      <c r="K138" s="248"/>
      <c r="L138" s="248"/>
      <c r="M138" s="248"/>
      <c r="N138" s="248"/>
      <c r="O138" s="248"/>
      <c r="P138" s="248"/>
      <c r="Q138" s="248"/>
      <c r="R138" s="248"/>
      <c r="S138" s="248"/>
    </row>
    <row r="139" hidden="1">
      <c r="A139" s="256">
        <v>7.0</v>
      </c>
      <c r="B139" s="256">
        <v>7.0</v>
      </c>
      <c r="C139" s="256">
        <v>6.0</v>
      </c>
      <c r="D139" s="257" t="s">
        <v>5432</v>
      </c>
      <c r="E139" s="286" t="s">
        <v>5433</v>
      </c>
      <c r="F139" s="286"/>
      <c r="G139" s="248"/>
      <c r="H139" s="247" t="s">
        <v>5273</v>
      </c>
      <c r="I139" s="248"/>
      <c r="J139" s="248"/>
      <c r="K139" s="248"/>
      <c r="L139" s="248"/>
      <c r="M139" s="248"/>
      <c r="N139" s="248"/>
      <c r="O139" s="248"/>
      <c r="P139" s="248"/>
      <c r="Q139" s="248"/>
      <c r="R139" s="248"/>
      <c r="S139" s="248"/>
    </row>
    <row r="140" hidden="1">
      <c r="A140" s="267">
        <v>7.0</v>
      </c>
      <c r="B140" s="267">
        <v>7.0</v>
      </c>
      <c r="C140" s="267">
        <v>7.0</v>
      </c>
      <c r="D140" s="268" t="s">
        <v>5290</v>
      </c>
      <c r="E140" s="268" t="s">
        <v>5290</v>
      </c>
      <c r="F140" s="268"/>
      <c r="G140" s="269"/>
      <c r="H140" s="269"/>
      <c r="I140" s="269"/>
      <c r="J140" s="269"/>
      <c r="K140" s="269"/>
      <c r="L140" s="269"/>
      <c r="M140" s="269"/>
      <c r="N140" s="269"/>
      <c r="O140" s="269"/>
      <c r="P140" s="269"/>
      <c r="Q140" s="269"/>
      <c r="R140" s="269"/>
      <c r="S140" s="269"/>
    </row>
    <row r="141" hidden="1">
      <c r="A141" s="256">
        <v>8.0</v>
      </c>
      <c r="B141" s="256">
        <v>1.0</v>
      </c>
      <c r="C141" s="256">
        <v>0.0</v>
      </c>
      <c r="D141" s="257" t="s">
        <v>69</v>
      </c>
      <c r="E141" s="258" t="s">
        <v>5434</v>
      </c>
      <c r="F141" s="258"/>
      <c r="G141" s="248"/>
      <c r="H141" s="247" t="s">
        <v>5273</v>
      </c>
      <c r="I141" s="248"/>
      <c r="J141" s="248"/>
      <c r="K141" s="279"/>
      <c r="L141" s="279"/>
      <c r="M141" s="279"/>
      <c r="N141" s="279"/>
      <c r="O141" s="279"/>
      <c r="P141" s="279"/>
      <c r="Q141" s="279"/>
      <c r="R141" s="279"/>
      <c r="S141" s="279"/>
    </row>
    <row r="142" hidden="1">
      <c r="A142" s="256">
        <v>8.0</v>
      </c>
      <c r="B142" s="256">
        <v>1.0</v>
      </c>
      <c r="C142" s="256">
        <v>1.0</v>
      </c>
      <c r="D142" s="257" t="s">
        <v>5357</v>
      </c>
      <c r="E142" s="258" t="s">
        <v>5435</v>
      </c>
      <c r="F142" s="258"/>
      <c r="G142" s="248"/>
      <c r="H142" s="247" t="s">
        <v>5273</v>
      </c>
      <c r="I142" s="248"/>
      <c r="J142" s="248"/>
      <c r="K142" s="248"/>
      <c r="L142" s="248"/>
      <c r="M142" s="248"/>
      <c r="N142" s="248"/>
      <c r="O142" s="248"/>
      <c r="P142" s="248"/>
      <c r="Q142" s="248"/>
      <c r="R142" s="248"/>
      <c r="S142" s="248"/>
    </row>
    <row r="143" hidden="1">
      <c r="A143" s="256">
        <v>8.0</v>
      </c>
      <c r="B143" s="256">
        <v>1.0</v>
      </c>
      <c r="C143" s="256">
        <v>1.0</v>
      </c>
      <c r="D143" s="257" t="s">
        <v>1389</v>
      </c>
      <c r="E143" s="258" t="s">
        <v>5436</v>
      </c>
      <c r="F143" s="258"/>
      <c r="G143" s="248"/>
      <c r="H143" s="247" t="s">
        <v>5273</v>
      </c>
      <c r="I143" s="248"/>
      <c r="J143" s="248"/>
      <c r="K143" s="248"/>
      <c r="L143" s="248"/>
      <c r="M143" s="248"/>
      <c r="N143" s="248"/>
      <c r="O143" s="248"/>
      <c r="P143" s="248"/>
      <c r="Q143" s="248"/>
      <c r="R143" s="248"/>
      <c r="S143" s="248"/>
    </row>
    <row r="144" hidden="1">
      <c r="A144" s="256">
        <v>8.0</v>
      </c>
      <c r="B144" s="256">
        <v>1.0</v>
      </c>
      <c r="C144" s="256">
        <v>2.0</v>
      </c>
      <c r="D144" s="257" t="s">
        <v>69</v>
      </c>
      <c r="E144" s="258" t="s">
        <v>5437</v>
      </c>
      <c r="F144" s="258"/>
      <c r="G144" s="248"/>
      <c r="H144" s="247" t="s">
        <v>5273</v>
      </c>
      <c r="I144" s="248"/>
      <c r="J144" s="248"/>
      <c r="K144" s="248"/>
      <c r="L144" s="248"/>
      <c r="M144" s="248"/>
      <c r="N144" s="248"/>
      <c r="O144" s="248"/>
      <c r="P144" s="248"/>
      <c r="Q144" s="248"/>
      <c r="R144" s="248"/>
      <c r="S144" s="248"/>
    </row>
    <row r="145" hidden="1">
      <c r="A145" s="256">
        <v>8.0</v>
      </c>
      <c r="B145" s="256">
        <v>1.0</v>
      </c>
      <c r="C145" s="256">
        <v>3.0</v>
      </c>
      <c r="D145" s="257" t="s">
        <v>5357</v>
      </c>
      <c r="E145" s="258" t="s">
        <v>5438</v>
      </c>
      <c r="F145" s="258"/>
      <c r="G145" s="248"/>
      <c r="H145" s="247" t="s">
        <v>5273</v>
      </c>
      <c r="I145" s="248"/>
      <c r="J145" s="248"/>
      <c r="K145" s="248"/>
      <c r="L145" s="248"/>
      <c r="M145" s="248"/>
      <c r="N145" s="248"/>
      <c r="O145" s="248"/>
      <c r="P145" s="248"/>
      <c r="Q145" s="248"/>
      <c r="R145" s="248"/>
      <c r="S145" s="248"/>
    </row>
    <row r="146" hidden="1">
      <c r="A146" s="256">
        <v>8.0</v>
      </c>
      <c r="B146" s="256">
        <v>1.0</v>
      </c>
      <c r="C146" s="256">
        <v>3.0</v>
      </c>
      <c r="D146" s="257" t="s">
        <v>5364</v>
      </c>
      <c r="E146" s="258" t="s">
        <v>5439</v>
      </c>
      <c r="F146" s="258"/>
      <c r="G146" s="248"/>
      <c r="H146" s="247" t="s">
        <v>5273</v>
      </c>
      <c r="I146" s="248"/>
      <c r="J146" s="248"/>
      <c r="K146" s="248"/>
      <c r="L146" s="248"/>
      <c r="M146" s="248"/>
      <c r="N146" s="248"/>
      <c r="O146" s="248"/>
      <c r="P146" s="248"/>
      <c r="Q146" s="248"/>
      <c r="R146" s="248"/>
      <c r="S146" s="248"/>
    </row>
    <row r="147" hidden="1">
      <c r="A147" s="256">
        <v>8.0</v>
      </c>
      <c r="B147" s="256">
        <v>1.0</v>
      </c>
      <c r="C147" s="256">
        <v>3.0</v>
      </c>
      <c r="D147" s="257" t="s">
        <v>1389</v>
      </c>
      <c r="E147" s="258" t="s">
        <v>5440</v>
      </c>
      <c r="F147" s="258"/>
      <c r="G147" s="248"/>
      <c r="H147" s="247" t="s">
        <v>5273</v>
      </c>
      <c r="I147" s="248"/>
      <c r="J147" s="248"/>
      <c r="K147" s="248"/>
      <c r="L147" s="248"/>
      <c r="M147" s="248"/>
      <c r="N147" s="248"/>
      <c r="O147" s="248"/>
      <c r="P147" s="248"/>
      <c r="Q147" s="248"/>
      <c r="R147" s="248"/>
      <c r="S147" s="248"/>
    </row>
    <row r="148" hidden="1">
      <c r="A148" s="256">
        <v>8.0</v>
      </c>
      <c r="B148" s="256">
        <v>1.0</v>
      </c>
      <c r="C148" s="256">
        <v>4.0</v>
      </c>
      <c r="D148" s="257" t="s">
        <v>69</v>
      </c>
      <c r="E148" s="258" t="s">
        <v>5441</v>
      </c>
      <c r="F148" s="258"/>
      <c r="G148" s="248"/>
      <c r="H148" s="247" t="s">
        <v>5273</v>
      </c>
      <c r="I148" s="248"/>
      <c r="J148" s="248"/>
      <c r="K148" s="248"/>
      <c r="L148" s="248"/>
      <c r="M148" s="248"/>
      <c r="N148" s="248"/>
      <c r="O148" s="248"/>
      <c r="P148" s="248"/>
      <c r="Q148" s="248"/>
      <c r="R148" s="248"/>
      <c r="S148" s="248"/>
    </row>
    <row r="149">
      <c r="A149" s="261" t="s">
        <v>5442</v>
      </c>
      <c r="B149" s="256">
        <v>1.0</v>
      </c>
      <c r="C149" s="256">
        <v>5.0</v>
      </c>
      <c r="D149" s="270"/>
      <c r="E149" s="258" t="s">
        <v>5443</v>
      </c>
      <c r="F149" s="247"/>
      <c r="G149" s="248"/>
      <c r="H149" s="247" t="s">
        <v>5273</v>
      </c>
      <c r="I149" s="248"/>
      <c r="J149" s="248"/>
      <c r="K149" s="248"/>
      <c r="L149" s="248"/>
      <c r="M149" s="248"/>
      <c r="N149" s="248"/>
      <c r="O149" s="248"/>
      <c r="P149" s="248"/>
      <c r="Q149" s="248"/>
      <c r="R149" s="248"/>
      <c r="S149" s="248"/>
    </row>
    <row r="150">
      <c r="A150" s="261" t="s">
        <v>5444</v>
      </c>
      <c r="B150" s="256">
        <v>1.0</v>
      </c>
      <c r="C150" s="256">
        <v>6.0</v>
      </c>
      <c r="D150" s="270"/>
      <c r="E150" s="258" t="s">
        <v>5445</v>
      </c>
      <c r="F150" s="247"/>
      <c r="G150" s="248"/>
      <c r="H150" s="247" t="s">
        <v>5273</v>
      </c>
      <c r="I150" s="248"/>
      <c r="J150" s="248"/>
      <c r="K150" s="248"/>
      <c r="L150" s="248"/>
      <c r="M150" s="248"/>
      <c r="N150" s="248"/>
      <c r="O150" s="248"/>
      <c r="P150" s="248"/>
      <c r="Q150" s="248"/>
      <c r="R150" s="248"/>
      <c r="S150" s="248"/>
    </row>
    <row r="151" hidden="1">
      <c r="A151" s="256">
        <v>8.0</v>
      </c>
      <c r="B151" s="256">
        <v>1.0</v>
      </c>
      <c r="C151" s="256">
        <v>7.0</v>
      </c>
      <c r="D151" s="257" t="s">
        <v>5446</v>
      </c>
      <c r="E151" s="258" t="s">
        <v>5447</v>
      </c>
      <c r="F151" s="258"/>
      <c r="G151" s="248"/>
      <c r="H151" s="247" t="s">
        <v>5273</v>
      </c>
      <c r="I151" s="248"/>
      <c r="J151" s="248"/>
      <c r="K151" s="248"/>
      <c r="L151" s="248"/>
      <c r="M151" s="248"/>
      <c r="N151" s="248"/>
      <c r="O151" s="248"/>
      <c r="P151" s="248"/>
      <c r="Q151" s="248"/>
      <c r="R151" s="248"/>
      <c r="S151" s="248"/>
    </row>
    <row r="152" hidden="1">
      <c r="A152" s="273">
        <v>8.0</v>
      </c>
      <c r="B152" s="273">
        <v>1.0</v>
      </c>
      <c r="C152" s="273">
        <v>8.0</v>
      </c>
      <c r="D152" s="274" t="s">
        <v>5290</v>
      </c>
      <c r="E152" s="274" t="s">
        <v>5290</v>
      </c>
      <c r="F152" s="274"/>
      <c r="G152" s="265"/>
      <c r="H152" s="265"/>
      <c r="I152" s="265"/>
      <c r="J152" s="265"/>
      <c r="K152" s="265"/>
      <c r="L152" s="265"/>
      <c r="M152" s="265"/>
      <c r="N152" s="265"/>
      <c r="O152" s="265"/>
      <c r="P152" s="265"/>
      <c r="Q152" s="265"/>
      <c r="R152" s="265"/>
      <c r="S152" s="265"/>
    </row>
    <row r="153" hidden="1">
      <c r="A153" s="256">
        <v>8.0</v>
      </c>
      <c r="B153" s="256">
        <v>2.0</v>
      </c>
      <c r="C153" s="256">
        <v>0.0</v>
      </c>
      <c r="D153" s="257" t="s">
        <v>5322</v>
      </c>
      <c r="E153" s="258" t="s">
        <v>5448</v>
      </c>
      <c r="F153" s="258"/>
      <c r="G153" s="248"/>
      <c r="H153" s="247" t="s">
        <v>5273</v>
      </c>
      <c r="I153" s="248"/>
      <c r="J153" s="248"/>
      <c r="K153" s="248"/>
      <c r="L153" s="248"/>
      <c r="M153" s="248"/>
      <c r="N153" s="248"/>
      <c r="O153" s="248"/>
      <c r="P153" s="248"/>
      <c r="Q153" s="248"/>
      <c r="R153" s="248"/>
      <c r="S153" s="248"/>
    </row>
    <row r="154" hidden="1">
      <c r="A154" s="256">
        <v>8.0</v>
      </c>
      <c r="B154" s="256">
        <v>2.0</v>
      </c>
      <c r="C154" s="256">
        <v>1.0</v>
      </c>
      <c r="D154" s="257" t="s">
        <v>5322</v>
      </c>
      <c r="E154" s="283" t="s">
        <v>5449</v>
      </c>
      <c r="F154" s="283"/>
      <c r="G154" s="248"/>
      <c r="H154" s="247" t="s">
        <v>5273</v>
      </c>
      <c r="I154" s="248"/>
      <c r="J154" s="248"/>
      <c r="K154" s="248"/>
      <c r="L154" s="248"/>
      <c r="M154" s="248"/>
      <c r="N154" s="248"/>
      <c r="O154" s="248"/>
      <c r="P154" s="248"/>
      <c r="Q154" s="248"/>
      <c r="R154" s="248"/>
      <c r="S154" s="248"/>
    </row>
    <row r="155" hidden="1">
      <c r="A155" s="256">
        <v>8.0</v>
      </c>
      <c r="B155" s="256">
        <v>2.0</v>
      </c>
      <c r="C155" s="256">
        <v>2.0</v>
      </c>
      <c r="D155" s="257" t="s">
        <v>69</v>
      </c>
      <c r="E155" s="258" t="s">
        <v>5450</v>
      </c>
      <c r="F155" s="258"/>
      <c r="G155" s="248"/>
      <c r="H155" s="247" t="s">
        <v>5273</v>
      </c>
      <c r="I155" s="248"/>
      <c r="J155" s="248"/>
      <c r="K155" s="248"/>
      <c r="L155" s="248"/>
      <c r="M155" s="248"/>
      <c r="N155" s="248"/>
      <c r="O155" s="248"/>
      <c r="P155" s="248"/>
      <c r="Q155" s="248"/>
      <c r="R155" s="248"/>
      <c r="S155" s="248"/>
    </row>
    <row r="156" hidden="1">
      <c r="A156" s="256">
        <v>8.0</v>
      </c>
      <c r="B156" s="256">
        <v>2.0</v>
      </c>
      <c r="C156" s="256">
        <v>3.0</v>
      </c>
      <c r="D156" s="257" t="s">
        <v>69</v>
      </c>
      <c r="E156" s="258" t="s">
        <v>5451</v>
      </c>
      <c r="F156" s="258"/>
      <c r="G156" s="248"/>
      <c r="H156" s="247" t="s">
        <v>5273</v>
      </c>
      <c r="I156" s="248"/>
      <c r="J156" s="248"/>
      <c r="K156" s="248"/>
      <c r="L156" s="248"/>
      <c r="M156" s="248"/>
      <c r="N156" s="248"/>
      <c r="O156" s="248"/>
      <c r="P156" s="248"/>
      <c r="Q156" s="248"/>
      <c r="R156" s="248"/>
      <c r="S156" s="248"/>
    </row>
    <row r="157" hidden="1">
      <c r="A157" s="256">
        <v>8.0</v>
      </c>
      <c r="B157" s="256">
        <v>2.0</v>
      </c>
      <c r="C157" s="256">
        <v>4.0</v>
      </c>
      <c r="D157" s="257" t="s">
        <v>69</v>
      </c>
      <c r="E157" s="258" t="s">
        <v>5452</v>
      </c>
      <c r="F157" s="258"/>
      <c r="G157" s="248"/>
      <c r="H157" s="247" t="s">
        <v>5273</v>
      </c>
      <c r="I157" s="248"/>
      <c r="J157" s="248"/>
      <c r="K157" s="248"/>
      <c r="L157" s="248"/>
      <c r="M157" s="248"/>
      <c r="N157" s="248"/>
      <c r="O157" s="248"/>
      <c r="P157" s="248"/>
      <c r="Q157" s="248"/>
      <c r="R157" s="248"/>
      <c r="S157" s="248"/>
    </row>
    <row r="158">
      <c r="A158" s="261" t="s">
        <v>5444</v>
      </c>
      <c r="B158" s="256">
        <v>2.0</v>
      </c>
      <c r="C158" s="256">
        <v>5.0</v>
      </c>
      <c r="D158" s="257" t="s">
        <v>5453</v>
      </c>
      <c r="E158" s="258" t="s">
        <v>5454</v>
      </c>
      <c r="F158" s="247"/>
      <c r="G158" s="248"/>
      <c r="H158" s="247" t="s">
        <v>5273</v>
      </c>
      <c r="I158" s="248"/>
      <c r="J158" s="248"/>
      <c r="K158" s="248"/>
      <c r="L158" s="248"/>
      <c r="M158" s="248"/>
      <c r="N158" s="248"/>
      <c r="O158" s="248"/>
      <c r="P158" s="248"/>
      <c r="Q158" s="248"/>
      <c r="R158" s="248"/>
      <c r="S158" s="248"/>
    </row>
    <row r="159">
      <c r="A159" s="261" t="s">
        <v>5444</v>
      </c>
      <c r="B159" s="256">
        <v>2.0</v>
      </c>
      <c r="C159" s="256">
        <v>6.0</v>
      </c>
      <c r="D159" s="257" t="s">
        <v>5455</v>
      </c>
      <c r="E159" s="258" t="s">
        <v>5456</v>
      </c>
      <c r="F159" s="247"/>
      <c r="G159" s="248"/>
      <c r="H159" s="247" t="s">
        <v>5273</v>
      </c>
      <c r="I159" s="248"/>
      <c r="J159" s="248"/>
      <c r="K159" s="248"/>
      <c r="L159" s="248"/>
      <c r="M159" s="248"/>
      <c r="N159" s="248"/>
      <c r="O159" s="248"/>
      <c r="P159" s="248"/>
      <c r="Q159" s="248"/>
      <c r="R159" s="248"/>
      <c r="S159" s="248"/>
    </row>
    <row r="160" hidden="1">
      <c r="A160" s="256">
        <v>8.0</v>
      </c>
      <c r="B160" s="256">
        <v>2.0</v>
      </c>
      <c r="C160" s="256">
        <v>7.0</v>
      </c>
      <c r="D160" s="257" t="s">
        <v>5457</v>
      </c>
      <c r="E160" s="258" t="s">
        <v>5458</v>
      </c>
      <c r="F160" s="258"/>
      <c r="G160" s="248"/>
      <c r="H160" s="247" t="s">
        <v>5273</v>
      </c>
      <c r="I160" s="248"/>
      <c r="J160" s="248"/>
      <c r="K160" s="248"/>
      <c r="L160" s="248"/>
      <c r="M160" s="248"/>
      <c r="N160" s="248"/>
      <c r="O160" s="248"/>
      <c r="P160" s="248"/>
      <c r="Q160" s="248"/>
      <c r="R160" s="248"/>
      <c r="S160" s="248"/>
    </row>
    <row r="161" hidden="1">
      <c r="A161" s="269"/>
      <c r="B161" s="267">
        <v>2.0</v>
      </c>
      <c r="C161" s="267">
        <v>8.0</v>
      </c>
      <c r="D161" s="268" t="s">
        <v>5459</v>
      </c>
      <c r="E161" s="268" t="s">
        <v>5459</v>
      </c>
      <c r="F161" s="268"/>
      <c r="G161" s="269"/>
      <c r="H161" s="269"/>
      <c r="I161" s="269"/>
      <c r="J161" s="269"/>
      <c r="K161" s="269"/>
      <c r="L161" s="269"/>
      <c r="M161" s="269"/>
      <c r="N161" s="269"/>
      <c r="O161" s="269"/>
      <c r="P161" s="269"/>
      <c r="Q161" s="269"/>
      <c r="R161" s="269"/>
      <c r="S161" s="269"/>
    </row>
    <row r="162" hidden="1">
      <c r="A162" s="256">
        <v>8.0</v>
      </c>
      <c r="B162" s="256">
        <v>3.0</v>
      </c>
      <c r="C162" s="256">
        <v>0.0</v>
      </c>
      <c r="D162" s="257" t="s">
        <v>5322</v>
      </c>
      <c r="E162" s="258" t="s">
        <v>5460</v>
      </c>
      <c r="F162" s="258"/>
      <c r="G162" s="248"/>
      <c r="H162" s="247" t="s">
        <v>5273</v>
      </c>
      <c r="I162" s="248"/>
      <c r="J162" s="248"/>
      <c r="K162" s="248"/>
      <c r="L162" s="248"/>
      <c r="M162" s="248"/>
      <c r="N162" s="248"/>
      <c r="O162" s="248"/>
      <c r="P162" s="248"/>
      <c r="Q162" s="248"/>
      <c r="R162" s="248"/>
      <c r="S162" s="248"/>
    </row>
    <row r="163" hidden="1">
      <c r="A163" s="256">
        <v>8.0</v>
      </c>
      <c r="B163" s="256">
        <v>3.0</v>
      </c>
      <c r="C163" s="256">
        <v>1.0</v>
      </c>
      <c r="D163" s="257" t="s">
        <v>5322</v>
      </c>
      <c r="E163" s="258" t="s">
        <v>5461</v>
      </c>
      <c r="F163" s="258"/>
      <c r="G163" s="248"/>
      <c r="H163" s="247" t="s">
        <v>5273</v>
      </c>
      <c r="I163" s="248"/>
      <c r="J163" s="248"/>
      <c r="K163" s="248"/>
      <c r="L163" s="248"/>
      <c r="M163" s="248"/>
      <c r="N163" s="248"/>
      <c r="O163" s="248"/>
      <c r="P163" s="248"/>
      <c r="Q163" s="248"/>
      <c r="R163" s="248"/>
      <c r="S163" s="248"/>
    </row>
    <row r="164" hidden="1">
      <c r="A164" s="256">
        <v>8.0</v>
      </c>
      <c r="B164" s="256">
        <v>3.0</v>
      </c>
      <c r="C164" s="256">
        <v>2.0</v>
      </c>
      <c r="D164" s="270"/>
      <c r="E164" s="258" t="s">
        <v>5462</v>
      </c>
      <c r="F164" s="258"/>
      <c r="G164" s="248"/>
      <c r="H164" s="247" t="s">
        <v>5273</v>
      </c>
      <c r="I164" s="248"/>
      <c r="J164" s="248"/>
      <c r="K164" s="248"/>
      <c r="L164" s="248"/>
      <c r="M164" s="248"/>
      <c r="N164" s="248"/>
      <c r="O164" s="248"/>
      <c r="P164" s="248"/>
      <c r="Q164" s="248"/>
      <c r="R164" s="248"/>
      <c r="S164" s="248"/>
    </row>
    <row r="165" hidden="1">
      <c r="A165" s="256">
        <v>8.0</v>
      </c>
      <c r="B165" s="256">
        <v>3.0</v>
      </c>
      <c r="C165" s="256">
        <v>3.0</v>
      </c>
      <c r="D165" s="270"/>
      <c r="E165" s="258" t="s">
        <v>5463</v>
      </c>
      <c r="F165" s="258"/>
      <c r="G165" s="248"/>
      <c r="H165" s="247" t="s">
        <v>5273</v>
      </c>
      <c r="I165" s="248"/>
      <c r="J165" s="248"/>
      <c r="K165" s="248"/>
      <c r="L165" s="248"/>
      <c r="M165" s="248"/>
      <c r="N165" s="248"/>
      <c r="O165" s="248"/>
      <c r="P165" s="248"/>
      <c r="Q165" s="248"/>
      <c r="R165" s="248"/>
      <c r="S165" s="248"/>
    </row>
    <row r="166" hidden="1">
      <c r="A166" s="256">
        <v>8.0</v>
      </c>
      <c r="B166" s="256">
        <v>3.0</v>
      </c>
      <c r="C166" s="256">
        <v>4.0</v>
      </c>
      <c r="D166" s="257" t="s">
        <v>69</v>
      </c>
      <c r="E166" s="284" t="s">
        <v>5464</v>
      </c>
      <c r="F166" s="284"/>
      <c r="G166" s="248"/>
      <c r="H166" s="247" t="s">
        <v>5273</v>
      </c>
      <c r="I166" s="248"/>
      <c r="J166" s="248"/>
      <c r="K166" s="248"/>
      <c r="L166" s="248"/>
      <c r="M166" s="248"/>
      <c r="N166" s="248"/>
      <c r="O166" s="248"/>
      <c r="P166" s="248"/>
      <c r="Q166" s="248"/>
      <c r="R166" s="248"/>
      <c r="S166" s="248"/>
    </row>
    <row r="167">
      <c r="A167" s="261" t="s">
        <v>5444</v>
      </c>
      <c r="B167" s="256">
        <v>3.0</v>
      </c>
      <c r="C167" s="256">
        <v>5.0</v>
      </c>
      <c r="D167" s="257" t="s">
        <v>69</v>
      </c>
      <c r="E167" s="286" t="s">
        <v>5465</v>
      </c>
      <c r="F167" s="287"/>
      <c r="G167" s="248"/>
      <c r="H167" s="247" t="s">
        <v>5273</v>
      </c>
      <c r="I167" s="248"/>
      <c r="J167" s="248"/>
      <c r="K167" s="248"/>
      <c r="L167" s="248"/>
      <c r="M167" s="248"/>
      <c r="N167" s="248"/>
      <c r="O167" s="248"/>
      <c r="P167" s="248"/>
      <c r="Q167" s="248"/>
      <c r="R167" s="248"/>
      <c r="S167" s="248"/>
    </row>
    <row r="168">
      <c r="A168" s="261" t="s">
        <v>5442</v>
      </c>
      <c r="B168" s="256">
        <v>3.0</v>
      </c>
      <c r="C168" s="256">
        <v>6.0</v>
      </c>
      <c r="D168" s="257" t="s">
        <v>5322</v>
      </c>
      <c r="E168" s="284" t="s">
        <v>5466</v>
      </c>
      <c r="F168" s="252"/>
      <c r="G168" s="248"/>
      <c r="H168" s="247" t="s">
        <v>5273</v>
      </c>
      <c r="I168" s="248"/>
      <c r="J168" s="248"/>
      <c r="K168" s="248"/>
      <c r="L168" s="248"/>
      <c r="M168" s="248"/>
      <c r="N168" s="248"/>
      <c r="O168" s="248"/>
      <c r="P168" s="248"/>
      <c r="Q168" s="248"/>
      <c r="R168" s="248"/>
      <c r="S168" s="248"/>
    </row>
    <row r="169" hidden="1">
      <c r="A169" s="256">
        <v>8.0</v>
      </c>
      <c r="B169" s="256">
        <v>3.0</v>
      </c>
      <c r="C169" s="256">
        <v>7.0</v>
      </c>
      <c r="D169" s="257" t="s">
        <v>5457</v>
      </c>
      <c r="E169" s="284" t="s">
        <v>5467</v>
      </c>
      <c r="F169" s="284"/>
      <c r="G169" s="248"/>
      <c r="H169" s="247" t="s">
        <v>5273</v>
      </c>
      <c r="I169" s="248"/>
      <c r="J169" s="248"/>
      <c r="K169" s="248"/>
      <c r="L169" s="248"/>
      <c r="M169" s="248"/>
      <c r="N169" s="248"/>
      <c r="O169" s="248"/>
      <c r="P169" s="248"/>
      <c r="Q169" s="248"/>
      <c r="R169" s="248"/>
      <c r="S169" s="248"/>
    </row>
    <row r="170" hidden="1">
      <c r="A170" s="291">
        <v>8.0</v>
      </c>
      <c r="B170" s="291">
        <v>3.0</v>
      </c>
      <c r="C170" s="291">
        <v>8.0</v>
      </c>
      <c r="D170" s="292" t="s">
        <v>5290</v>
      </c>
      <c r="E170" s="292" t="s">
        <v>5290</v>
      </c>
      <c r="F170" s="292"/>
      <c r="G170" s="269"/>
      <c r="H170" s="269"/>
      <c r="I170" s="269"/>
      <c r="J170" s="269"/>
      <c r="K170" s="269"/>
      <c r="L170" s="269"/>
      <c r="M170" s="269"/>
      <c r="N170" s="269"/>
      <c r="O170" s="269"/>
      <c r="P170" s="269"/>
      <c r="Q170" s="269"/>
      <c r="R170" s="269"/>
      <c r="S170" s="269"/>
    </row>
    <row r="171">
      <c r="A171" s="261" t="s">
        <v>5444</v>
      </c>
      <c r="B171" s="256">
        <v>4.0</v>
      </c>
      <c r="C171" s="256">
        <v>0.0</v>
      </c>
      <c r="D171" s="247" t="s">
        <v>5468</v>
      </c>
      <c r="E171" s="258" t="s">
        <v>5469</v>
      </c>
      <c r="F171" s="247"/>
      <c r="G171" s="247" t="s">
        <v>5273</v>
      </c>
      <c r="H171" s="247" t="s">
        <v>5273</v>
      </c>
      <c r="I171" s="248"/>
      <c r="J171" s="248"/>
      <c r="K171" s="248"/>
      <c r="L171" s="248"/>
      <c r="M171" s="248"/>
      <c r="N171" s="248"/>
      <c r="O171" s="248"/>
      <c r="P171" s="248"/>
      <c r="Q171" s="248"/>
      <c r="R171" s="248"/>
      <c r="S171" s="248"/>
    </row>
    <row r="172">
      <c r="A172" s="256">
        <v>8.0</v>
      </c>
      <c r="B172" s="256">
        <v>4.0</v>
      </c>
      <c r="C172" s="256">
        <v>1.0</v>
      </c>
      <c r="D172" s="257" t="s">
        <v>5322</v>
      </c>
      <c r="E172" s="284" t="s">
        <v>5470</v>
      </c>
      <c r="F172" s="252"/>
      <c r="G172" s="248"/>
      <c r="H172" s="247" t="s">
        <v>5273</v>
      </c>
      <c r="I172" s="248"/>
      <c r="J172" s="248"/>
      <c r="K172" s="248"/>
      <c r="L172" s="248"/>
      <c r="M172" s="248"/>
      <c r="N172" s="248"/>
      <c r="O172" s="248"/>
      <c r="P172" s="248"/>
      <c r="Q172" s="248"/>
      <c r="R172" s="248"/>
      <c r="S172" s="248"/>
    </row>
    <row r="173" hidden="1">
      <c r="A173" s="256">
        <v>8.0</v>
      </c>
      <c r="B173" s="256">
        <v>4.0</v>
      </c>
      <c r="C173" s="256">
        <v>2.0</v>
      </c>
      <c r="D173" s="257" t="s">
        <v>69</v>
      </c>
      <c r="E173" s="258" t="s">
        <v>5471</v>
      </c>
      <c r="F173" s="258"/>
      <c r="G173" s="248"/>
      <c r="H173" s="247" t="s">
        <v>5273</v>
      </c>
      <c r="I173" s="248"/>
      <c r="J173" s="248"/>
      <c r="K173" s="248"/>
      <c r="L173" s="248"/>
      <c r="M173" s="248"/>
      <c r="N173" s="248"/>
      <c r="O173" s="248"/>
      <c r="P173" s="248"/>
      <c r="Q173" s="248"/>
      <c r="R173" s="248"/>
      <c r="S173" s="248"/>
    </row>
    <row r="174" hidden="1">
      <c r="A174" s="256">
        <v>8.0</v>
      </c>
      <c r="B174" s="256">
        <v>4.0</v>
      </c>
      <c r="C174" s="256">
        <v>3.0</v>
      </c>
      <c r="D174" s="257" t="s">
        <v>69</v>
      </c>
      <c r="E174" s="258" t="s">
        <v>5472</v>
      </c>
      <c r="F174" s="258"/>
      <c r="G174" s="248"/>
      <c r="H174" s="247" t="s">
        <v>5273</v>
      </c>
      <c r="I174" s="248"/>
      <c r="J174" s="248"/>
      <c r="K174" s="248"/>
      <c r="L174" s="248"/>
      <c r="M174" s="248"/>
      <c r="N174" s="248"/>
      <c r="O174" s="248"/>
      <c r="P174" s="248"/>
      <c r="Q174" s="248"/>
      <c r="R174" s="248"/>
      <c r="S174" s="248"/>
    </row>
    <row r="175" hidden="1">
      <c r="A175" s="256">
        <v>8.0</v>
      </c>
      <c r="B175" s="256">
        <v>4.0</v>
      </c>
      <c r="C175" s="256">
        <v>4.0</v>
      </c>
      <c r="D175" s="257" t="s">
        <v>69</v>
      </c>
      <c r="E175" s="258" t="s">
        <v>5473</v>
      </c>
      <c r="F175" s="258"/>
      <c r="G175" s="248"/>
      <c r="H175" s="247" t="s">
        <v>5273</v>
      </c>
      <c r="I175" s="248"/>
      <c r="J175" s="248"/>
      <c r="K175" s="248"/>
      <c r="L175" s="248"/>
      <c r="M175" s="248"/>
      <c r="N175" s="248"/>
      <c r="O175" s="248"/>
      <c r="P175" s="248"/>
      <c r="Q175" s="248"/>
      <c r="R175" s="248"/>
      <c r="S175" s="248"/>
    </row>
    <row r="176">
      <c r="A176" s="261" t="s">
        <v>5442</v>
      </c>
      <c r="B176" s="256">
        <v>4.0</v>
      </c>
      <c r="C176" s="256">
        <v>5.0</v>
      </c>
      <c r="D176" s="257" t="s">
        <v>5397</v>
      </c>
      <c r="E176" s="277" t="s">
        <v>5474</v>
      </c>
      <c r="F176" s="278"/>
      <c r="G176" s="247" t="s">
        <v>5273</v>
      </c>
      <c r="H176" s="247" t="s">
        <v>5273</v>
      </c>
      <c r="I176" s="279"/>
      <c r="J176" s="279"/>
      <c r="K176" s="279"/>
      <c r="L176" s="279"/>
      <c r="M176" s="279"/>
      <c r="N176" s="279"/>
      <c r="O176" s="279"/>
      <c r="P176" s="279"/>
      <c r="Q176" s="279"/>
      <c r="R176" s="279"/>
      <c r="S176" s="279"/>
    </row>
    <row r="177">
      <c r="A177" s="261" t="s">
        <v>5444</v>
      </c>
      <c r="B177" s="256">
        <v>4.0</v>
      </c>
      <c r="C177" s="256">
        <v>6.0</v>
      </c>
      <c r="D177" s="257" t="s">
        <v>5475</v>
      </c>
      <c r="E177" s="258" t="s">
        <v>5476</v>
      </c>
      <c r="F177" s="247"/>
      <c r="G177" s="247" t="s">
        <v>5273</v>
      </c>
      <c r="H177" s="247" t="s">
        <v>5273</v>
      </c>
      <c r="I177" s="279"/>
      <c r="J177" s="279"/>
      <c r="K177" s="279"/>
      <c r="L177" s="279"/>
      <c r="M177" s="279"/>
      <c r="N177" s="279"/>
      <c r="O177" s="279"/>
      <c r="P177" s="279"/>
      <c r="Q177" s="279"/>
      <c r="R177" s="279"/>
      <c r="S177" s="279"/>
    </row>
    <row r="178">
      <c r="A178" s="261" t="s">
        <v>5444</v>
      </c>
      <c r="B178" s="256">
        <v>4.0</v>
      </c>
      <c r="C178" s="256">
        <v>7.0</v>
      </c>
      <c r="D178" s="257" t="s">
        <v>4666</v>
      </c>
      <c r="E178" s="258" t="s">
        <v>5401</v>
      </c>
      <c r="F178" s="247"/>
      <c r="G178" s="248"/>
      <c r="H178" s="247" t="s">
        <v>5273</v>
      </c>
      <c r="I178" s="279"/>
      <c r="J178" s="279"/>
      <c r="K178" s="279"/>
      <c r="L178" s="279"/>
      <c r="M178" s="279"/>
      <c r="N178" s="279"/>
      <c r="O178" s="279"/>
      <c r="P178" s="279"/>
      <c r="Q178" s="279"/>
      <c r="R178" s="279"/>
      <c r="S178" s="279"/>
    </row>
    <row r="179" hidden="1">
      <c r="A179" s="273">
        <v>8.0</v>
      </c>
      <c r="B179" s="273">
        <v>4.0</v>
      </c>
      <c r="C179" s="273">
        <v>8.0</v>
      </c>
      <c r="D179" s="265"/>
      <c r="E179" s="274" t="s">
        <v>5290</v>
      </c>
      <c r="F179" s="274"/>
      <c r="G179" s="265"/>
      <c r="H179" s="265"/>
      <c r="I179" s="265"/>
      <c r="J179" s="265"/>
      <c r="K179" s="265"/>
      <c r="L179" s="265"/>
      <c r="M179" s="265"/>
      <c r="N179" s="265"/>
      <c r="O179" s="265"/>
      <c r="P179" s="265"/>
      <c r="Q179" s="265"/>
      <c r="R179" s="265"/>
      <c r="S179" s="265"/>
    </row>
    <row r="180" hidden="1">
      <c r="A180" s="256">
        <v>8.0</v>
      </c>
      <c r="B180" s="256">
        <v>5.0</v>
      </c>
      <c r="C180" s="256">
        <v>0.0</v>
      </c>
      <c r="D180" s="257" t="s">
        <v>69</v>
      </c>
      <c r="E180" s="293" t="s">
        <v>5477</v>
      </c>
      <c r="F180" s="286"/>
      <c r="G180" s="248"/>
      <c r="H180" s="247" t="s">
        <v>5273</v>
      </c>
      <c r="I180" s="248"/>
      <c r="J180" s="248"/>
      <c r="K180" s="279"/>
      <c r="L180" s="279"/>
      <c r="M180" s="279"/>
      <c r="N180" s="279"/>
      <c r="O180" s="279"/>
      <c r="P180" s="279"/>
      <c r="Q180" s="279"/>
      <c r="R180" s="279"/>
      <c r="S180" s="279"/>
    </row>
    <row r="181" hidden="1">
      <c r="A181" s="256">
        <v>8.0</v>
      </c>
      <c r="B181" s="256">
        <v>5.0</v>
      </c>
      <c r="C181" s="256">
        <v>1.0</v>
      </c>
      <c r="D181" s="257" t="s">
        <v>69</v>
      </c>
      <c r="E181" s="286" t="s">
        <v>5478</v>
      </c>
      <c r="F181" s="286"/>
      <c r="G181" s="248"/>
      <c r="H181" s="247" t="s">
        <v>5273</v>
      </c>
      <c r="I181" s="248"/>
      <c r="J181" s="248"/>
      <c r="K181" s="279"/>
      <c r="L181" s="279"/>
      <c r="M181" s="279"/>
      <c r="N181" s="279"/>
      <c r="O181" s="279"/>
      <c r="P181" s="279"/>
      <c r="Q181" s="279"/>
      <c r="R181" s="279"/>
      <c r="S181" s="279"/>
    </row>
    <row r="182" hidden="1">
      <c r="A182" s="256">
        <v>8.0</v>
      </c>
      <c r="B182" s="256">
        <v>5.0</v>
      </c>
      <c r="C182" s="256">
        <v>2.0</v>
      </c>
      <c r="D182" s="257" t="s">
        <v>69</v>
      </c>
      <c r="E182" s="258" t="s">
        <v>5479</v>
      </c>
      <c r="F182" s="258"/>
      <c r="G182" s="248"/>
      <c r="H182" s="247" t="s">
        <v>5273</v>
      </c>
      <c r="I182" s="248"/>
      <c r="J182" s="248"/>
      <c r="K182" s="248"/>
      <c r="L182" s="248"/>
      <c r="M182" s="248"/>
      <c r="N182" s="248"/>
      <c r="O182" s="248"/>
      <c r="P182" s="248"/>
      <c r="Q182" s="248"/>
      <c r="R182" s="248"/>
      <c r="S182" s="248"/>
    </row>
    <row r="183" hidden="1">
      <c r="A183" s="256">
        <v>8.0</v>
      </c>
      <c r="B183" s="256">
        <v>5.0</v>
      </c>
      <c r="C183" s="256">
        <v>3.0</v>
      </c>
      <c r="D183" s="257" t="s">
        <v>69</v>
      </c>
      <c r="E183" s="258" t="s">
        <v>5480</v>
      </c>
      <c r="F183" s="258"/>
      <c r="G183" s="248"/>
      <c r="H183" s="247" t="s">
        <v>5273</v>
      </c>
      <c r="I183" s="248"/>
      <c r="J183" s="248"/>
      <c r="K183" s="248"/>
      <c r="L183" s="248"/>
      <c r="M183" s="248"/>
      <c r="N183" s="248"/>
      <c r="O183" s="248"/>
      <c r="P183" s="248"/>
      <c r="Q183" s="248"/>
      <c r="R183" s="248"/>
      <c r="S183" s="248"/>
    </row>
    <row r="184" hidden="1">
      <c r="A184" s="256">
        <v>8.0</v>
      </c>
      <c r="B184" s="256">
        <v>5.0</v>
      </c>
      <c r="C184" s="256">
        <v>4.0</v>
      </c>
      <c r="D184" s="257" t="s">
        <v>69</v>
      </c>
      <c r="E184" s="258" t="s">
        <v>5481</v>
      </c>
      <c r="F184" s="258"/>
      <c r="G184" s="248"/>
      <c r="H184" s="247" t="s">
        <v>5273</v>
      </c>
      <c r="I184" s="248"/>
      <c r="J184" s="248"/>
      <c r="K184" s="248"/>
      <c r="L184" s="248"/>
      <c r="M184" s="248"/>
      <c r="N184" s="248"/>
      <c r="O184" s="248"/>
      <c r="P184" s="248"/>
      <c r="Q184" s="248"/>
      <c r="R184" s="248"/>
      <c r="S184" s="248"/>
    </row>
    <row r="185">
      <c r="A185" s="256">
        <v>8.0</v>
      </c>
      <c r="B185" s="256">
        <v>5.0</v>
      </c>
      <c r="C185" s="256">
        <v>5.0</v>
      </c>
      <c r="D185" s="257" t="s">
        <v>5482</v>
      </c>
      <c r="E185" s="286" t="s">
        <v>5483</v>
      </c>
      <c r="F185" s="287"/>
      <c r="G185" s="247" t="s">
        <v>5273</v>
      </c>
      <c r="H185" s="247" t="s">
        <v>5273</v>
      </c>
      <c r="I185" s="248"/>
      <c r="J185" s="248"/>
      <c r="K185" s="248"/>
      <c r="L185" s="248"/>
      <c r="M185" s="248"/>
      <c r="N185" s="248"/>
      <c r="O185" s="248"/>
      <c r="P185" s="248"/>
      <c r="Q185" s="248"/>
      <c r="R185" s="248"/>
      <c r="S185" s="248"/>
    </row>
    <row r="186" hidden="1">
      <c r="A186" s="256">
        <v>8.0</v>
      </c>
      <c r="B186" s="256">
        <v>5.0</v>
      </c>
      <c r="C186" s="256">
        <v>6.0</v>
      </c>
      <c r="D186" s="257" t="s">
        <v>5484</v>
      </c>
      <c r="E186" s="258" t="s">
        <v>5485</v>
      </c>
      <c r="F186" s="258"/>
      <c r="G186" s="248"/>
      <c r="H186" s="247" t="s">
        <v>5273</v>
      </c>
      <c r="I186" s="248"/>
      <c r="J186" s="248"/>
      <c r="K186" s="248"/>
      <c r="L186" s="248"/>
      <c r="M186" s="248"/>
      <c r="N186" s="248"/>
      <c r="O186" s="248"/>
      <c r="P186" s="248"/>
      <c r="Q186" s="248"/>
      <c r="R186" s="248"/>
      <c r="S186" s="248"/>
    </row>
    <row r="187">
      <c r="A187" s="261" t="s">
        <v>5444</v>
      </c>
      <c r="B187" s="256">
        <v>5.0</v>
      </c>
      <c r="C187" s="256">
        <v>7.0</v>
      </c>
      <c r="D187" s="257" t="s">
        <v>4677</v>
      </c>
      <c r="E187" s="258" t="s">
        <v>5486</v>
      </c>
      <c r="F187" s="247"/>
      <c r="G187" s="248"/>
      <c r="H187" s="247" t="s">
        <v>5273</v>
      </c>
      <c r="I187" s="248"/>
      <c r="J187" s="248"/>
      <c r="K187" s="248"/>
      <c r="L187" s="248"/>
      <c r="M187" s="248"/>
      <c r="N187" s="248"/>
      <c r="O187" s="248"/>
      <c r="P187" s="248"/>
      <c r="Q187" s="248"/>
      <c r="R187" s="248"/>
      <c r="S187" s="248"/>
    </row>
    <row r="188" hidden="1">
      <c r="A188" s="256">
        <v>8.0</v>
      </c>
      <c r="B188" s="256">
        <v>5.0</v>
      </c>
      <c r="C188" s="256">
        <v>8.0</v>
      </c>
      <c r="D188" s="257" t="s">
        <v>69</v>
      </c>
      <c r="E188" s="258" t="s">
        <v>5487</v>
      </c>
      <c r="F188" s="258"/>
      <c r="G188" s="248"/>
      <c r="H188" s="247" t="s">
        <v>5273</v>
      </c>
      <c r="I188" s="248"/>
      <c r="J188" s="248"/>
      <c r="K188" s="248"/>
      <c r="L188" s="248"/>
      <c r="M188" s="248"/>
      <c r="N188" s="248"/>
      <c r="O188" s="248"/>
      <c r="P188" s="248"/>
      <c r="Q188" s="248"/>
      <c r="R188" s="248"/>
      <c r="S188" s="248"/>
    </row>
    <row r="189" hidden="1">
      <c r="A189" s="273">
        <v>8.0</v>
      </c>
      <c r="B189" s="273">
        <v>5.0</v>
      </c>
      <c r="C189" s="273">
        <v>9.0</v>
      </c>
      <c r="D189" s="265"/>
      <c r="E189" s="274" t="s">
        <v>5290</v>
      </c>
      <c r="F189" s="274"/>
      <c r="G189" s="265"/>
      <c r="H189" s="265"/>
      <c r="I189" s="265"/>
      <c r="J189" s="265"/>
      <c r="K189" s="265"/>
      <c r="L189" s="265"/>
      <c r="M189" s="265"/>
      <c r="N189" s="265"/>
      <c r="O189" s="265"/>
      <c r="P189" s="265"/>
      <c r="Q189" s="265"/>
      <c r="R189" s="265"/>
      <c r="S189" s="265"/>
    </row>
    <row r="190" hidden="1">
      <c r="A190" s="256">
        <v>8.0</v>
      </c>
      <c r="B190" s="256">
        <v>6.0</v>
      </c>
      <c r="C190" s="256">
        <v>0.0</v>
      </c>
      <c r="D190" s="257" t="s">
        <v>5416</v>
      </c>
      <c r="E190" s="258" t="s">
        <v>5488</v>
      </c>
      <c r="F190" s="258"/>
      <c r="G190" s="248"/>
      <c r="H190" s="247" t="s">
        <v>5273</v>
      </c>
      <c r="I190" s="248"/>
      <c r="J190" s="248"/>
      <c r="K190" s="248"/>
      <c r="L190" s="248"/>
      <c r="M190" s="248"/>
      <c r="N190" s="248"/>
      <c r="O190" s="248"/>
      <c r="P190" s="248"/>
      <c r="Q190" s="248"/>
      <c r="R190" s="248"/>
      <c r="S190" s="248"/>
    </row>
    <row r="191" hidden="1">
      <c r="A191" s="256">
        <v>8.0</v>
      </c>
      <c r="B191" s="256">
        <v>6.0</v>
      </c>
      <c r="C191" s="256">
        <v>1.0</v>
      </c>
      <c r="D191" s="257" t="s">
        <v>69</v>
      </c>
      <c r="E191" s="258" t="s">
        <v>5489</v>
      </c>
      <c r="F191" s="258"/>
      <c r="G191" s="248"/>
      <c r="H191" s="247" t="s">
        <v>5273</v>
      </c>
      <c r="I191" s="248"/>
      <c r="J191" s="248"/>
      <c r="K191" s="248"/>
      <c r="L191" s="248"/>
      <c r="M191" s="248"/>
      <c r="N191" s="248"/>
      <c r="O191" s="248"/>
      <c r="P191" s="248"/>
      <c r="Q191" s="248"/>
      <c r="R191" s="248"/>
      <c r="S191" s="248"/>
    </row>
    <row r="192" hidden="1">
      <c r="A192" s="256">
        <v>8.0</v>
      </c>
      <c r="B192" s="256">
        <v>6.0</v>
      </c>
      <c r="C192" s="256">
        <v>2.0</v>
      </c>
      <c r="D192" s="257" t="s">
        <v>69</v>
      </c>
      <c r="E192" s="258" t="s">
        <v>5490</v>
      </c>
      <c r="F192" s="258"/>
      <c r="G192" s="248"/>
      <c r="H192" s="247" t="s">
        <v>5273</v>
      </c>
      <c r="I192" s="248"/>
      <c r="J192" s="248"/>
      <c r="K192" s="248"/>
      <c r="L192" s="248"/>
      <c r="M192" s="248"/>
      <c r="N192" s="248"/>
      <c r="O192" s="248"/>
      <c r="P192" s="248"/>
      <c r="Q192" s="248"/>
      <c r="R192" s="248"/>
      <c r="S192" s="248"/>
    </row>
    <row r="193" hidden="1">
      <c r="A193" s="256">
        <v>8.0</v>
      </c>
      <c r="B193" s="256">
        <v>6.0</v>
      </c>
      <c r="C193" s="256">
        <v>3.0</v>
      </c>
      <c r="D193" s="257" t="s">
        <v>5491</v>
      </c>
      <c r="E193" s="258" t="s">
        <v>5492</v>
      </c>
      <c r="F193" s="258"/>
      <c r="G193" s="248"/>
      <c r="H193" s="247" t="s">
        <v>5273</v>
      </c>
      <c r="I193" s="248"/>
      <c r="J193" s="248"/>
      <c r="K193" s="248"/>
      <c r="L193" s="248"/>
      <c r="M193" s="248"/>
      <c r="N193" s="248"/>
      <c r="O193" s="248"/>
      <c r="P193" s="248"/>
      <c r="Q193" s="248"/>
      <c r="R193" s="248"/>
      <c r="S193" s="248"/>
    </row>
    <row r="194" hidden="1">
      <c r="A194" s="256">
        <v>8.0</v>
      </c>
      <c r="B194" s="256">
        <v>6.0</v>
      </c>
      <c r="C194" s="256">
        <v>4.0</v>
      </c>
      <c r="D194" s="257" t="s">
        <v>69</v>
      </c>
      <c r="E194" s="258" t="s">
        <v>5493</v>
      </c>
      <c r="F194" s="258"/>
      <c r="G194" s="248"/>
      <c r="H194" s="247" t="s">
        <v>5273</v>
      </c>
      <c r="I194" s="248"/>
      <c r="J194" s="248"/>
      <c r="K194" s="248"/>
      <c r="L194" s="248"/>
      <c r="M194" s="248"/>
      <c r="N194" s="248"/>
      <c r="O194" s="248"/>
      <c r="P194" s="248"/>
      <c r="Q194" s="248"/>
      <c r="R194" s="248"/>
      <c r="S194" s="248"/>
    </row>
    <row r="195">
      <c r="A195" s="261" t="s">
        <v>5444</v>
      </c>
      <c r="B195" s="256">
        <v>6.0</v>
      </c>
      <c r="C195" s="256">
        <v>5.0</v>
      </c>
      <c r="D195" s="257" t="s">
        <v>5494</v>
      </c>
      <c r="E195" s="277" t="s">
        <v>5495</v>
      </c>
      <c r="F195" s="278"/>
      <c r="G195" s="260" t="s">
        <v>5273</v>
      </c>
      <c r="H195" s="247" t="s">
        <v>5273</v>
      </c>
      <c r="I195" s="279"/>
      <c r="J195" s="279"/>
      <c r="K195" s="279"/>
      <c r="L195" s="279"/>
      <c r="M195" s="279"/>
      <c r="N195" s="279"/>
      <c r="O195" s="279"/>
      <c r="P195" s="279"/>
      <c r="Q195" s="279"/>
      <c r="R195" s="279"/>
      <c r="S195" s="279"/>
    </row>
    <row r="196">
      <c r="A196" s="261" t="s">
        <v>5444</v>
      </c>
      <c r="B196" s="256">
        <v>6.0</v>
      </c>
      <c r="C196" s="256">
        <v>6.0</v>
      </c>
      <c r="D196" s="257" t="s">
        <v>5496</v>
      </c>
      <c r="E196" s="258" t="s">
        <v>5497</v>
      </c>
      <c r="F196" s="247"/>
      <c r="G196" s="260" t="s">
        <v>5273</v>
      </c>
      <c r="H196" s="247" t="s">
        <v>5273</v>
      </c>
      <c r="I196" s="279"/>
      <c r="J196" s="279"/>
      <c r="K196" s="279"/>
      <c r="L196" s="279"/>
      <c r="M196" s="279"/>
      <c r="N196" s="279"/>
      <c r="O196" s="279"/>
      <c r="P196" s="279"/>
      <c r="Q196" s="279"/>
      <c r="R196" s="279"/>
      <c r="S196" s="279"/>
    </row>
    <row r="197" hidden="1">
      <c r="A197" s="256">
        <v>8.0</v>
      </c>
      <c r="B197" s="256">
        <v>6.0</v>
      </c>
      <c r="C197" s="256">
        <v>7.0</v>
      </c>
      <c r="D197" s="257" t="s">
        <v>5291</v>
      </c>
      <c r="E197" s="258" t="s">
        <v>5498</v>
      </c>
      <c r="F197" s="258"/>
      <c r="G197" s="248"/>
      <c r="H197" s="247" t="s">
        <v>5273</v>
      </c>
      <c r="I197" s="248"/>
      <c r="J197" s="248"/>
      <c r="K197" s="248"/>
      <c r="L197" s="248"/>
      <c r="M197" s="248"/>
      <c r="N197" s="248"/>
      <c r="O197" s="248"/>
      <c r="P197" s="248"/>
      <c r="Q197" s="248"/>
      <c r="R197" s="248"/>
      <c r="S197" s="248"/>
    </row>
    <row r="198" hidden="1">
      <c r="A198" s="273">
        <v>8.0</v>
      </c>
      <c r="B198" s="273">
        <v>6.0</v>
      </c>
      <c r="C198" s="273">
        <v>8.0</v>
      </c>
      <c r="D198" s="265"/>
      <c r="E198" s="274" t="s">
        <v>5290</v>
      </c>
      <c r="F198" s="274"/>
      <c r="G198" s="265"/>
      <c r="H198" s="265"/>
      <c r="I198" s="265"/>
      <c r="J198" s="265"/>
      <c r="K198" s="265"/>
      <c r="L198" s="265"/>
      <c r="M198" s="265"/>
      <c r="N198" s="265"/>
      <c r="O198" s="265"/>
      <c r="P198" s="265"/>
      <c r="Q198" s="265"/>
      <c r="R198" s="265"/>
      <c r="S198" s="265"/>
    </row>
    <row r="199" hidden="1">
      <c r="A199" s="256">
        <v>8.0</v>
      </c>
      <c r="B199" s="256">
        <v>7.0</v>
      </c>
      <c r="C199" s="256">
        <v>0.0</v>
      </c>
      <c r="D199" s="257" t="s">
        <v>69</v>
      </c>
      <c r="E199" s="286" t="s">
        <v>5499</v>
      </c>
      <c r="F199" s="286"/>
      <c r="G199" s="248"/>
      <c r="H199" s="247" t="s">
        <v>5273</v>
      </c>
      <c r="I199" s="248"/>
      <c r="J199" s="248"/>
      <c r="K199" s="279"/>
      <c r="L199" s="279"/>
      <c r="M199" s="279"/>
      <c r="N199" s="279"/>
      <c r="O199" s="279"/>
      <c r="P199" s="279"/>
      <c r="Q199" s="279"/>
      <c r="R199" s="279"/>
      <c r="S199" s="279"/>
    </row>
    <row r="200" hidden="1">
      <c r="A200" s="256">
        <v>8.0</v>
      </c>
      <c r="B200" s="256">
        <v>7.0</v>
      </c>
      <c r="C200" s="256">
        <v>1.0</v>
      </c>
      <c r="D200" s="257" t="s">
        <v>69</v>
      </c>
      <c r="E200" s="286" t="s">
        <v>5500</v>
      </c>
      <c r="F200" s="286"/>
      <c r="G200" s="248"/>
      <c r="H200" s="247" t="s">
        <v>5273</v>
      </c>
      <c r="I200" s="248"/>
      <c r="J200" s="248"/>
      <c r="K200" s="279"/>
      <c r="L200" s="279"/>
      <c r="M200" s="279"/>
      <c r="N200" s="279"/>
      <c r="O200" s="279"/>
      <c r="P200" s="279"/>
      <c r="Q200" s="279"/>
      <c r="R200" s="279"/>
      <c r="S200" s="279"/>
    </row>
    <row r="201" hidden="1">
      <c r="A201" s="256">
        <v>8.0</v>
      </c>
      <c r="B201" s="256">
        <v>7.0</v>
      </c>
      <c r="C201" s="256">
        <v>2.0</v>
      </c>
      <c r="D201" s="257" t="s">
        <v>5501</v>
      </c>
      <c r="E201" s="258" t="s">
        <v>5502</v>
      </c>
      <c r="F201" s="258"/>
      <c r="G201" s="248"/>
      <c r="H201" s="247" t="s">
        <v>5273</v>
      </c>
      <c r="I201" s="248"/>
      <c r="J201" s="248"/>
      <c r="K201" s="248"/>
      <c r="L201" s="248"/>
      <c r="M201" s="248"/>
      <c r="N201" s="248"/>
      <c r="O201" s="248"/>
      <c r="P201" s="248"/>
      <c r="Q201" s="248"/>
      <c r="R201" s="248"/>
      <c r="S201" s="248"/>
    </row>
    <row r="202" hidden="1">
      <c r="A202" s="256">
        <v>8.0</v>
      </c>
      <c r="B202" s="256">
        <v>7.0</v>
      </c>
      <c r="C202" s="256">
        <v>3.0</v>
      </c>
      <c r="D202" s="257" t="s">
        <v>5501</v>
      </c>
      <c r="E202" s="258" t="s">
        <v>5503</v>
      </c>
      <c r="F202" s="258"/>
      <c r="G202" s="248"/>
      <c r="H202" s="247" t="s">
        <v>5273</v>
      </c>
      <c r="I202" s="248"/>
      <c r="J202" s="248"/>
      <c r="K202" s="248"/>
      <c r="L202" s="248"/>
      <c r="M202" s="248"/>
      <c r="N202" s="248"/>
      <c r="O202" s="248"/>
      <c r="P202" s="248"/>
      <c r="Q202" s="248"/>
      <c r="R202" s="248"/>
      <c r="S202" s="248"/>
    </row>
    <row r="203" hidden="1">
      <c r="A203" s="256">
        <v>8.0</v>
      </c>
      <c r="B203" s="256">
        <v>7.0</v>
      </c>
      <c r="C203" s="256">
        <v>4.0</v>
      </c>
      <c r="D203" s="257" t="s">
        <v>5501</v>
      </c>
      <c r="E203" s="284" t="s">
        <v>5504</v>
      </c>
      <c r="F203" s="284"/>
      <c r="G203" s="248"/>
      <c r="H203" s="247" t="s">
        <v>5273</v>
      </c>
      <c r="I203" s="248"/>
      <c r="J203" s="248"/>
      <c r="K203" s="248"/>
      <c r="L203" s="248"/>
      <c r="M203" s="248"/>
      <c r="N203" s="248"/>
      <c r="O203" s="248"/>
      <c r="P203" s="248"/>
      <c r="Q203" s="248"/>
      <c r="R203" s="248"/>
      <c r="S203" s="248"/>
    </row>
    <row r="204">
      <c r="A204" s="261">
        <v>8.0</v>
      </c>
      <c r="B204" s="256">
        <v>7.0</v>
      </c>
      <c r="C204" s="256">
        <v>5.0</v>
      </c>
      <c r="D204" s="257" t="s">
        <v>5505</v>
      </c>
      <c r="E204" s="284" t="s">
        <v>5506</v>
      </c>
      <c r="F204" s="252"/>
      <c r="G204" s="247" t="s">
        <v>5273</v>
      </c>
      <c r="H204" s="247" t="s">
        <v>5273</v>
      </c>
      <c r="I204" s="279"/>
      <c r="J204" s="279"/>
      <c r="K204" s="279"/>
      <c r="L204" s="279"/>
      <c r="M204" s="279"/>
      <c r="N204" s="279"/>
      <c r="O204" s="279"/>
      <c r="P204" s="279"/>
      <c r="Q204" s="279"/>
      <c r="R204" s="279"/>
      <c r="S204" s="279"/>
    </row>
    <row r="205">
      <c r="A205" s="261" t="s">
        <v>5444</v>
      </c>
      <c r="B205" s="256">
        <v>7.0</v>
      </c>
      <c r="C205" s="256">
        <v>6.0</v>
      </c>
      <c r="D205" s="257" t="s">
        <v>5288</v>
      </c>
      <c r="E205" s="286" t="s">
        <v>5507</v>
      </c>
      <c r="F205" s="287"/>
      <c r="G205" s="247" t="s">
        <v>5273</v>
      </c>
      <c r="H205" s="247" t="s">
        <v>5273</v>
      </c>
      <c r="I205" s="248"/>
      <c r="J205" s="248"/>
      <c r="K205" s="248"/>
      <c r="L205" s="248"/>
      <c r="M205" s="248"/>
      <c r="N205" s="248"/>
      <c r="O205" s="248"/>
      <c r="P205" s="248"/>
      <c r="Q205" s="248"/>
      <c r="R205" s="248"/>
      <c r="S205" s="248"/>
    </row>
    <row r="206" hidden="1">
      <c r="A206" s="256">
        <v>8.0</v>
      </c>
      <c r="B206" s="256">
        <v>7.0</v>
      </c>
      <c r="C206" s="256">
        <v>7.0</v>
      </c>
      <c r="D206" s="257" t="s">
        <v>69</v>
      </c>
      <c r="E206" s="258" t="s">
        <v>5508</v>
      </c>
      <c r="F206" s="258"/>
      <c r="G206" s="248"/>
      <c r="H206" s="247" t="s">
        <v>5273</v>
      </c>
      <c r="I206" s="248"/>
      <c r="J206" s="248"/>
      <c r="K206" s="248"/>
      <c r="L206" s="248"/>
      <c r="M206" s="248"/>
      <c r="N206" s="248"/>
      <c r="O206" s="248"/>
      <c r="P206" s="248"/>
      <c r="Q206" s="248"/>
      <c r="R206" s="248"/>
      <c r="S206" s="248"/>
    </row>
    <row r="207" hidden="1">
      <c r="A207" s="273">
        <v>8.0</v>
      </c>
      <c r="B207" s="273">
        <v>7.0</v>
      </c>
      <c r="C207" s="273">
        <v>8.0</v>
      </c>
      <c r="D207" s="274" t="s">
        <v>5290</v>
      </c>
      <c r="E207" s="274" t="s">
        <v>5290</v>
      </c>
      <c r="F207" s="274"/>
      <c r="G207" s="265"/>
      <c r="H207" s="265"/>
      <c r="I207" s="265"/>
      <c r="J207" s="265"/>
      <c r="K207" s="265"/>
      <c r="L207" s="265"/>
      <c r="M207" s="265"/>
      <c r="N207" s="265"/>
      <c r="O207" s="265"/>
      <c r="P207" s="265"/>
      <c r="Q207" s="265"/>
      <c r="R207" s="265"/>
      <c r="S207" s="265"/>
    </row>
    <row r="208" hidden="1">
      <c r="A208" s="294" t="s">
        <v>5509</v>
      </c>
      <c r="B208" s="295"/>
      <c r="C208" s="295"/>
      <c r="D208" s="295"/>
      <c r="E208" s="295"/>
      <c r="F208" s="295"/>
      <c r="G208" s="295"/>
      <c r="H208" s="295"/>
      <c r="I208" s="295"/>
      <c r="J208" s="295"/>
      <c r="K208" s="295"/>
      <c r="L208" s="295"/>
      <c r="M208" s="295"/>
      <c r="N208" s="295"/>
      <c r="O208" s="295"/>
      <c r="P208" s="295"/>
      <c r="Q208" s="295"/>
      <c r="R208" s="295"/>
      <c r="S208" s="295"/>
    </row>
    <row r="209" hidden="1">
      <c r="A209" s="256">
        <v>9.0</v>
      </c>
      <c r="B209" s="256">
        <v>1.0</v>
      </c>
      <c r="C209" s="256">
        <v>0.0</v>
      </c>
      <c r="D209" s="257" t="s">
        <v>69</v>
      </c>
      <c r="E209" s="258" t="s">
        <v>5510</v>
      </c>
      <c r="F209" s="258"/>
      <c r="G209" s="248"/>
      <c r="H209" s="247" t="s">
        <v>5273</v>
      </c>
      <c r="I209" s="248"/>
      <c r="J209" s="248"/>
      <c r="K209" s="279"/>
      <c r="L209" s="279"/>
      <c r="M209" s="279"/>
      <c r="N209" s="279"/>
      <c r="O209" s="279"/>
      <c r="P209" s="279"/>
      <c r="Q209" s="279"/>
      <c r="R209" s="279"/>
      <c r="S209" s="279"/>
    </row>
    <row r="210" hidden="1">
      <c r="A210" s="256">
        <v>9.0</v>
      </c>
      <c r="B210" s="256">
        <v>1.0</v>
      </c>
      <c r="C210" s="256">
        <v>1.0</v>
      </c>
      <c r="D210" s="257" t="s">
        <v>5511</v>
      </c>
      <c r="E210" s="284" t="s">
        <v>5512</v>
      </c>
      <c r="F210" s="284"/>
      <c r="G210" s="248"/>
      <c r="H210" s="247" t="s">
        <v>5273</v>
      </c>
      <c r="I210" s="248"/>
      <c r="J210" s="248"/>
      <c r="K210" s="248"/>
      <c r="L210" s="248"/>
      <c r="M210" s="248"/>
      <c r="N210" s="248"/>
      <c r="O210" s="248"/>
      <c r="P210" s="248"/>
      <c r="Q210" s="248"/>
      <c r="R210" s="248"/>
      <c r="S210" s="248"/>
    </row>
    <row r="211" hidden="1">
      <c r="A211" s="256">
        <v>9.0</v>
      </c>
      <c r="B211" s="256">
        <v>1.0</v>
      </c>
      <c r="C211" s="256">
        <v>1.0</v>
      </c>
      <c r="D211" s="257" t="s">
        <v>5357</v>
      </c>
      <c r="E211" s="258" t="s">
        <v>5513</v>
      </c>
      <c r="F211" s="258"/>
      <c r="G211" s="248"/>
      <c r="H211" s="247" t="s">
        <v>5273</v>
      </c>
      <c r="I211" s="248"/>
      <c r="J211" s="248"/>
      <c r="K211" s="248"/>
      <c r="L211" s="248"/>
      <c r="M211" s="248"/>
      <c r="N211" s="248"/>
      <c r="O211" s="248"/>
      <c r="P211" s="248"/>
      <c r="Q211" s="248"/>
      <c r="R211" s="248"/>
      <c r="S211" s="248"/>
    </row>
    <row r="212" hidden="1">
      <c r="A212" s="256">
        <v>9.0</v>
      </c>
      <c r="B212" s="256">
        <v>1.0</v>
      </c>
      <c r="C212" s="256">
        <v>1.0</v>
      </c>
      <c r="D212" s="257" t="s">
        <v>1389</v>
      </c>
      <c r="E212" s="258" t="s">
        <v>5514</v>
      </c>
      <c r="F212" s="258"/>
      <c r="G212" s="248"/>
      <c r="H212" s="247" t="s">
        <v>5273</v>
      </c>
      <c r="I212" s="248"/>
      <c r="J212" s="248"/>
      <c r="K212" s="248"/>
      <c r="L212" s="248"/>
      <c r="M212" s="248"/>
      <c r="N212" s="248"/>
      <c r="O212" s="248"/>
      <c r="P212" s="248"/>
      <c r="Q212" s="248"/>
      <c r="R212" s="248"/>
      <c r="S212" s="248"/>
    </row>
    <row r="213" hidden="1">
      <c r="A213" s="256">
        <v>9.0</v>
      </c>
      <c r="B213" s="256">
        <v>1.0</v>
      </c>
      <c r="C213" s="256">
        <v>2.0</v>
      </c>
      <c r="D213" s="257" t="s">
        <v>69</v>
      </c>
      <c r="E213" s="258" t="s">
        <v>5515</v>
      </c>
      <c r="F213" s="258"/>
      <c r="G213" s="248"/>
      <c r="H213" s="247" t="s">
        <v>5273</v>
      </c>
      <c r="I213" s="248"/>
      <c r="J213" s="248"/>
      <c r="K213" s="248"/>
      <c r="L213" s="248"/>
      <c r="M213" s="248"/>
      <c r="N213" s="248"/>
      <c r="O213" s="248"/>
      <c r="P213" s="248"/>
      <c r="Q213" s="248"/>
      <c r="R213" s="248"/>
      <c r="S213" s="248"/>
    </row>
    <row r="214" hidden="1">
      <c r="A214" s="256">
        <v>9.0</v>
      </c>
      <c r="B214" s="256">
        <v>1.0</v>
      </c>
      <c r="C214" s="256">
        <v>3.0</v>
      </c>
      <c r="D214" s="257" t="s">
        <v>5357</v>
      </c>
      <c r="E214" s="258" t="s">
        <v>5516</v>
      </c>
      <c r="F214" s="258"/>
      <c r="G214" s="248"/>
      <c r="H214" s="247" t="s">
        <v>5273</v>
      </c>
      <c r="I214" s="248"/>
      <c r="J214" s="248"/>
      <c r="K214" s="248"/>
      <c r="L214" s="248"/>
      <c r="M214" s="248"/>
      <c r="N214" s="248"/>
      <c r="O214" s="248"/>
      <c r="P214" s="248"/>
      <c r="Q214" s="248"/>
      <c r="R214" s="248"/>
      <c r="S214" s="248"/>
    </row>
    <row r="215" hidden="1">
      <c r="A215" s="256">
        <v>9.0</v>
      </c>
      <c r="B215" s="256">
        <v>1.0</v>
      </c>
      <c r="C215" s="256">
        <v>3.0</v>
      </c>
      <c r="D215" s="257" t="s">
        <v>5364</v>
      </c>
      <c r="E215" s="258" t="s">
        <v>5517</v>
      </c>
      <c r="F215" s="258"/>
      <c r="G215" s="248"/>
      <c r="H215" s="247" t="s">
        <v>5273</v>
      </c>
      <c r="I215" s="248"/>
      <c r="J215" s="248"/>
      <c r="K215" s="248"/>
      <c r="L215" s="248"/>
      <c r="M215" s="248"/>
      <c r="N215" s="248"/>
      <c r="O215" s="248"/>
      <c r="P215" s="248"/>
      <c r="Q215" s="248"/>
      <c r="R215" s="248"/>
      <c r="S215" s="248"/>
    </row>
    <row r="216" hidden="1">
      <c r="A216" s="256">
        <v>9.0</v>
      </c>
      <c r="B216" s="256">
        <v>1.0</v>
      </c>
      <c r="C216" s="256">
        <v>3.0</v>
      </c>
      <c r="D216" s="257" t="s">
        <v>1389</v>
      </c>
      <c r="E216" s="258" t="s">
        <v>5518</v>
      </c>
      <c r="F216" s="258"/>
      <c r="G216" s="248"/>
      <c r="H216" s="247" t="s">
        <v>5273</v>
      </c>
      <c r="I216" s="248"/>
      <c r="J216" s="248"/>
      <c r="K216" s="248"/>
      <c r="L216" s="248"/>
      <c r="M216" s="248"/>
      <c r="N216" s="248"/>
      <c r="O216" s="248"/>
      <c r="P216" s="248"/>
      <c r="Q216" s="248"/>
      <c r="R216" s="248"/>
      <c r="S216" s="248"/>
    </row>
    <row r="217" hidden="1">
      <c r="A217" s="256">
        <v>9.0</v>
      </c>
      <c r="B217" s="256">
        <v>1.0</v>
      </c>
      <c r="C217" s="256">
        <v>4.0</v>
      </c>
      <c r="D217" s="257" t="s">
        <v>69</v>
      </c>
      <c r="E217" s="296" t="s">
        <v>5519</v>
      </c>
      <c r="F217" s="296"/>
      <c r="G217" s="248"/>
      <c r="H217" s="247" t="s">
        <v>5273</v>
      </c>
      <c r="I217" s="248"/>
      <c r="J217" s="248"/>
      <c r="K217" s="248"/>
      <c r="L217" s="248"/>
      <c r="M217" s="248"/>
      <c r="N217" s="248"/>
      <c r="O217" s="248"/>
      <c r="P217" s="248"/>
      <c r="Q217" s="248"/>
      <c r="R217" s="248"/>
      <c r="S217" s="248"/>
    </row>
    <row r="218">
      <c r="A218" s="261" t="s">
        <v>5520</v>
      </c>
      <c r="B218" s="256">
        <v>1.0</v>
      </c>
      <c r="C218" s="256">
        <v>5.0</v>
      </c>
      <c r="D218" s="257" t="s">
        <v>5521</v>
      </c>
      <c r="E218" s="258" t="s">
        <v>5522</v>
      </c>
      <c r="F218" s="247"/>
      <c r="G218" s="248"/>
      <c r="H218" s="247" t="s">
        <v>5273</v>
      </c>
      <c r="I218" s="248"/>
      <c r="J218" s="248"/>
      <c r="K218" s="248"/>
      <c r="L218" s="248"/>
      <c r="M218" s="248"/>
      <c r="N218" s="248"/>
      <c r="O218" s="248"/>
      <c r="P218" s="248"/>
      <c r="Q218" s="248"/>
      <c r="R218" s="248"/>
      <c r="S218" s="248"/>
    </row>
    <row r="219">
      <c r="A219" s="261" t="s">
        <v>5520</v>
      </c>
      <c r="B219" s="256">
        <v>1.0</v>
      </c>
      <c r="C219" s="256">
        <v>6.0</v>
      </c>
      <c r="D219" s="270"/>
      <c r="E219" s="258" t="s">
        <v>5523</v>
      </c>
      <c r="F219" s="247"/>
      <c r="G219" s="248"/>
      <c r="H219" s="247" t="s">
        <v>5273</v>
      </c>
      <c r="I219" s="248"/>
      <c r="J219" s="248"/>
      <c r="K219" s="248"/>
      <c r="L219" s="248"/>
      <c r="M219" s="248"/>
      <c r="N219" s="248"/>
      <c r="O219" s="248"/>
      <c r="P219" s="248"/>
      <c r="Q219" s="248"/>
      <c r="R219" s="248"/>
      <c r="S219" s="248"/>
    </row>
    <row r="220" hidden="1">
      <c r="A220" s="256">
        <v>9.0</v>
      </c>
      <c r="B220" s="256">
        <v>1.0</v>
      </c>
      <c r="C220" s="256">
        <v>7.0</v>
      </c>
      <c r="D220" s="257" t="s">
        <v>69</v>
      </c>
      <c r="E220" s="258" t="s">
        <v>5524</v>
      </c>
      <c r="F220" s="258"/>
      <c r="G220" s="248"/>
      <c r="H220" s="247" t="s">
        <v>5273</v>
      </c>
      <c r="I220" s="248"/>
      <c r="J220" s="248"/>
      <c r="K220" s="248"/>
      <c r="L220" s="248"/>
      <c r="M220" s="248"/>
      <c r="N220" s="248"/>
      <c r="O220" s="248"/>
      <c r="P220" s="248"/>
      <c r="Q220" s="248"/>
      <c r="R220" s="248"/>
      <c r="S220" s="248"/>
    </row>
    <row r="221" hidden="1">
      <c r="A221" s="273">
        <v>9.0</v>
      </c>
      <c r="B221" s="273">
        <v>1.0</v>
      </c>
      <c r="C221" s="273">
        <v>8.0</v>
      </c>
      <c r="D221" s="274" t="s">
        <v>5290</v>
      </c>
      <c r="E221" s="274" t="s">
        <v>5290</v>
      </c>
      <c r="F221" s="274"/>
      <c r="G221" s="265"/>
      <c r="H221" s="265"/>
      <c r="I221" s="265"/>
      <c r="J221" s="265"/>
      <c r="K221" s="265"/>
      <c r="L221" s="265"/>
      <c r="M221" s="265"/>
      <c r="N221" s="265"/>
      <c r="O221" s="265"/>
      <c r="P221" s="265"/>
      <c r="Q221" s="265"/>
      <c r="R221" s="265"/>
      <c r="S221" s="265"/>
    </row>
    <row r="222" hidden="1">
      <c r="A222" s="256">
        <v>9.0</v>
      </c>
      <c r="B222" s="256">
        <v>2.0</v>
      </c>
      <c r="C222" s="256">
        <v>0.0</v>
      </c>
      <c r="D222" s="257" t="s">
        <v>5322</v>
      </c>
      <c r="E222" s="258" t="s">
        <v>5525</v>
      </c>
      <c r="F222" s="258"/>
      <c r="G222" s="248"/>
      <c r="H222" s="247" t="s">
        <v>5273</v>
      </c>
      <c r="I222" s="248"/>
      <c r="J222" s="248"/>
      <c r="K222" s="248"/>
      <c r="L222" s="248"/>
      <c r="M222" s="248"/>
      <c r="N222" s="248"/>
      <c r="O222" s="248"/>
      <c r="P222" s="248"/>
      <c r="Q222" s="248"/>
      <c r="R222" s="248"/>
      <c r="S222" s="248"/>
    </row>
    <row r="223" hidden="1">
      <c r="A223" s="256">
        <v>9.0</v>
      </c>
      <c r="B223" s="256">
        <v>2.0</v>
      </c>
      <c r="C223" s="256">
        <v>1.0</v>
      </c>
      <c r="D223" s="257" t="s">
        <v>5322</v>
      </c>
      <c r="E223" s="283" t="s">
        <v>5526</v>
      </c>
      <c r="F223" s="283"/>
      <c r="G223" s="248"/>
      <c r="H223" s="247" t="s">
        <v>5273</v>
      </c>
      <c r="I223" s="248"/>
      <c r="J223" s="248"/>
      <c r="K223" s="248"/>
      <c r="L223" s="248"/>
      <c r="M223" s="248"/>
      <c r="N223" s="248"/>
      <c r="O223" s="248"/>
      <c r="P223" s="248"/>
      <c r="Q223" s="248"/>
      <c r="R223" s="248"/>
      <c r="S223" s="248"/>
    </row>
    <row r="224" hidden="1">
      <c r="A224" s="256">
        <v>9.0</v>
      </c>
      <c r="B224" s="256">
        <v>2.0</v>
      </c>
      <c r="C224" s="256">
        <v>2.0</v>
      </c>
      <c r="D224" s="257" t="s">
        <v>69</v>
      </c>
      <c r="E224" s="258" t="s">
        <v>5527</v>
      </c>
      <c r="F224" s="258"/>
      <c r="G224" s="248"/>
      <c r="H224" s="247" t="s">
        <v>5273</v>
      </c>
      <c r="I224" s="248"/>
      <c r="J224" s="248"/>
      <c r="K224" s="248"/>
      <c r="L224" s="248"/>
      <c r="M224" s="248"/>
      <c r="N224" s="248"/>
      <c r="O224" s="248"/>
      <c r="P224" s="248"/>
      <c r="Q224" s="248"/>
      <c r="R224" s="248"/>
      <c r="S224" s="248"/>
    </row>
    <row r="225" hidden="1">
      <c r="A225" s="256">
        <v>9.0</v>
      </c>
      <c r="B225" s="256">
        <v>2.0</v>
      </c>
      <c r="C225" s="256">
        <v>3.0</v>
      </c>
      <c r="D225" s="257" t="s">
        <v>69</v>
      </c>
      <c r="E225" s="258" t="s">
        <v>5528</v>
      </c>
      <c r="F225" s="258"/>
      <c r="G225" s="248"/>
      <c r="H225" s="247" t="s">
        <v>5273</v>
      </c>
      <c r="I225" s="248"/>
      <c r="J225" s="248"/>
      <c r="K225" s="248"/>
      <c r="L225" s="248"/>
      <c r="M225" s="248"/>
      <c r="N225" s="248"/>
      <c r="O225" s="248"/>
      <c r="P225" s="248"/>
      <c r="Q225" s="248"/>
      <c r="R225" s="248"/>
      <c r="S225" s="248"/>
    </row>
    <row r="226" hidden="1">
      <c r="A226" s="256">
        <v>9.0</v>
      </c>
      <c r="B226" s="256">
        <v>2.0</v>
      </c>
      <c r="C226" s="256">
        <v>4.0</v>
      </c>
      <c r="D226" s="257" t="s">
        <v>69</v>
      </c>
      <c r="E226" s="258" t="s">
        <v>5529</v>
      </c>
      <c r="F226" s="258"/>
      <c r="G226" s="248"/>
      <c r="H226" s="247" t="s">
        <v>5273</v>
      </c>
      <c r="I226" s="248"/>
      <c r="J226" s="248"/>
      <c r="K226" s="248"/>
      <c r="L226" s="248"/>
      <c r="M226" s="248"/>
      <c r="N226" s="248"/>
      <c r="O226" s="248"/>
      <c r="P226" s="248"/>
      <c r="Q226" s="248"/>
      <c r="R226" s="248"/>
      <c r="S226" s="248"/>
    </row>
    <row r="227">
      <c r="A227" s="261" t="s">
        <v>5520</v>
      </c>
      <c r="B227" s="256">
        <v>2.0</v>
      </c>
      <c r="C227" s="256">
        <v>5.0</v>
      </c>
      <c r="D227" s="257" t="s">
        <v>5521</v>
      </c>
      <c r="E227" s="258" t="s">
        <v>5530</v>
      </c>
      <c r="F227" s="247"/>
      <c r="G227" s="248"/>
      <c r="H227" s="247" t="s">
        <v>5273</v>
      </c>
      <c r="I227" s="248"/>
      <c r="J227" s="248"/>
      <c r="K227" s="248"/>
      <c r="L227" s="248"/>
      <c r="M227" s="248"/>
      <c r="N227" s="248"/>
      <c r="O227" s="248"/>
      <c r="P227" s="248"/>
      <c r="Q227" s="248"/>
      <c r="R227" s="248"/>
      <c r="S227" s="248"/>
    </row>
    <row r="228">
      <c r="A228" s="261" t="s">
        <v>5520</v>
      </c>
      <c r="B228" s="256">
        <v>2.0</v>
      </c>
      <c r="C228" s="256">
        <v>6.0</v>
      </c>
      <c r="D228" s="257" t="s">
        <v>5531</v>
      </c>
      <c r="E228" s="258" t="s">
        <v>5532</v>
      </c>
      <c r="F228" s="247"/>
      <c r="G228" s="248"/>
      <c r="H228" s="247" t="s">
        <v>5273</v>
      </c>
      <c r="I228" s="248"/>
      <c r="J228" s="248"/>
      <c r="K228" s="248"/>
      <c r="L228" s="248"/>
      <c r="M228" s="248"/>
      <c r="N228" s="248"/>
      <c r="O228" s="248"/>
      <c r="P228" s="248"/>
      <c r="Q228" s="248"/>
      <c r="R228" s="248"/>
      <c r="S228" s="248"/>
    </row>
    <row r="229" hidden="1">
      <c r="A229" s="256">
        <v>9.0</v>
      </c>
      <c r="B229" s="256">
        <v>2.0</v>
      </c>
      <c r="C229" s="256">
        <v>7.0</v>
      </c>
      <c r="D229" s="257" t="s">
        <v>5291</v>
      </c>
      <c r="E229" s="258" t="s">
        <v>5533</v>
      </c>
      <c r="F229" s="258"/>
      <c r="G229" s="248"/>
      <c r="H229" s="247" t="s">
        <v>5273</v>
      </c>
      <c r="I229" s="248"/>
      <c r="J229" s="248"/>
      <c r="K229" s="248"/>
      <c r="L229" s="248"/>
      <c r="M229" s="248"/>
      <c r="N229" s="248"/>
      <c r="O229" s="248"/>
      <c r="P229" s="248"/>
      <c r="Q229" s="248"/>
      <c r="R229" s="248"/>
      <c r="S229" s="248"/>
    </row>
    <row r="230" hidden="1">
      <c r="A230" s="273">
        <v>9.0</v>
      </c>
      <c r="B230" s="273">
        <v>2.0</v>
      </c>
      <c r="C230" s="273">
        <v>8.0</v>
      </c>
      <c r="D230" s="274" t="s">
        <v>5290</v>
      </c>
      <c r="E230" s="274" t="s">
        <v>5290</v>
      </c>
      <c r="F230" s="274"/>
      <c r="G230" s="265"/>
      <c r="H230" s="265"/>
      <c r="I230" s="265"/>
      <c r="J230" s="265"/>
      <c r="K230" s="265"/>
      <c r="L230" s="265"/>
      <c r="M230" s="265"/>
      <c r="N230" s="265"/>
      <c r="O230" s="265"/>
      <c r="P230" s="265"/>
      <c r="Q230" s="265"/>
      <c r="R230" s="265"/>
      <c r="S230" s="265"/>
    </row>
    <row r="231" hidden="1">
      <c r="A231" s="256">
        <v>9.0</v>
      </c>
      <c r="B231" s="256">
        <v>3.0</v>
      </c>
      <c r="C231" s="256">
        <v>0.0</v>
      </c>
      <c r="D231" s="257" t="s">
        <v>69</v>
      </c>
      <c r="E231" s="286" t="s">
        <v>5534</v>
      </c>
      <c r="F231" s="286"/>
      <c r="G231" s="248"/>
      <c r="H231" s="247" t="s">
        <v>5273</v>
      </c>
      <c r="I231" s="248"/>
      <c r="J231" s="248"/>
      <c r="K231" s="279"/>
      <c r="L231" s="279"/>
      <c r="M231" s="279"/>
      <c r="N231" s="279"/>
      <c r="O231" s="279"/>
      <c r="P231" s="279"/>
      <c r="Q231" s="279"/>
      <c r="R231" s="279"/>
      <c r="S231" s="279"/>
    </row>
    <row r="232" hidden="1">
      <c r="A232" s="256">
        <v>9.0</v>
      </c>
      <c r="B232" s="256">
        <v>3.0</v>
      </c>
      <c r="C232" s="256">
        <v>1.0</v>
      </c>
      <c r="D232" s="257" t="s">
        <v>69</v>
      </c>
      <c r="E232" s="286" t="s">
        <v>5535</v>
      </c>
      <c r="F232" s="286"/>
      <c r="G232" s="248"/>
      <c r="H232" s="247" t="s">
        <v>5273</v>
      </c>
      <c r="I232" s="248"/>
      <c r="J232" s="248"/>
      <c r="K232" s="279"/>
      <c r="L232" s="279"/>
      <c r="M232" s="279"/>
      <c r="N232" s="279"/>
      <c r="O232" s="279"/>
      <c r="P232" s="279"/>
      <c r="Q232" s="279"/>
      <c r="R232" s="279"/>
      <c r="S232" s="279"/>
    </row>
    <row r="233" hidden="1">
      <c r="A233" s="256">
        <v>9.0</v>
      </c>
      <c r="B233" s="256">
        <v>3.0</v>
      </c>
      <c r="C233" s="256">
        <v>2.0</v>
      </c>
      <c r="D233" s="270"/>
      <c r="E233" s="258" t="s">
        <v>5536</v>
      </c>
      <c r="F233" s="258"/>
      <c r="G233" s="248"/>
      <c r="H233" s="247" t="s">
        <v>5273</v>
      </c>
      <c r="I233" s="248"/>
      <c r="J233" s="248"/>
      <c r="K233" s="248"/>
      <c r="L233" s="248"/>
      <c r="M233" s="248"/>
      <c r="N233" s="248"/>
      <c r="O233" s="248"/>
      <c r="P233" s="248"/>
      <c r="Q233" s="248"/>
      <c r="R233" s="248"/>
      <c r="S233" s="248"/>
    </row>
    <row r="234" hidden="1">
      <c r="A234" s="256">
        <v>9.0</v>
      </c>
      <c r="B234" s="256">
        <v>3.0</v>
      </c>
      <c r="C234" s="256">
        <v>3.0</v>
      </c>
      <c r="D234" s="257" t="s">
        <v>69</v>
      </c>
      <c r="E234" s="286" t="s">
        <v>5537</v>
      </c>
      <c r="F234" s="286"/>
      <c r="G234" s="248"/>
      <c r="H234" s="247" t="s">
        <v>5273</v>
      </c>
      <c r="I234" s="248"/>
      <c r="J234" s="248"/>
      <c r="K234" s="279"/>
      <c r="L234" s="279"/>
      <c r="M234" s="279"/>
      <c r="N234" s="279"/>
      <c r="O234" s="279"/>
      <c r="P234" s="279"/>
      <c r="Q234" s="279"/>
      <c r="R234" s="279"/>
      <c r="S234" s="279"/>
    </row>
    <row r="235" hidden="1">
      <c r="A235" s="256">
        <v>9.0</v>
      </c>
      <c r="B235" s="256">
        <v>3.0</v>
      </c>
      <c r="C235" s="256">
        <v>4.0</v>
      </c>
      <c r="D235" s="257" t="s">
        <v>69</v>
      </c>
      <c r="E235" s="286" t="s">
        <v>5538</v>
      </c>
      <c r="F235" s="286"/>
      <c r="G235" s="248"/>
      <c r="H235" s="247" t="s">
        <v>5273</v>
      </c>
      <c r="I235" s="248"/>
      <c r="J235" s="248"/>
      <c r="K235" s="248"/>
      <c r="L235" s="248"/>
      <c r="M235" s="248"/>
      <c r="N235" s="248"/>
      <c r="O235" s="248"/>
      <c r="P235" s="248"/>
      <c r="Q235" s="248"/>
      <c r="R235" s="248"/>
      <c r="S235" s="248"/>
    </row>
    <row r="236">
      <c r="A236" s="281" t="s">
        <v>5520</v>
      </c>
      <c r="B236" s="282">
        <v>3.0</v>
      </c>
      <c r="C236" s="282">
        <v>5.0</v>
      </c>
      <c r="D236" s="257" t="s">
        <v>5539</v>
      </c>
      <c r="E236" s="258" t="s">
        <v>5540</v>
      </c>
      <c r="F236" s="247"/>
      <c r="G236" s="260" t="s">
        <v>5273</v>
      </c>
      <c r="H236" s="247" t="s">
        <v>5273</v>
      </c>
      <c r="I236" s="285"/>
      <c r="J236" s="285"/>
      <c r="K236" s="285"/>
      <c r="L236" s="285"/>
      <c r="M236" s="285"/>
      <c r="N236" s="285"/>
      <c r="O236" s="285"/>
      <c r="P236" s="285"/>
      <c r="Q236" s="285"/>
      <c r="R236" s="285"/>
      <c r="S236" s="285"/>
    </row>
    <row r="237" hidden="1">
      <c r="A237" s="256">
        <v>9.0</v>
      </c>
      <c r="B237" s="256">
        <v>3.0</v>
      </c>
      <c r="C237" s="256">
        <v>6.0</v>
      </c>
      <c r="D237" s="257" t="s">
        <v>69</v>
      </c>
      <c r="E237" s="286" t="s">
        <v>5541</v>
      </c>
      <c r="F237" s="286"/>
      <c r="G237" s="248"/>
      <c r="H237" s="247" t="s">
        <v>5273</v>
      </c>
      <c r="I237" s="248"/>
      <c r="J237" s="248"/>
      <c r="K237" s="279"/>
      <c r="L237" s="279"/>
      <c r="M237" s="279"/>
      <c r="N237" s="279"/>
      <c r="O237" s="279"/>
      <c r="P237" s="279"/>
      <c r="Q237" s="279"/>
      <c r="R237" s="279"/>
      <c r="S237" s="279"/>
    </row>
    <row r="238" hidden="1">
      <c r="A238" s="256">
        <v>9.0</v>
      </c>
      <c r="B238" s="256">
        <v>3.0</v>
      </c>
      <c r="C238" s="256">
        <v>7.0</v>
      </c>
      <c r="D238" s="257" t="s">
        <v>5357</v>
      </c>
      <c r="E238" s="286" t="s">
        <v>5542</v>
      </c>
      <c r="F238" s="286"/>
      <c r="G238" s="248"/>
      <c r="H238" s="247" t="s">
        <v>5273</v>
      </c>
      <c r="I238" s="248"/>
      <c r="J238" s="248"/>
      <c r="K238" s="279"/>
      <c r="L238" s="279"/>
      <c r="M238" s="279"/>
      <c r="N238" s="279"/>
      <c r="O238" s="279"/>
      <c r="P238" s="279"/>
      <c r="Q238" s="279"/>
      <c r="R238" s="279"/>
      <c r="S238" s="279"/>
    </row>
    <row r="239" hidden="1">
      <c r="A239" s="297">
        <v>9.0</v>
      </c>
      <c r="B239" s="297">
        <v>3.0</v>
      </c>
      <c r="C239" s="297">
        <v>8.0</v>
      </c>
      <c r="D239" s="298"/>
      <c r="E239" s="299" t="s">
        <v>5290</v>
      </c>
      <c r="F239" s="299"/>
      <c r="G239" s="298"/>
      <c r="H239" s="298"/>
      <c r="I239" s="298"/>
      <c r="J239" s="298"/>
      <c r="K239" s="298"/>
      <c r="L239" s="298"/>
      <c r="M239" s="298"/>
      <c r="N239" s="298"/>
      <c r="O239" s="298"/>
      <c r="P239" s="298"/>
      <c r="Q239" s="298"/>
      <c r="R239" s="298"/>
      <c r="S239" s="298"/>
    </row>
    <row r="240">
      <c r="A240" s="261" t="s">
        <v>5520</v>
      </c>
      <c r="B240" s="256">
        <v>4.0</v>
      </c>
      <c r="C240" s="256">
        <v>0.0</v>
      </c>
      <c r="D240" s="270"/>
      <c r="E240" s="258" t="s">
        <v>5543</v>
      </c>
      <c r="F240" s="247"/>
      <c r="G240" s="247" t="s">
        <v>5273</v>
      </c>
      <c r="H240" s="247" t="s">
        <v>5273</v>
      </c>
      <c r="I240" s="248"/>
      <c r="J240" s="248"/>
      <c r="K240" s="248"/>
      <c r="L240" s="248"/>
      <c r="M240" s="248"/>
      <c r="N240" s="248"/>
      <c r="O240" s="248"/>
      <c r="P240" s="248"/>
      <c r="Q240" s="248"/>
      <c r="R240" s="248"/>
      <c r="S240" s="248"/>
    </row>
    <row r="241" hidden="1">
      <c r="A241" s="256">
        <v>9.0</v>
      </c>
      <c r="B241" s="256">
        <v>4.0</v>
      </c>
      <c r="C241" s="256">
        <v>1.0</v>
      </c>
      <c r="D241" s="257" t="s">
        <v>69</v>
      </c>
      <c r="E241" s="286" t="s">
        <v>5544</v>
      </c>
      <c r="F241" s="286"/>
      <c r="G241" s="248"/>
      <c r="H241" s="247" t="s">
        <v>5273</v>
      </c>
      <c r="I241" s="248"/>
      <c r="J241" s="248"/>
      <c r="K241" s="248"/>
      <c r="L241" s="248"/>
      <c r="M241" s="248"/>
      <c r="N241" s="248"/>
      <c r="O241" s="248"/>
      <c r="P241" s="248"/>
      <c r="Q241" s="248"/>
      <c r="R241" s="248"/>
      <c r="S241" s="248"/>
    </row>
    <row r="242">
      <c r="A242" s="256">
        <v>9.0</v>
      </c>
      <c r="B242" s="256">
        <v>4.0</v>
      </c>
      <c r="C242" s="256">
        <v>2.0</v>
      </c>
      <c r="D242" s="300" t="s">
        <v>5545</v>
      </c>
      <c r="E242" s="258" t="s">
        <v>5546</v>
      </c>
      <c r="F242" s="247"/>
      <c r="G242" s="247" t="s">
        <v>5273</v>
      </c>
      <c r="H242" s="247" t="s">
        <v>5273</v>
      </c>
      <c r="I242" s="248"/>
      <c r="J242" s="248"/>
      <c r="K242" s="248"/>
      <c r="L242" s="248"/>
      <c r="M242" s="248"/>
      <c r="N242" s="248"/>
      <c r="O242" s="248"/>
      <c r="P242" s="248"/>
      <c r="Q242" s="248"/>
      <c r="R242" s="248"/>
      <c r="S242" s="248"/>
    </row>
    <row r="243">
      <c r="A243" s="256">
        <v>9.0</v>
      </c>
      <c r="B243" s="256">
        <v>4.0</v>
      </c>
      <c r="C243" s="256">
        <v>3.0</v>
      </c>
      <c r="D243" s="301"/>
      <c r="E243" s="284" t="s">
        <v>5547</v>
      </c>
      <c r="F243" s="252"/>
      <c r="G243" s="247" t="s">
        <v>5273</v>
      </c>
      <c r="H243" s="247" t="s">
        <v>5273</v>
      </c>
      <c r="I243" s="248"/>
      <c r="J243" s="248"/>
      <c r="K243" s="248"/>
      <c r="L243" s="248"/>
      <c r="M243" s="248"/>
      <c r="N243" s="248"/>
      <c r="O243" s="248"/>
      <c r="P243" s="248"/>
      <c r="Q243" s="248"/>
      <c r="R243" s="248"/>
      <c r="S243" s="248"/>
    </row>
    <row r="244">
      <c r="A244" s="256">
        <v>9.0</v>
      </c>
      <c r="B244" s="256">
        <v>4.0</v>
      </c>
      <c r="C244" s="256">
        <v>4.0</v>
      </c>
      <c r="D244" s="302" t="s">
        <v>5548</v>
      </c>
      <c r="E244" s="284" t="s">
        <v>5549</v>
      </c>
      <c r="F244" s="252"/>
      <c r="G244" s="247" t="s">
        <v>5273</v>
      </c>
      <c r="H244" s="247" t="s">
        <v>5273</v>
      </c>
      <c r="I244" s="248"/>
      <c r="J244" s="248"/>
      <c r="K244" s="248"/>
      <c r="L244" s="248"/>
      <c r="M244" s="248"/>
      <c r="N244" s="248"/>
      <c r="O244" s="248"/>
      <c r="P244" s="248"/>
      <c r="Q244" s="248"/>
      <c r="R244" s="248"/>
      <c r="S244" s="248"/>
    </row>
    <row r="245">
      <c r="A245" s="261" t="s">
        <v>5520</v>
      </c>
      <c r="B245" s="256">
        <v>4.0</v>
      </c>
      <c r="C245" s="256">
        <v>5.0</v>
      </c>
      <c r="D245" s="257" t="s">
        <v>69</v>
      </c>
      <c r="E245" s="286" t="s">
        <v>5550</v>
      </c>
      <c r="F245" s="287"/>
      <c r="G245" s="247" t="s">
        <v>5273</v>
      </c>
      <c r="H245" s="247" t="s">
        <v>5273</v>
      </c>
      <c r="I245" s="248"/>
      <c r="J245" s="248"/>
      <c r="K245" s="248"/>
      <c r="L245" s="248"/>
      <c r="M245" s="248"/>
      <c r="N245" s="248"/>
      <c r="O245" s="248"/>
      <c r="P245" s="248"/>
      <c r="Q245" s="248"/>
      <c r="R245" s="248"/>
      <c r="S245" s="248"/>
    </row>
    <row r="246">
      <c r="A246" s="261" t="s">
        <v>5551</v>
      </c>
      <c r="B246" s="256">
        <v>4.0</v>
      </c>
      <c r="C246" s="256">
        <v>6.0</v>
      </c>
      <c r="D246" s="302" t="s">
        <v>5548</v>
      </c>
      <c r="E246" s="286" t="s">
        <v>5552</v>
      </c>
      <c r="F246" s="287"/>
      <c r="G246" s="247" t="s">
        <v>5273</v>
      </c>
      <c r="H246" s="247" t="s">
        <v>5273</v>
      </c>
      <c r="I246" s="248"/>
      <c r="J246" s="248"/>
      <c r="K246" s="248"/>
      <c r="L246" s="248"/>
      <c r="M246" s="248"/>
      <c r="N246" s="248"/>
      <c r="O246" s="248"/>
      <c r="P246" s="248"/>
      <c r="Q246" s="248"/>
      <c r="R246" s="248"/>
      <c r="S246" s="248"/>
    </row>
    <row r="247" hidden="1">
      <c r="A247" s="256">
        <v>9.0</v>
      </c>
      <c r="B247" s="256">
        <v>4.0</v>
      </c>
      <c r="C247" s="256">
        <v>7.0</v>
      </c>
      <c r="D247" s="301"/>
      <c r="E247" s="283" t="s">
        <v>5553</v>
      </c>
      <c r="F247" s="283"/>
      <c r="G247" s="247" t="s">
        <v>5273</v>
      </c>
      <c r="H247" s="247" t="s">
        <v>5273</v>
      </c>
      <c r="I247" s="248"/>
      <c r="J247" s="248"/>
      <c r="K247" s="248"/>
      <c r="L247" s="248"/>
      <c r="M247" s="248"/>
      <c r="N247" s="248"/>
      <c r="O247" s="248"/>
      <c r="P247" s="248"/>
      <c r="Q247" s="248"/>
      <c r="R247" s="248"/>
      <c r="S247" s="248"/>
    </row>
    <row r="248">
      <c r="A248" s="261" t="s">
        <v>5520</v>
      </c>
      <c r="B248" s="256">
        <v>4.0</v>
      </c>
      <c r="C248" s="256">
        <v>8.0</v>
      </c>
      <c r="D248" s="300" t="s">
        <v>5554</v>
      </c>
      <c r="E248" s="258" t="s">
        <v>5555</v>
      </c>
      <c r="F248" s="247"/>
      <c r="G248" s="247" t="s">
        <v>5273</v>
      </c>
      <c r="H248" s="247" t="s">
        <v>5273</v>
      </c>
      <c r="I248" s="248"/>
      <c r="J248" s="248"/>
      <c r="K248" s="248"/>
      <c r="L248" s="248"/>
      <c r="M248" s="248"/>
      <c r="N248" s="248"/>
      <c r="O248" s="248"/>
      <c r="P248" s="248"/>
      <c r="Q248" s="248"/>
      <c r="R248" s="248"/>
      <c r="S248" s="248"/>
    </row>
    <row r="249" hidden="1">
      <c r="A249" s="297">
        <v>9.0</v>
      </c>
      <c r="B249" s="297">
        <v>4.0</v>
      </c>
      <c r="C249" s="297">
        <v>9.0</v>
      </c>
      <c r="D249" s="298"/>
      <c r="E249" s="299" t="s">
        <v>5290</v>
      </c>
      <c r="F249" s="299"/>
      <c r="G249" s="298"/>
      <c r="H249" s="298"/>
      <c r="I249" s="298"/>
      <c r="J249" s="298"/>
      <c r="K249" s="298"/>
      <c r="L249" s="298"/>
      <c r="M249" s="298"/>
      <c r="N249" s="298"/>
      <c r="O249" s="298"/>
      <c r="P249" s="298"/>
      <c r="Q249" s="298"/>
      <c r="R249" s="298"/>
      <c r="S249" s="298"/>
    </row>
    <row r="250" hidden="1">
      <c r="A250" s="256">
        <v>9.0</v>
      </c>
      <c r="B250" s="256">
        <v>5.0</v>
      </c>
      <c r="C250" s="256">
        <v>0.0</v>
      </c>
      <c r="D250" s="257" t="s">
        <v>69</v>
      </c>
      <c r="E250" s="293" t="s">
        <v>5556</v>
      </c>
      <c r="F250" s="286"/>
      <c r="G250" s="248"/>
      <c r="H250" s="247" t="s">
        <v>5273</v>
      </c>
      <c r="I250" s="248"/>
      <c r="J250" s="248"/>
      <c r="K250" s="248"/>
      <c r="L250" s="248"/>
      <c r="M250" s="248"/>
      <c r="N250" s="248"/>
      <c r="O250" s="248"/>
      <c r="P250" s="248"/>
      <c r="Q250" s="248"/>
      <c r="R250" s="248"/>
      <c r="S250" s="248"/>
    </row>
    <row r="251" hidden="1">
      <c r="A251" s="256">
        <v>9.0</v>
      </c>
      <c r="B251" s="256">
        <v>5.0</v>
      </c>
      <c r="C251" s="256">
        <v>1.0</v>
      </c>
      <c r="D251" s="257" t="s">
        <v>69</v>
      </c>
      <c r="E251" s="286" t="s">
        <v>5557</v>
      </c>
      <c r="F251" s="286"/>
      <c r="G251" s="248"/>
      <c r="H251" s="247" t="s">
        <v>5273</v>
      </c>
      <c r="I251" s="248"/>
      <c r="J251" s="248"/>
      <c r="K251" s="248"/>
      <c r="L251" s="248"/>
      <c r="M251" s="248"/>
      <c r="N251" s="248"/>
      <c r="O251" s="248"/>
      <c r="P251" s="248"/>
      <c r="Q251" s="248"/>
      <c r="R251" s="248"/>
      <c r="S251" s="248"/>
    </row>
    <row r="252" hidden="1">
      <c r="A252" s="256">
        <v>9.0</v>
      </c>
      <c r="B252" s="256">
        <v>5.0</v>
      </c>
      <c r="C252" s="256">
        <v>2.0</v>
      </c>
      <c r="D252" s="257" t="s">
        <v>69</v>
      </c>
      <c r="E252" s="286" t="s">
        <v>5558</v>
      </c>
      <c r="F252" s="286"/>
      <c r="G252" s="248"/>
      <c r="H252" s="247" t="s">
        <v>5273</v>
      </c>
      <c r="I252" s="248"/>
      <c r="J252" s="248"/>
      <c r="K252" s="248"/>
      <c r="L252" s="248"/>
      <c r="M252" s="248"/>
      <c r="N252" s="248"/>
      <c r="O252" s="248"/>
      <c r="P252" s="248"/>
      <c r="Q252" s="248"/>
      <c r="R252" s="248"/>
      <c r="S252" s="248"/>
    </row>
    <row r="253" hidden="1">
      <c r="A253" s="256">
        <v>9.0</v>
      </c>
      <c r="B253" s="256">
        <v>5.0</v>
      </c>
      <c r="C253" s="256">
        <v>3.0</v>
      </c>
      <c r="D253" s="257" t="s">
        <v>69</v>
      </c>
      <c r="E253" s="286" t="s">
        <v>5559</v>
      </c>
      <c r="F253" s="286"/>
      <c r="G253" s="248"/>
      <c r="H253" s="247" t="s">
        <v>5273</v>
      </c>
      <c r="I253" s="248"/>
      <c r="J253" s="248"/>
      <c r="K253" s="248"/>
      <c r="L253" s="248"/>
      <c r="M253" s="248"/>
      <c r="N253" s="248"/>
      <c r="O253" s="248"/>
      <c r="P253" s="248"/>
      <c r="Q253" s="248"/>
      <c r="R253" s="248"/>
      <c r="S253" s="248"/>
    </row>
    <row r="254" hidden="1">
      <c r="A254" s="256">
        <v>9.0</v>
      </c>
      <c r="B254" s="256">
        <v>5.0</v>
      </c>
      <c r="C254" s="256">
        <v>4.0</v>
      </c>
      <c r="D254" s="257" t="s">
        <v>69</v>
      </c>
      <c r="E254" s="286" t="s">
        <v>5560</v>
      </c>
      <c r="F254" s="286"/>
      <c r="G254" s="248"/>
      <c r="H254" s="247" t="s">
        <v>5273</v>
      </c>
      <c r="I254" s="248"/>
      <c r="J254" s="248"/>
      <c r="K254" s="248"/>
      <c r="L254" s="248"/>
      <c r="M254" s="248"/>
      <c r="N254" s="248"/>
      <c r="O254" s="248"/>
      <c r="P254" s="248"/>
      <c r="Q254" s="248"/>
      <c r="R254" s="248"/>
      <c r="S254" s="248"/>
    </row>
    <row r="255" hidden="1">
      <c r="A255" s="256">
        <v>9.0</v>
      </c>
      <c r="B255" s="256">
        <v>5.0</v>
      </c>
      <c r="C255" s="256">
        <v>5.0</v>
      </c>
      <c r="D255" s="257" t="s">
        <v>69</v>
      </c>
      <c r="E255" s="303" t="s">
        <v>5561</v>
      </c>
      <c r="F255" s="303"/>
      <c r="G255" s="248"/>
      <c r="H255" s="247" t="s">
        <v>5273</v>
      </c>
      <c r="I255" s="248"/>
      <c r="J255" s="248"/>
      <c r="K255" s="248"/>
      <c r="L255" s="248"/>
      <c r="M255" s="248"/>
      <c r="N255" s="248"/>
      <c r="O255" s="248"/>
      <c r="P255" s="248"/>
      <c r="Q255" s="248"/>
      <c r="R255" s="248"/>
      <c r="S255" s="248"/>
    </row>
    <row r="256" hidden="1">
      <c r="A256" s="256">
        <v>9.0</v>
      </c>
      <c r="B256" s="256">
        <v>5.0</v>
      </c>
      <c r="C256" s="256">
        <v>6.0</v>
      </c>
      <c r="D256" s="257" t="s">
        <v>69</v>
      </c>
      <c r="E256" s="286" t="s">
        <v>5562</v>
      </c>
      <c r="F256" s="286"/>
      <c r="G256" s="248"/>
      <c r="H256" s="247" t="s">
        <v>5273</v>
      </c>
      <c r="I256" s="248"/>
      <c r="J256" s="248"/>
      <c r="K256" s="248"/>
      <c r="L256" s="248"/>
      <c r="M256" s="248"/>
      <c r="N256" s="248"/>
      <c r="O256" s="248"/>
      <c r="P256" s="248"/>
      <c r="Q256" s="248"/>
      <c r="R256" s="248"/>
      <c r="S256" s="248"/>
    </row>
    <row r="257">
      <c r="A257" s="261" t="s">
        <v>5520</v>
      </c>
      <c r="B257" s="256">
        <v>5.0</v>
      </c>
      <c r="C257" s="256">
        <v>7.0</v>
      </c>
      <c r="D257" s="302" t="s">
        <v>5563</v>
      </c>
      <c r="E257" s="303" t="s">
        <v>5564</v>
      </c>
      <c r="F257" s="304"/>
      <c r="G257" s="247" t="s">
        <v>5273</v>
      </c>
      <c r="H257" s="247" t="s">
        <v>5273</v>
      </c>
      <c r="I257" s="248"/>
      <c r="J257" s="248"/>
      <c r="K257" s="248"/>
      <c r="L257" s="248"/>
      <c r="M257" s="248"/>
      <c r="N257" s="248"/>
      <c r="O257" s="248"/>
      <c r="P257" s="248"/>
      <c r="Q257" s="248"/>
      <c r="R257" s="248"/>
      <c r="S257" s="248"/>
    </row>
    <row r="258" hidden="1">
      <c r="A258" s="256">
        <v>9.0</v>
      </c>
      <c r="B258" s="256">
        <v>5.0</v>
      </c>
      <c r="C258" s="256">
        <v>8.0</v>
      </c>
      <c r="D258" s="257" t="s">
        <v>69</v>
      </c>
      <c r="E258" s="286" t="s">
        <v>5565</v>
      </c>
      <c r="F258" s="286"/>
      <c r="G258" s="248"/>
      <c r="H258" s="247" t="s">
        <v>5273</v>
      </c>
      <c r="I258" s="248"/>
      <c r="J258" s="248"/>
      <c r="K258" s="248"/>
      <c r="L258" s="248"/>
      <c r="M258" s="248"/>
      <c r="N258" s="248"/>
      <c r="O258" s="248"/>
      <c r="P258" s="248"/>
      <c r="Q258" s="248"/>
      <c r="R258" s="248"/>
      <c r="S258" s="248"/>
    </row>
    <row r="259" hidden="1">
      <c r="A259" s="256">
        <v>9.0</v>
      </c>
      <c r="B259" s="256">
        <v>5.0</v>
      </c>
      <c r="C259" s="256">
        <v>9.0</v>
      </c>
      <c r="D259" s="257" t="s">
        <v>69</v>
      </c>
      <c r="E259" s="293" t="s">
        <v>5566</v>
      </c>
      <c r="F259" s="286"/>
      <c r="G259" s="248"/>
      <c r="H259" s="247" t="s">
        <v>5273</v>
      </c>
      <c r="I259" s="248"/>
      <c r="J259" s="248"/>
      <c r="K259" s="248"/>
      <c r="L259" s="248"/>
      <c r="M259" s="248"/>
      <c r="N259" s="248"/>
      <c r="O259" s="248"/>
      <c r="P259" s="248"/>
      <c r="Q259" s="248"/>
      <c r="R259" s="248"/>
      <c r="S259" s="248"/>
    </row>
    <row r="260" hidden="1">
      <c r="A260" s="297">
        <v>9.0</v>
      </c>
      <c r="B260" s="297">
        <v>5.0</v>
      </c>
      <c r="C260" s="297">
        <v>10.0</v>
      </c>
      <c r="D260" s="298"/>
      <c r="E260" s="299" t="s">
        <v>5290</v>
      </c>
      <c r="F260" s="299"/>
      <c r="G260" s="298"/>
      <c r="H260" s="298"/>
      <c r="I260" s="298"/>
      <c r="J260" s="298"/>
      <c r="K260" s="298"/>
      <c r="L260" s="298"/>
      <c r="M260" s="298"/>
      <c r="N260" s="298"/>
      <c r="O260" s="298"/>
      <c r="P260" s="298"/>
      <c r="Q260" s="298"/>
      <c r="R260" s="298"/>
      <c r="S260" s="298"/>
    </row>
    <row r="261" hidden="1">
      <c r="A261" s="256">
        <v>9.0</v>
      </c>
      <c r="B261" s="256">
        <v>6.0</v>
      </c>
      <c r="C261" s="256">
        <v>0.0</v>
      </c>
      <c r="D261" s="257" t="s">
        <v>69</v>
      </c>
      <c r="E261" s="286" t="s">
        <v>5567</v>
      </c>
      <c r="F261" s="286"/>
      <c r="G261" s="248"/>
      <c r="H261" s="247" t="s">
        <v>5273</v>
      </c>
      <c r="I261" s="248"/>
      <c r="J261" s="248"/>
      <c r="K261" s="248"/>
      <c r="L261" s="248"/>
      <c r="M261" s="248"/>
      <c r="N261" s="248"/>
      <c r="O261" s="248"/>
      <c r="P261" s="248"/>
      <c r="Q261" s="248"/>
      <c r="R261" s="248"/>
      <c r="S261" s="248"/>
    </row>
    <row r="262" hidden="1">
      <c r="A262" s="256">
        <v>9.0</v>
      </c>
      <c r="B262" s="256">
        <v>6.0</v>
      </c>
      <c r="C262" s="256">
        <v>1.0</v>
      </c>
      <c r="D262" s="257" t="s">
        <v>69</v>
      </c>
      <c r="E262" s="286" t="s">
        <v>5568</v>
      </c>
      <c r="F262" s="286"/>
      <c r="G262" s="248"/>
      <c r="H262" s="247" t="s">
        <v>5273</v>
      </c>
      <c r="I262" s="248"/>
      <c r="J262" s="248"/>
      <c r="K262" s="248"/>
      <c r="L262" s="248"/>
      <c r="M262" s="248"/>
      <c r="N262" s="248"/>
      <c r="O262" s="248"/>
      <c r="P262" s="248"/>
      <c r="Q262" s="248"/>
      <c r="R262" s="248"/>
      <c r="S262" s="248"/>
    </row>
    <row r="263" hidden="1">
      <c r="A263" s="256">
        <v>9.0</v>
      </c>
      <c r="B263" s="256">
        <v>6.0</v>
      </c>
      <c r="C263" s="256">
        <v>2.0</v>
      </c>
      <c r="D263" s="257" t="s">
        <v>69</v>
      </c>
      <c r="E263" s="286" t="s">
        <v>5569</v>
      </c>
      <c r="F263" s="286"/>
      <c r="G263" s="248"/>
      <c r="H263" s="247" t="s">
        <v>5273</v>
      </c>
      <c r="I263" s="248"/>
      <c r="J263" s="248"/>
      <c r="K263" s="248"/>
      <c r="L263" s="248"/>
      <c r="M263" s="248"/>
      <c r="N263" s="248"/>
      <c r="O263" s="248"/>
      <c r="P263" s="248"/>
      <c r="Q263" s="248"/>
      <c r="R263" s="248"/>
      <c r="S263" s="248"/>
    </row>
    <row r="264" hidden="1">
      <c r="A264" s="256">
        <v>9.0</v>
      </c>
      <c r="B264" s="256">
        <v>6.0</v>
      </c>
      <c r="C264" s="256">
        <v>3.0</v>
      </c>
      <c r="D264" s="257" t="s">
        <v>69</v>
      </c>
      <c r="E264" s="286" t="s">
        <v>5570</v>
      </c>
      <c r="F264" s="286"/>
      <c r="G264" s="248"/>
      <c r="H264" s="247" t="s">
        <v>5273</v>
      </c>
      <c r="I264" s="248"/>
      <c r="J264" s="248"/>
      <c r="K264" s="248"/>
      <c r="L264" s="248"/>
      <c r="M264" s="248"/>
      <c r="N264" s="248"/>
      <c r="O264" s="248"/>
      <c r="P264" s="248"/>
      <c r="Q264" s="248"/>
      <c r="R264" s="248"/>
      <c r="S264" s="248"/>
    </row>
    <row r="265" hidden="1">
      <c r="A265" s="256">
        <v>9.0</v>
      </c>
      <c r="B265" s="256">
        <v>6.0</v>
      </c>
      <c r="C265" s="256">
        <v>4.0</v>
      </c>
      <c r="D265" s="257" t="s">
        <v>69</v>
      </c>
      <c r="E265" s="286" t="s">
        <v>5571</v>
      </c>
      <c r="F265" s="286"/>
      <c r="G265" s="248"/>
      <c r="H265" s="247" t="s">
        <v>5273</v>
      </c>
      <c r="I265" s="248"/>
      <c r="J265" s="248"/>
      <c r="K265" s="248"/>
      <c r="L265" s="248"/>
      <c r="M265" s="248"/>
      <c r="N265" s="248"/>
      <c r="O265" s="248"/>
      <c r="P265" s="248"/>
      <c r="Q265" s="248"/>
      <c r="R265" s="248"/>
      <c r="S265" s="248"/>
    </row>
    <row r="266">
      <c r="A266" s="261" t="s">
        <v>5520</v>
      </c>
      <c r="B266" s="256">
        <v>6.0</v>
      </c>
      <c r="C266" s="256">
        <v>5.0</v>
      </c>
      <c r="D266" s="257" t="s">
        <v>5572</v>
      </c>
      <c r="E266" s="286" t="s">
        <v>5573</v>
      </c>
      <c r="F266" s="287"/>
      <c r="G266" s="247" t="s">
        <v>5273</v>
      </c>
      <c r="H266" s="247" t="s">
        <v>5273</v>
      </c>
      <c r="I266" s="248"/>
      <c r="J266" s="248"/>
      <c r="K266" s="248"/>
      <c r="L266" s="248"/>
      <c r="M266" s="248"/>
      <c r="N266" s="248"/>
      <c r="O266" s="248"/>
      <c r="P266" s="248"/>
      <c r="Q266" s="248"/>
      <c r="R266" s="248"/>
      <c r="S266" s="248"/>
    </row>
    <row r="267">
      <c r="A267" s="261" t="s">
        <v>5520</v>
      </c>
      <c r="B267" s="256">
        <v>6.0</v>
      </c>
      <c r="C267" s="256">
        <v>6.0</v>
      </c>
      <c r="D267" s="257" t="s">
        <v>5574</v>
      </c>
      <c r="E267" s="305" t="s">
        <v>5575</v>
      </c>
      <c r="F267" s="306"/>
      <c r="G267" s="247" t="s">
        <v>5576</v>
      </c>
      <c r="H267" s="247" t="s">
        <v>5273</v>
      </c>
      <c r="I267" s="248"/>
      <c r="J267" s="248"/>
      <c r="K267" s="248"/>
      <c r="L267" s="248"/>
      <c r="M267" s="248"/>
      <c r="N267" s="248"/>
      <c r="O267" s="248"/>
      <c r="P267" s="248"/>
      <c r="Q267" s="248"/>
      <c r="R267" s="248"/>
      <c r="S267" s="248"/>
    </row>
    <row r="268" hidden="1">
      <c r="A268" s="256">
        <v>9.0</v>
      </c>
      <c r="B268" s="256">
        <v>6.0</v>
      </c>
      <c r="C268" s="256">
        <v>7.0</v>
      </c>
      <c r="D268" s="257" t="s">
        <v>5357</v>
      </c>
      <c r="E268" s="286" t="s">
        <v>5577</v>
      </c>
      <c r="F268" s="286"/>
      <c r="G268" s="248"/>
      <c r="H268" s="247" t="s">
        <v>5273</v>
      </c>
      <c r="I268" s="248"/>
      <c r="J268" s="248"/>
      <c r="K268" s="248"/>
      <c r="L268" s="248"/>
      <c r="M268" s="248"/>
      <c r="N268" s="248"/>
      <c r="O268" s="248"/>
      <c r="P268" s="248"/>
      <c r="Q268" s="248"/>
      <c r="R268" s="248"/>
      <c r="S268" s="248"/>
    </row>
    <row r="269" hidden="1">
      <c r="A269" s="297">
        <v>9.0</v>
      </c>
      <c r="B269" s="297">
        <v>6.0</v>
      </c>
      <c r="C269" s="297">
        <v>8.0</v>
      </c>
      <c r="D269" s="298"/>
      <c r="E269" s="274" t="s">
        <v>5290</v>
      </c>
      <c r="F269" s="274"/>
      <c r="G269" s="298"/>
      <c r="H269" s="298"/>
      <c r="I269" s="298"/>
      <c r="J269" s="298"/>
      <c r="K269" s="298"/>
      <c r="L269" s="298"/>
      <c r="M269" s="298"/>
      <c r="N269" s="298"/>
      <c r="O269" s="298"/>
      <c r="P269" s="298"/>
      <c r="Q269" s="298"/>
      <c r="R269" s="298"/>
      <c r="S269" s="298"/>
    </row>
    <row r="270" hidden="1">
      <c r="A270" s="256">
        <v>9.0</v>
      </c>
      <c r="B270" s="256">
        <v>7.0</v>
      </c>
      <c r="C270" s="256">
        <v>0.0</v>
      </c>
      <c r="D270" s="257" t="s">
        <v>69</v>
      </c>
      <c r="E270" s="286" t="s">
        <v>5578</v>
      </c>
      <c r="F270" s="286"/>
      <c r="G270" s="248"/>
      <c r="H270" s="247" t="s">
        <v>5273</v>
      </c>
      <c r="I270" s="248"/>
      <c r="J270" s="248"/>
      <c r="K270" s="248"/>
      <c r="L270" s="248"/>
      <c r="M270" s="248"/>
      <c r="N270" s="248"/>
      <c r="O270" s="248"/>
      <c r="P270" s="248"/>
      <c r="Q270" s="248"/>
      <c r="R270" s="248"/>
      <c r="S270" s="248"/>
    </row>
    <row r="271" hidden="1">
      <c r="A271" s="256">
        <v>9.0</v>
      </c>
      <c r="B271" s="256">
        <v>7.0</v>
      </c>
      <c r="C271" s="256">
        <v>1.0</v>
      </c>
      <c r="D271" s="257" t="s">
        <v>69</v>
      </c>
      <c r="E271" s="286" t="s">
        <v>5579</v>
      </c>
      <c r="F271" s="286"/>
      <c r="G271" s="248"/>
      <c r="H271" s="247" t="s">
        <v>5273</v>
      </c>
      <c r="I271" s="248"/>
      <c r="J271" s="248"/>
      <c r="K271" s="248"/>
      <c r="L271" s="248"/>
      <c r="M271" s="248"/>
      <c r="N271" s="248"/>
      <c r="O271" s="248"/>
      <c r="P271" s="248"/>
      <c r="Q271" s="248"/>
      <c r="R271" s="248"/>
      <c r="S271" s="248"/>
    </row>
    <row r="272" hidden="1">
      <c r="A272" s="256">
        <v>9.0</v>
      </c>
      <c r="B272" s="256">
        <v>7.0</v>
      </c>
      <c r="C272" s="256">
        <v>2.0</v>
      </c>
      <c r="D272" s="257" t="s">
        <v>69</v>
      </c>
      <c r="E272" s="286" t="s">
        <v>5580</v>
      </c>
      <c r="F272" s="286"/>
      <c r="G272" s="248"/>
      <c r="H272" s="247" t="s">
        <v>5273</v>
      </c>
      <c r="I272" s="248"/>
      <c r="J272" s="248"/>
      <c r="K272" s="248"/>
      <c r="L272" s="248"/>
      <c r="M272" s="248"/>
      <c r="N272" s="248"/>
      <c r="O272" s="248"/>
      <c r="P272" s="248"/>
      <c r="Q272" s="248"/>
      <c r="R272" s="248"/>
      <c r="S272" s="248"/>
    </row>
    <row r="273" hidden="1">
      <c r="A273" s="256">
        <v>9.0</v>
      </c>
      <c r="B273" s="256">
        <v>7.0</v>
      </c>
      <c r="C273" s="256">
        <v>3.0</v>
      </c>
      <c r="D273" s="257" t="s">
        <v>69</v>
      </c>
      <c r="E273" s="286" t="s">
        <v>5581</v>
      </c>
      <c r="F273" s="286"/>
      <c r="G273" s="248"/>
      <c r="H273" s="247" t="s">
        <v>5273</v>
      </c>
      <c r="I273" s="248"/>
      <c r="J273" s="248"/>
      <c r="K273" s="248"/>
      <c r="L273" s="248"/>
      <c r="M273" s="248"/>
      <c r="N273" s="248"/>
      <c r="O273" s="248"/>
      <c r="P273" s="248"/>
      <c r="Q273" s="248"/>
      <c r="R273" s="248"/>
      <c r="S273" s="248"/>
    </row>
    <row r="274" hidden="1">
      <c r="A274" s="256">
        <v>9.0</v>
      </c>
      <c r="B274" s="256">
        <v>7.0</v>
      </c>
      <c r="C274" s="256">
        <v>4.0</v>
      </c>
      <c r="D274" s="257" t="s">
        <v>69</v>
      </c>
      <c r="E274" s="286" t="s">
        <v>5582</v>
      </c>
      <c r="F274" s="286"/>
      <c r="G274" s="248"/>
      <c r="H274" s="247" t="s">
        <v>5273</v>
      </c>
      <c r="I274" s="248"/>
      <c r="J274" s="248"/>
      <c r="K274" s="248"/>
      <c r="L274" s="248"/>
      <c r="M274" s="248"/>
      <c r="N274" s="248"/>
      <c r="O274" s="248"/>
      <c r="P274" s="248"/>
      <c r="Q274" s="248"/>
      <c r="R274" s="248"/>
      <c r="S274" s="248"/>
    </row>
    <row r="275">
      <c r="A275" s="261" t="s">
        <v>5520</v>
      </c>
      <c r="B275" s="256">
        <v>7.0</v>
      </c>
      <c r="C275" s="256">
        <v>5.0</v>
      </c>
      <c r="D275" s="302" t="s">
        <v>5583</v>
      </c>
      <c r="E275" s="286" t="s">
        <v>5584</v>
      </c>
      <c r="F275" s="287"/>
      <c r="G275" s="247" t="s">
        <v>5273</v>
      </c>
      <c r="H275" s="247" t="s">
        <v>5273</v>
      </c>
      <c r="I275" s="248"/>
      <c r="J275" s="248"/>
      <c r="K275" s="248"/>
      <c r="L275" s="248"/>
      <c r="M275" s="248"/>
      <c r="N275" s="248"/>
      <c r="O275" s="248"/>
      <c r="P275" s="248"/>
      <c r="Q275" s="248"/>
      <c r="R275" s="248"/>
      <c r="S275" s="248"/>
    </row>
    <row r="276">
      <c r="A276" s="261" t="s">
        <v>5520</v>
      </c>
      <c r="B276" s="256">
        <v>7.0</v>
      </c>
      <c r="C276" s="256">
        <v>6.0</v>
      </c>
      <c r="D276" s="257" t="s">
        <v>5585</v>
      </c>
      <c r="E276" s="286" t="s">
        <v>5586</v>
      </c>
      <c r="F276" s="287"/>
      <c r="G276" s="247" t="s">
        <v>5273</v>
      </c>
      <c r="H276" s="247" t="s">
        <v>5273</v>
      </c>
      <c r="I276" s="248"/>
      <c r="J276" s="248"/>
      <c r="K276" s="248"/>
      <c r="L276" s="248"/>
      <c r="M276" s="248"/>
      <c r="N276" s="248"/>
      <c r="O276" s="248"/>
      <c r="P276" s="248"/>
      <c r="Q276" s="248"/>
      <c r="R276" s="248"/>
      <c r="S276" s="248"/>
    </row>
    <row r="277" hidden="1">
      <c r="A277" s="256">
        <v>9.0</v>
      </c>
      <c r="B277" s="256">
        <v>7.0</v>
      </c>
      <c r="C277" s="256">
        <v>7.0</v>
      </c>
      <c r="D277" s="257" t="s">
        <v>69</v>
      </c>
      <c r="E277" s="286" t="s">
        <v>5587</v>
      </c>
      <c r="F277" s="286"/>
      <c r="G277" s="248"/>
      <c r="H277" s="247" t="s">
        <v>5273</v>
      </c>
      <c r="I277" s="248"/>
      <c r="J277" s="248"/>
      <c r="K277" s="248"/>
      <c r="L277" s="248"/>
      <c r="M277" s="248"/>
      <c r="N277" s="248"/>
      <c r="O277" s="248"/>
      <c r="P277" s="248"/>
      <c r="Q277" s="248"/>
      <c r="R277" s="248"/>
      <c r="S277" s="248"/>
    </row>
    <row r="278" hidden="1">
      <c r="A278" s="297">
        <v>9.0</v>
      </c>
      <c r="B278" s="297">
        <v>7.0</v>
      </c>
      <c r="C278" s="297">
        <v>8.0</v>
      </c>
      <c r="D278" s="298"/>
      <c r="E278" s="299" t="s">
        <v>5290</v>
      </c>
      <c r="F278" s="299"/>
      <c r="G278" s="298"/>
      <c r="H278" s="298"/>
      <c r="I278" s="298"/>
      <c r="J278" s="298"/>
      <c r="K278" s="298"/>
      <c r="L278" s="298"/>
      <c r="M278" s="298"/>
      <c r="N278" s="298"/>
      <c r="O278" s="298"/>
      <c r="P278" s="298"/>
      <c r="Q278" s="298"/>
      <c r="R278" s="298"/>
      <c r="S278" s="298"/>
    </row>
    <row r="279" hidden="1">
      <c r="A279" s="256">
        <v>10.0</v>
      </c>
      <c r="B279" s="256">
        <v>1.0</v>
      </c>
      <c r="C279" s="256">
        <v>0.0</v>
      </c>
      <c r="D279" s="257" t="s">
        <v>5373</v>
      </c>
      <c r="E279" s="258" t="s">
        <v>5588</v>
      </c>
      <c r="F279" s="258"/>
      <c r="G279" s="248"/>
      <c r="H279" s="247" t="s">
        <v>5273</v>
      </c>
      <c r="I279" s="248"/>
      <c r="J279" s="248"/>
      <c r="K279" s="248"/>
      <c r="L279" s="248"/>
      <c r="M279" s="248"/>
      <c r="N279" s="248"/>
      <c r="O279" s="248"/>
      <c r="P279" s="248"/>
      <c r="Q279" s="248"/>
      <c r="R279" s="248"/>
      <c r="S279" s="248"/>
    </row>
    <row r="280" hidden="1">
      <c r="A280" s="256">
        <v>10.0</v>
      </c>
      <c r="B280" s="256">
        <v>1.0</v>
      </c>
      <c r="C280" s="256">
        <v>1.0</v>
      </c>
      <c r="D280" s="257" t="s">
        <v>5589</v>
      </c>
      <c r="E280" s="258" t="s">
        <v>5590</v>
      </c>
      <c r="F280" s="258"/>
      <c r="G280" s="248"/>
      <c r="H280" s="247" t="s">
        <v>5273</v>
      </c>
      <c r="I280" s="248"/>
      <c r="J280" s="248"/>
      <c r="K280" s="248"/>
      <c r="L280" s="248"/>
      <c r="M280" s="248"/>
      <c r="N280" s="248"/>
      <c r="O280" s="248"/>
      <c r="P280" s="248"/>
      <c r="Q280" s="248"/>
      <c r="R280" s="248"/>
      <c r="S280" s="248"/>
    </row>
    <row r="281" hidden="1">
      <c r="A281" s="256">
        <v>10.0</v>
      </c>
      <c r="B281" s="256">
        <v>1.0</v>
      </c>
      <c r="C281" s="256">
        <v>1.0</v>
      </c>
      <c r="D281" s="257" t="s">
        <v>1389</v>
      </c>
      <c r="E281" s="258" t="s">
        <v>5591</v>
      </c>
      <c r="F281" s="258"/>
      <c r="G281" s="248"/>
      <c r="H281" s="247" t="s">
        <v>5273</v>
      </c>
      <c r="I281" s="248"/>
      <c r="J281" s="248"/>
      <c r="K281" s="248"/>
      <c r="L281" s="248"/>
      <c r="M281" s="248"/>
      <c r="N281" s="248"/>
      <c r="O281" s="248"/>
      <c r="P281" s="248"/>
      <c r="Q281" s="248"/>
      <c r="R281" s="248"/>
      <c r="S281" s="248"/>
    </row>
    <row r="282" hidden="1">
      <c r="A282" s="256">
        <v>10.0</v>
      </c>
      <c r="B282" s="256">
        <v>1.0</v>
      </c>
      <c r="C282" s="256">
        <v>2.0</v>
      </c>
      <c r="D282" s="270"/>
      <c r="E282" s="258" t="s">
        <v>5592</v>
      </c>
      <c r="F282" s="258"/>
      <c r="G282" s="248"/>
      <c r="H282" s="247" t="s">
        <v>5273</v>
      </c>
      <c r="I282" s="248"/>
      <c r="J282" s="248"/>
      <c r="K282" s="248"/>
      <c r="L282" s="248"/>
      <c r="M282" s="248"/>
      <c r="N282" s="248"/>
      <c r="O282" s="248"/>
      <c r="P282" s="248"/>
      <c r="Q282" s="248"/>
      <c r="R282" s="248"/>
      <c r="S282" s="248"/>
    </row>
    <row r="283" hidden="1">
      <c r="A283" s="256">
        <v>10.0</v>
      </c>
      <c r="B283" s="256">
        <v>1.0</v>
      </c>
      <c r="C283" s="256">
        <v>2.0</v>
      </c>
      <c r="D283" s="257" t="s">
        <v>69</v>
      </c>
      <c r="E283" s="258" t="s">
        <v>5593</v>
      </c>
      <c r="F283" s="258"/>
      <c r="G283" s="248"/>
      <c r="H283" s="247" t="s">
        <v>5273</v>
      </c>
      <c r="I283" s="248"/>
      <c r="J283" s="248"/>
      <c r="K283" s="248"/>
      <c r="L283" s="248"/>
      <c r="M283" s="248"/>
      <c r="N283" s="248"/>
      <c r="O283" s="248"/>
      <c r="P283" s="248"/>
      <c r="Q283" s="248"/>
      <c r="R283" s="248"/>
      <c r="S283" s="248"/>
    </row>
    <row r="284" hidden="1">
      <c r="A284" s="256">
        <v>10.0</v>
      </c>
      <c r="B284" s="256">
        <v>1.0</v>
      </c>
      <c r="C284" s="256">
        <v>3.0</v>
      </c>
      <c r="D284" s="257" t="s">
        <v>5357</v>
      </c>
      <c r="E284" s="258" t="s">
        <v>5594</v>
      </c>
      <c r="F284" s="258"/>
      <c r="G284" s="248"/>
      <c r="H284" s="247" t="s">
        <v>5273</v>
      </c>
      <c r="I284" s="248"/>
      <c r="J284" s="248"/>
      <c r="K284" s="248"/>
      <c r="L284" s="248"/>
      <c r="M284" s="248"/>
      <c r="N284" s="248"/>
      <c r="O284" s="248"/>
      <c r="P284" s="248"/>
      <c r="Q284" s="248"/>
      <c r="R284" s="248"/>
      <c r="S284" s="248"/>
    </row>
    <row r="285" hidden="1">
      <c r="A285" s="256">
        <v>10.0</v>
      </c>
      <c r="B285" s="256">
        <v>1.0</v>
      </c>
      <c r="C285" s="256">
        <v>3.0</v>
      </c>
      <c r="D285" s="257" t="s">
        <v>5364</v>
      </c>
      <c r="E285" s="258" t="s">
        <v>5595</v>
      </c>
      <c r="F285" s="258"/>
      <c r="G285" s="248"/>
      <c r="H285" s="247" t="s">
        <v>5273</v>
      </c>
      <c r="I285" s="248"/>
      <c r="J285" s="248"/>
      <c r="K285" s="248"/>
      <c r="L285" s="248"/>
      <c r="M285" s="248"/>
      <c r="N285" s="248"/>
      <c r="O285" s="248"/>
      <c r="P285" s="248"/>
      <c r="Q285" s="248"/>
      <c r="R285" s="248"/>
      <c r="S285" s="248"/>
    </row>
    <row r="286" hidden="1">
      <c r="A286" s="256">
        <v>10.0</v>
      </c>
      <c r="B286" s="256">
        <v>1.0</v>
      </c>
      <c r="C286" s="256">
        <v>3.0</v>
      </c>
      <c r="D286" s="257" t="s">
        <v>1389</v>
      </c>
      <c r="E286" s="258" t="s">
        <v>5596</v>
      </c>
      <c r="F286" s="258"/>
      <c r="G286" s="248"/>
      <c r="H286" s="247" t="s">
        <v>5273</v>
      </c>
      <c r="I286" s="248"/>
      <c r="J286" s="248"/>
      <c r="K286" s="248"/>
      <c r="L286" s="248"/>
      <c r="M286" s="248"/>
      <c r="N286" s="248"/>
      <c r="O286" s="248"/>
      <c r="P286" s="248"/>
      <c r="Q286" s="248"/>
      <c r="R286" s="248"/>
      <c r="S286" s="248"/>
    </row>
    <row r="287" hidden="1">
      <c r="A287" s="256">
        <v>10.0</v>
      </c>
      <c r="B287" s="256">
        <v>1.0</v>
      </c>
      <c r="C287" s="256">
        <v>4.0</v>
      </c>
      <c r="D287" s="257" t="s">
        <v>69</v>
      </c>
      <c r="E287" s="258" t="s">
        <v>5597</v>
      </c>
      <c r="F287" s="258"/>
      <c r="G287" s="248"/>
      <c r="H287" s="247" t="s">
        <v>5273</v>
      </c>
      <c r="I287" s="248"/>
      <c r="J287" s="248"/>
      <c r="K287" s="248"/>
      <c r="L287" s="248"/>
      <c r="M287" s="248"/>
      <c r="N287" s="248"/>
      <c r="O287" s="248"/>
      <c r="P287" s="248"/>
      <c r="Q287" s="248"/>
      <c r="R287" s="248"/>
      <c r="S287" s="248"/>
    </row>
    <row r="288">
      <c r="A288" s="261" t="s">
        <v>5598</v>
      </c>
      <c r="B288" s="256">
        <v>1.0</v>
      </c>
      <c r="C288" s="256">
        <v>5.0</v>
      </c>
      <c r="D288" s="257" t="s">
        <v>5599</v>
      </c>
      <c r="E288" s="258" t="s">
        <v>5600</v>
      </c>
      <c r="F288" s="247"/>
      <c r="G288" s="248"/>
      <c r="H288" s="247" t="s">
        <v>5273</v>
      </c>
      <c r="I288" s="248"/>
      <c r="J288" s="248"/>
      <c r="K288" s="248"/>
      <c r="L288" s="248"/>
      <c r="M288" s="248"/>
      <c r="N288" s="248"/>
      <c r="O288" s="248"/>
      <c r="P288" s="248"/>
      <c r="Q288" s="248"/>
      <c r="R288" s="248"/>
      <c r="S288" s="248"/>
    </row>
    <row r="289">
      <c r="A289" s="261" t="s">
        <v>5598</v>
      </c>
      <c r="B289" s="256">
        <v>1.0</v>
      </c>
      <c r="C289" s="256">
        <v>6.0</v>
      </c>
      <c r="D289" s="257" t="s">
        <v>5601</v>
      </c>
      <c r="E289" s="258" t="s">
        <v>5602</v>
      </c>
      <c r="F289" s="247"/>
      <c r="G289" s="248"/>
      <c r="H289" s="247" t="s">
        <v>5273</v>
      </c>
      <c r="I289" s="248"/>
      <c r="J289" s="248"/>
      <c r="K289" s="248"/>
      <c r="L289" s="248"/>
      <c r="M289" s="248"/>
      <c r="N289" s="248"/>
      <c r="O289" s="248"/>
      <c r="P289" s="248"/>
      <c r="Q289" s="248"/>
      <c r="R289" s="248"/>
      <c r="S289" s="248"/>
    </row>
    <row r="290" hidden="1">
      <c r="A290" s="256">
        <v>10.0</v>
      </c>
      <c r="B290" s="256">
        <v>1.0</v>
      </c>
      <c r="C290" s="256">
        <v>7.0</v>
      </c>
      <c r="D290" s="257" t="s">
        <v>69</v>
      </c>
      <c r="E290" s="258" t="s">
        <v>5603</v>
      </c>
      <c r="F290" s="258"/>
      <c r="G290" s="248"/>
      <c r="H290" s="247" t="s">
        <v>5604</v>
      </c>
      <c r="I290" s="247" t="s">
        <v>5605</v>
      </c>
      <c r="J290" s="248"/>
      <c r="K290" s="248"/>
      <c r="L290" s="248"/>
      <c r="M290" s="248"/>
      <c r="N290" s="248"/>
      <c r="O290" s="248"/>
      <c r="P290" s="248"/>
      <c r="Q290" s="248"/>
      <c r="R290" s="248"/>
      <c r="S290" s="248"/>
    </row>
    <row r="291" hidden="1">
      <c r="A291" s="267">
        <v>10.0</v>
      </c>
      <c r="B291" s="267">
        <v>1.0</v>
      </c>
      <c r="C291" s="267">
        <v>8.0</v>
      </c>
      <c r="D291" s="268" t="s">
        <v>5290</v>
      </c>
      <c r="E291" s="268" t="s">
        <v>5290</v>
      </c>
      <c r="F291" s="268"/>
      <c r="G291" s="269"/>
      <c r="H291" s="269"/>
      <c r="I291" s="269"/>
      <c r="J291" s="269"/>
      <c r="K291" s="269"/>
      <c r="L291" s="269"/>
      <c r="M291" s="269"/>
      <c r="N291" s="269"/>
      <c r="O291" s="269"/>
      <c r="P291" s="269"/>
      <c r="Q291" s="269"/>
      <c r="R291" s="269"/>
      <c r="S291" s="269"/>
    </row>
    <row r="292" hidden="1">
      <c r="A292" s="256">
        <v>10.0</v>
      </c>
      <c r="B292" s="256">
        <v>2.0</v>
      </c>
      <c r="C292" s="256">
        <v>0.0</v>
      </c>
      <c r="D292" s="257" t="s">
        <v>5322</v>
      </c>
      <c r="E292" s="258" t="s">
        <v>5606</v>
      </c>
      <c r="F292" s="258"/>
      <c r="G292" s="248"/>
      <c r="H292" s="247" t="s">
        <v>5273</v>
      </c>
      <c r="I292" s="248"/>
      <c r="J292" s="248"/>
      <c r="K292" s="248"/>
      <c r="L292" s="248"/>
      <c r="M292" s="248"/>
      <c r="N292" s="248"/>
      <c r="O292" s="248"/>
      <c r="P292" s="248"/>
      <c r="Q292" s="248"/>
      <c r="R292" s="248"/>
      <c r="S292" s="248"/>
    </row>
    <row r="293" hidden="1">
      <c r="A293" s="256">
        <v>10.0</v>
      </c>
      <c r="B293" s="256">
        <v>2.0</v>
      </c>
      <c r="C293" s="256">
        <v>1.0</v>
      </c>
      <c r="D293" s="257" t="s">
        <v>5322</v>
      </c>
      <c r="E293" s="283" t="s">
        <v>5607</v>
      </c>
      <c r="F293" s="283"/>
      <c r="G293" s="248"/>
      <c r="H293" s="247" t="s">
        <v>5273</v>
      </c>
      <c r="I293" s="248"/>
      <c r="J293" s="248"/>
      <c r="K293" s="248"/>
      <c r="L293" s="248"/>
      <c r="M293" s="248"/>
      <c r="N293" s="248"/>
      <c r="O293" s="248"/>
      <c r="P293" s="248"/>
      <c r="Q293" s="248"/>
      <c r="R293" s="248"/>
      <c r="S293" s="248"/>
    </row>
    <row r="294" hidden="1">
      <c r="A294" s="256">
        <v>10.0</v>
      </c>
      <c r="B294" s="256">
        <v>2.0</v>
      </c>
      <c r="C294" s="256">
        <v>2.0</v>
      </c>
      <c r="D294" s="257" t="s">
        <v>69</v>
      </c>
      <c r="E294" s="258" t="s">
        <v>5608</v>
      </c>
      <c r="F294" s="258"/>
      <c r="G294" s="248"/>
      <c r="H294" s="247" t="s">
        <v>5273</v>
      </c>
      <c r="I294" s="248"/>
      <c r="J294" s="248"/>
      <c r="K294" s="248"/>
      <c r="L294" s="248"/>
      <c r="M294" s="248"/>
      <c r="N294" s="248"/>
      <c r="O294" s="248"/>
      <c r="P294" s="248"/>
      <c r="Q294" s="248"/>
      <c r="R294" s="248"/>
      <c r="S294" s="248"/>
    </row>
    <row r="295" hidden="1">
      <c r="A295" s="256">
        <v>10.0</v>
      </c>
      <c r="B295" s="256">
        <v>2.0</v>
      </c>
      <c r="C295" s="256">
        <v>3.0</v>
      </c>
      <c r="D295" s="257" t="s">
        <v>69</v>
      </c>
      <c r="E295" s="258" t="s">
        <v>5609</v>
      </c>
      <c r="F295" s="258"/>
      <c r="G295" s="248"/>
      <c r="H295" s="247" t="s">
        <v>5273</v>
      </c>
      <c r="I295" s="248"/>
      <c r="J295" s="248"/>
      <c r="K295" s="248"/>
      <c r="L295" s="248"/>
      <c r="M295" s="248"/>
      <c r="N295" s="248"/>
      <c r="O295" s="248"/>
      <c r="P295" s="248"/>
      <c r="Q295" s="248"/>
      <c r="R295" s="248"/>
      <c r="S295" s="248"/>
    </row>
    <row r="296">
      <c r="A296" s="261">
        <v>10.0</v>
      </c>
      <c r="B296" s="256">
        <v>2.0</v>
      </c>
      <c r="C296" s="256">
        <v>4.0</v>
      </c>
      <c r="D296" s="257" t="s">
        <v>69</v>
      </c>
      <c r="E296" s="258" t="s">
        <v>5610</v>
      </c>
      <c r="F296" s="247"/>
      <c r="G296" s="248"/>
      <c r="H296" s="247" t="s">
        <v>5273</v>
      </c>
      <c r="I296" s="248"/>
      <c r="J296" s="248"/>
      <c r="K296" s="248"/>
      <c r="L296" s="248"/>
      <c r="M296" s="248"/>
      <c r="N296" s="248"/>
      <c r="O296" s="248"/>
      <c r="P296" s="248"/>
      <c r="Q296" s="248"/>
      <c r="R296" s="248"/>
      <c r="S296" s="248"/>
    </row>
    <row r="297">
      <c r="A297" s="261" t="s">
        <v>5598</v>
      </c>
      <c r="B297" s="256">
        <v>2.0</v>
      </c>
      <c r="C297" s="256">
        <v>5.0</v>
      </c>
      <c r="D297" s="257" t="s">
        <v>5611</v>
      </c>
      <c r="E297" s="258" t="s">
        <v>5612</v>
      </c>
      <c r="F297" s="247"/>
      <c r="G297" s="248"/>
      <c r="H297" s="247" t="s">
        <v>5273</v>
      </c>
      <c r="I297" s="248"/>
      <c r="J297" s="248"/>
      <c r="K297" s="248"/>
      <c r="L297" s="248"/>
      <c r="M297" s="248"/>
      <c r="N297" s="248"/>
      <c r="O297" s="248"/>
      <c r="P297" s="248"/>
      <c r="Q297" s="248"/>
      <c r="R297" s="248"/>
      <c r="S297" s="248"/>
    </row>
    <row r="298">
      <c r="A298" s="261" t="s">
        <v>5598</v>
      </c>
      <c r="B298" s="256">
        <v>2.0</v>
      </c>
      <c r="C298" s="256">
        <v>6.0</v>
      </c>
      <c r="D298" s="257" t="s">
        <v>5601</v>
      </c>
      <c r="E298" s="258" t="s">
        <v>5613</v>
      </c>
      <c r="F298" s="247"/>
      <c r="G298" s="248"/>
      <c r="H298" s="247" t="s">
        <v>5273</v>
      </c>
      <c r="I298" s="248"/>
      <c r="J298" s="248"/>
      <c r="K298" s="248"/>
      <c r="L298" s="248"/>
      <c r="M298" s="248"/>
      <c r="N298" s="248"/>
      <c r="O298" s="248"/>
      <c r="P298" s="248"/>
      <c r="Q298" s="248"/>
      <c r="R298" s="248"/>
      <c r="S298" s="248"/>
    </row>
    <row r="299">
      <c r="A299" s="261" t="s">
        <v>5598</v>
      </c>
      <c r="B299" s="256">
        <v>2.0</v>
      </c>
      <c r="C299" s="256">
        <v>7.0</v>
      </c>
      <c r="D299" s="257" t="s">
        <v>5291</v>
      </c>
      <c r="E299" s="258" t="s">
        <v>5614</v>
      </c>
      <c r="F299" s="247"/>
      <c r="G299" s="248"/>
      <c r="H299" s="247" t="s">
        <v>5604</v>
      </c>
      <c r="I299" s="248"/>
      <c r="J299" s="248"/>
      <c r="K299" s="248"/>
      <c r="L299" s="248"/>
      <c r="M299" s="248"/>
      <c r="N299" s="248"/>
      <c r="O299" s="248"/>
      <c r="P299" s="248"/>
      <c r="Q299" s="248"/>
      <c r="R299" s="248"/>
      <c r="S299" s="248"/>
    </row>
    <row r="300" hidden="1">
      <c r="A300" s="267">
        <v>10.0</v>
      </c>
      <c r="B300" s="267">
        <v>2.0</v>
      </c>
      <c r="C300" s="267">
        <v>8.0</v>
      </c>
      <c r="D300" s="268" t="s">
        <v>5290</v>
      </c>
      <c r="E300" s="274" t="s">
        <v>5290</v>
      </c>
      <c r="F300" s="274"/>
      <c r="G300" s="269"/>
      <c r="H300" s="269"/>
      <c r="I300" s="269"/>
      <c r="J300" s="269"/>
      <c r="K300" s="269"/>
      <c r="L300" s="269"/>
      <c r="M300" s="269"/>
      <c r="N300" s="269"/>
      <c r="O300" s="269"/>
      <c r="P300" s="269"/>
      <c r="Q300" s="269"/>
      <c r="R300" s="269"/>
      <c r="S300" s="269"/>
    </row>
    <row r="301" hidden="1">
      <c r="A301" s="256">
        <v>10.0</v>
      </c>
      <c r="B301" s="256">
        <v>3.0</v>
      </c>
      <c r="C301" s="256">
        <v>0.0</v>
      </c>
      <c r="D301" s="257" t="s">
        <v>5291</v>
      </c>
      <c r="E301" s="258" t="s">
        <v>5615</v>
      </c>
      <c r="F301" s="258"/>
      <c r="G301" s="248"/>
      <c r="H301" s="247" t="s">
        <v>5604</v>
      </c>
      <c r="I301" s="248"/>
      <c r="J301" s="248"/>
      <c r="K301" s="248"/>
      <c r="L301" s="248"/>
      <c r="M301" s="248"/>
      <c r="N301" s="248"/>
      <c r="O301" s="248"/>
      <c r="P301" s="248"/>
      <c r="Q301" s="248"/>
      <c r="R301" s="248"/>
      <c r="S301" s="248"/>
    </row>
    <row r="302" hidden="1">
      <c r="A302" s="256">
        <v>10.0</v>
      </c>
      <c r="B302" s="256">
        <v>3.0</v>
      </c>
      <c r="C302" s="256">
        <v>1.0</v>
      </c>
      <c r="D302" s="257" t="s">
        <v>69</v>
      </c>
      <c r="E302" s="258" t="s">
        <v>5616</v>
      </c>
      <c r="F302" s="258"/>
      <c r="G302" s="248"/>
      <c r="H302" s="247" t="s">
        <v>5604</v>
      </c>
      <c r="I302" s="248"/>
      <c r="J302" s="248"/>
      <c r="K302" s="248"/>
      <c r="L302" s="248"/>
      <c r="M302" s="248"/>
      <c r="N302" s="248"/>
      <c r="O302" s="248"/>
      <c r="P302" s="248"/>
      <c r="Q302" s="248"/>
      <c r="R302" s="248"/>
      <c r="S302" s="248"/>
    </row>
    <row r="303" hidden="1">
      <c r="A303" s="256">
        <v>10.0</v>
      </c>
      <c r="B303" s="256">
        <v>3.0</v>
      </c>
      <c r="C303" s="256">
        <v>2.0</v>
      </c>
      <c r="D303" s="270"/>
      <c r="E303" s="258" t="s">
        <v>5617</v>
      </c>
      <c r="F303" s="258"/>
      <c r="G303" s="248"/>
      <c r="H303" s="247" t="s">
        <v>5273</v>
      </c>
      <c r="I303" s="248"/>
      <c r="J303" s="248"/>
      <c r="K303" s="248"/>
      <c r="L303" s="248"/>
      <c r="M303" s="248"/>
      <c r="N303" s="248"/>
      <c r="O303" s="248"/>
      <c r="P303" s="248"/>
      <c r="Q303" s="248"/>
      <c r="R303" s="248"/>
      <c r="S303" s="248"/>
    </row>
    <row r="304" hidden="1">
      <c r="A304" s="307">
        <v>10.0</v>
      </c>
      <c r="B304" s="307">
        <v>3.0</v>
      </c>
      <c r="C304" s="307">
        <v>3.0</v>
      </c>
      <c r="D304" s="300" t="s">
        <v>69</v>
      </c>
      <c r="E304" s="303" t="s">
        <v>5618</v>
      </c>
      <c r="F304" s="303"/>
      <c r="G304" s="248"/>
      <c r="H304" s="247" t="s">
        <v>5604</v>
      </c>
      <c r="I304" s="308"/>
      <c r="J304" s="308"/>
      <c r="K304" s="308"/>
      <c r="L304" s="308"/>
      <c r="M304" s="308"/>
      <c r="N304" s="308"/>
      <c r="O304" s="308"/>
      <c r="P304" s="308"/>
      <c r="Q304" s="308"/>
      <c r="R304" s="308"/>
      <c r="S304" s="308"/>
    </row>
    <row r="305" hidden="1">
      <c r="A305" s="256">
        <v>10.0</v>
      </c>
      <c r="B305" s="256">
        <v>3.0</v>
      </c>
      <c r="C305" s="256">
        <v>4.0</v>
      </c>
      <c r="D305" s="300" t="s">
        <v>69</v>
      </c>
      <c r="E305" s="303" t="s">
        <v>5619</v>
      </c>
      <c r="F305" s="303"/>
      <c r="G305" s="248"/>
      <c r="H305" s="247" t="s">
        <v>5604</v>
      </c>
      <c r="I305" s="248"/>
      <c r="J305" s="248"/>
      <c r="K305" s="248"/>
      <c r="L305" s="248"/>
      <c r="M305" s="248"/>
      <c r="N305" s="248"/>
      <c r="O305" s="248"/>
      <c r="P305" s="248"/>
      <c r="Q305" s="248"/>
      <c r="R305" s="248"/>
      <c r="S305" s="248"/>
    </row>
    <row r="306">
      <c r="A306" s="309" t="s">
        <v>5598</v>
      </c>
      <c r="B306" s="307">
        <v>3.0</v>
      </c>
      <c r="C306" s="256">
        <v>5.0</v>
      </c>
      <c r="D306" s="257" t="s">
        <v>5548</v>
      </c>
      <c r="E306" s="258" t="s">
        <v>5620</v>
      </c>
      <c r="F306" s="247"/>
      <c r="G306" s="247" t="s">
        <v>5273</v>
      </c>
      <c r="H306" s="247" t="s">
        <v>5273</v>
      </c>
      <c r="I306" s="248"/>
      <c r="J306" s="248"/>
      <c r="K306" s="248"/>
      <c r="L306" s="248"/>
      <c r="M306" s="248"/>
      <c r="N306" s="248"/>
      <c r="O306" s="248"/>
      <c r="P306" s="248"/>
      <c r="Q306" s="248"/>
      <c r="R306" s="248"/>
      <c r="S306" s="248"/>
    </row>
    <row r="307" hidden="1">
      <c r="A307" s="256">
        <v>10.0</v>
      </c>
      <c r="B307" s="256">
        <v>3.0</v>
      </c>
      <c r="C307" s="256">
        <v>6.0</v>
      </c>
      <c r="D307" s="257" t="s">
        <v>69</v>
      </c>
      <c r="E307" s="286" t="s">
        <v>5621</v>
      </c>
      <c r="F307" s="286"/>
      <c r="G307" s="248"/>
      <c r="H307" s="247" t="s">
        <v>5604</v>
      </c>
      <c r="I307" s="248"/>
      <c r="J307" s="248"/>
      <c r="K307" s="248"/>
      <c r="L307" s="248"/>
      <c r="M307" s="248"/>
      <c r="N307" s="248"/>
      <c r="O307" s="248"/>
      <c r="P307" s="248"/>
      <c r="Q307" s="248"/>
      <c r="R307" s="248"/>
      <c r="S307" s="248"/>
    </row>
    <row r="308" hidden="1">
      <c r="A308" s="307">
        <v>10.0</v>
      </c>
      <c r="B308" s="307">
        <v>3.0</v>
      </c>
      <c r="C308" s="256">
        <v>7.0</v>
      </c>
      <c r="D308" s="257" t="s">
        <v>69</v>
      </c>
      <c r="E308" s="286" t="s">
        <v>5622</v>
      </c>
      <c r="F308" s="286"/>
      <c r="G308" s="248"/>
      <c r="H308" s="247" t="s">
        <v>5604</v>
      </c>
      <c r="I308" s="248"/>
      <c r="J308" s="248"/>
      <c r="K308" s="248"/>
      <c r="L308" s="248"/>
      <c r="M308" s="248"/>
      <c r="N308" s="248"/>
      <c r="O308" s="248"/>
      <c r="P308" s="248"/>
      <c r="Q308" s="248"/>
      <c r="R308" s="248"/>
      <c r="S308" s="248"/>
    </row>
    <row r="309" hidden="1">
      <c r="A309" s="297">
        <v>10.0</v>
      </c>
      <c r="B309" s="297">
        <v>3.0</v>
      </c>
      <c r="C309" s="297">
        <v>8.0</v>
      </c>
      <c r="D309" s="298"/>
      <c r="E309" s="274" t="s">
        <v>5290</v>
      </c>
      <c r="F309" s="274"/>
      <c r="G309" s="298"/>
      <c r="H309" s="298"/>
      <c r="I309" s="298"/>
      <c r="J309" s="298"/>
      <c r="K309" s="298"/>
      <c r="L309" s="298"/>
      <c r="M309" s="298"/>
      <c r="N309" s="298"/>
      <c r="O309" s="298"/>
      <c r="P309" s="298"/>
      <c r="Q309" s="298"/>
      <c r="R309" s="298"/>
      <c r="S309" s="298"/>
    </row>
    <row r="310">
      <c r="A310" s="309" t="s">
        <v>5598</v>
      </c>
      <c r="B310" s="256">
        <v>4.0</v>
      </c>
      <c r="C310" s="256">
        <v>0.0</v>
      </c>
      <c r="D310" s="257" t="s">
        <v>5548</v>
      </c>
      <c r="E310" s="258" t="s">
        <v>5623</v>
      </c>
      <c r="F310" s="247"/>
      <c r="G310" s="247" t="s">
        <v>5273</v>
      </c>
      <c r="H310" s="247" t="s">
        <v>5273</v>
      </c>
      <c r="I310" s="248"/>
      <c r="J310" s="248"/>
      <c r="K310" s="248"/>
      <c r="L310" s="248"/>
      <c r="M310" s="248"/>
      <c r="N310" s="248"/>
      <c r="O310" s="248"/>
      <c r="P310" s="248"/>
      <c r="Q310" s="248"/>
      <c r="R310" s="248"/>
      <c r="S310" s="248"/>
    </row>
    <row r="311" hidden="1">
      <c r="A311" s="256">
        <v>10.0</v>
      </c>
      <c r="B311" s="256">
        <v>4.0</v>
      </c>
      <c r="C311" s="256">
        <v>1.0</v>
      </c>
      <c r="D311" s="302" t="s">
        <v>69</v>
      </c>
      <c r="E311" s="258" t="s">
        <v>5624</v>
      </c>
      <c r="F311" s="258"/>
      <c r="G311" s="247" t="s">
        <v>5273</v>
      </c>
      <c r="H311" s="247" t="s">
        <v>5273</v>
      </c>
      <c r="I311" s="248"/>
      <c r="J311" s="248"/>
      <c r="K311" s="248"/>
      <c r="L311" s="248"/>
      <c r="M311" s="248"/>
      <c r="N311" s="248"/>
      <c r="O311" s="248"/>
      <c r="P311" s="248"/>
      <c r="Q311" s="248"/>
      <c r="R311" s="248"/>
      <c r="S311" s="248"/>
    </row>
    <row r="312" hidden="1">
      <c r="A312" s="307">
        <v>10.0</v>
      </c>
      <c r="B312" s="256">
        <v>4.0</v>
      </c>
      <c r="C312" s="256">
        <v>2.0</v>
      </c>
      <c r="D312" s="302" t="s">
        <v>5548</v>
      </c>
      <c r="E312" s="284" t="s">
        <v>5625</v>
      </c>
      <c r="F312" s="284"/>
      <c r="G312" s="247" t="s">
        <v>5273</v>
      </c>
      <c r="H312" s="247" t="s">
        <v>5273</v>
      </c>
      <c r="I312" s="248"/>
      <c r="J312" s="248"/>
      <c r="K312" s="248"/>
      <c r="L312" s="248"/>
      <c r="M312" s="248"/>
      <c r="N312" s="248"/>
      <c r="O312" s="248"/>
      <c r="P312" s="248"/>
      <c r="Q312" s="248"/>
      <c r="R312" s="248"/>
      <c r="S312" s="248"/>
    </row>
    <row r="313" hidden="1">
      <c r="A313" s="256">
        <v>10.0</v>
      </c>
      <c r="B313" s="256">
        <v>4.0</v>
      </c>
      <c r="C313" s="256">
        <v>3.0</v>
      </c>
      <c r="D313" s="302" t="s">
        <v>5548</v>
      </c>
      <c r="E313" s="283" t="s">
        <v>5626</v>
      </c>
      <c r="F313" s="283"/>
      <c r="G313" s="247" t="s">
        <v>5273</v>
      </c>
      <c r="H313" s="247" t="s">
        <v>5273</v>
      </c>
      <c r="I313" s="248"/>
      <c r="J313" s="248"/>
      <c r="K313" s="248"/>
      <c r="L313" s="248"/>
      <c r="M313" s="248"/>
      <c r="N313" s="248"/>
      <c r="O313" s="248"/>
      <c r="P313" s="248"/>
      <c r="Q313" s="248"/>
      <c r="R313" s="248"/>
      <c r="S313" s="248"/>
    </row>
    <row r="314">
      <c r="A314" s="307">
        <v>10.0</v>
      </c>
      <c r="B314" s="256">
        <v>4.0</v>
      </c>
      <c r="C314" s="256">
        <v>4.0</v>
      </c>
      <c r="D314" s="302" t="s">
        <v>5548</v>
      </c>
      <c r="E314" s="284" t="s">
        <v>5627</v>
      </c>
      <c r="F314" s="252"/>
      <c r="G314" s="247" t="s">
        <v>5273</v>
      </c>
      <c r="H314" s="247" t="s">
        <v>5273</v>
      </c>
      <c r="I314" s="248"/>
      <c r="J314" s="248"/>
      <c r="K314" s="248"/>
      <c r="L314" s="248"/>
      <c r="M314" s="248"/>
      <c r="N314" s="248"/>
      <c r="O314" s="248"/>
      <c r="P314" s="248"/>
      <c r="Q314" s="248"/>
      <c r="R314" s="248"/>
      <c r="S314" s="248"/>
    </row>
    <row r="315">
      <c r="A315" s="261" t="s">
        <v>5598</v>
      </c>
      <c r="B315" s="256">
        <v>4.0</v>
      </c>
      <c r="C315" s="256">
        <v>5.0</v>
      </c>
      <c r="D315" s="257" t="s">
        <v>5548</v>
      </c>
      <c r="E315" s="286" t="s">
        <v>5628</v>
      </c>
      <c r="F315" s="287"/>
      <c r="G315" s="247" t="s">
        <v>5273</v>
      </c>
      <c r="H315" s="247" t="s">
        <v>5273</v>
      </c>
      <c r="I315" s="248"/>
      <c r="J315" s="248"/>
      <c r="K315" s="248"/>
      <c r="L315" s="248"/>
      <c r="M315" s="248"/>
      <c r="N315" s="248"/>
      <c r="O315" s="248"/>
      <c r="P315" s="248"/>
      <c r="Q315" s="248"/>
      <c r="R315" s="248"/>
      <c r="S315" s="248"/>
    </row>
    <row r="316" hidden="1">
      <c r="A316" s="307">
        <v>10.0</v>
      </c>
      <c r="B316" s="256">
        <v>4.0</v>
      </c>
      <c r="C316" s="256">
        <v>6.0</v>
      </c>
      <c r="D316" s="302" t="s">
        <v>5548</v>
      </c>
      <c r="E316" s="283" t="s">
        <v>5629</v>
      </c>
      <c r="F316" s="283"/>
      <c r="G316" s="247" t="s">
        <v>5273</v>
      </c>
      <c r="H316" s="247" t="s">
        <v>5273</v>
      </c>
      <c r="I316" s="248"/>
      <c r="J316" s="248"/>
      <c r="K316" s="248"/>
      <c r="L316" s="248"/>
      <c r="M316" s="248"/>
      <c r="N316" s="248"/>
      <c r="O316" s="248"/>
      <c r="P316" s="248"/>
      <c r="Q316" s="248"/>
      <c r="R316" s="248"/>
      <c r="S316" s="248"/>
    </row>
    <row r="317" hidden="1">
      <c r="A317" s="256">
        <v>10.0</v>
      </c>
      <c r="B317" s="256">
        <v>4.0</v>
      </c>
      <c r="C317" s="256">
        <v>7.0</v>
      </c>
      <c r="D317" s="302" t="s">
        <v>5548</v>
      </c>
      <c r="E317" s="283" t="s">
        <v>5630</v>
      </c>
      <c r="F317" s="283"/>
      <c r="G317" s="247" t="s">
        <v>5273</v>
      </c>
      <c r="H317" s="247" t="s">
        <v>5273</v>
      </c>
      <c r="I317" s="248"/>
      <c r="J317" s="248"/>
      <c r="K317" s="248"/>
      <c r="L317" s="248"/>
      <c r="M317" s="248"/>
      <c r="N317" s="248"/>
      <c r="O317" s="248"/>
      <c r="P317" s="248"/>
      <c r="Q317" s="248"/>
      <c r="R317" s="248"/>
      <c r="S317" s="248"/>
    </row>
    <row r="318">
      <c r="A318" s="309" t="s">
        <v>5598</v>
      </c>
      <c r="B318" s="256">
        <v>4.0</v>
      </c>
      <c r="C318" s="256">
        <v>8.0</v>
      </c>
      <c r="D318" s="302" t="s">
        <v>5548</v>
      </c>
      <c r="E318" s="258" t="s">
        <v>5631</v>
      </c>
      <c r="F318" s="247"/>
      <c r="G318" s="247" t="s">
        <v>5576</v>
      </c>
      <c r="H318" s="247" t="s">
        <v>5273</v>
      </c>
      <c r="I318" s="248"/>
      <c r="J318" s="248"/>
      <c r="K318" s="248"/>
      <c r="L318" s="248"/>
      <c r="M318" s="248"/>
      <c r="N318" s="248"/>
      <c r="O318" s="248"/>
      <c r="P318" s="248"/>
      <c r="Q318" s="248"/>
      <c r="R318" s="248"/>
      <c r="S318" s="248"/>
    </row>
    <row r="319" hidden="1">
      <c r="A319" s="297">
        <v>10.0</v>
      </c>
      <c r="B319" s="297">
        <v>4.0</v>
      </c>
      <c r="C319" s="297">
        <v>9.0</v>
      </c>
      <c r="D319" s="298"/>
      <c r="E319" s="298"/>
      <c r="F319" s="298"/>
      <c r="G319" s="298"/>
      <c r="H319" s="298"/>
      <c r="I319" s="298"/>
      <c r="J319" s="298"/>
      <c r="K319" s="298"/>
      <c r="L319" s="298"/>
      <c r="M319" s="298"/>
      <c r="N319" s="298"/>
      <c r="O319" s="298"/>
      <c r="P319" s="298"/>
      <c r="Q319" s="298"/>
      <c r="R319" s="298"/>
      <c r="S319" s="298"/>
    </row>
    <row r="320" hidden="1">
      <c r="A320" s="307">
        <v>10.0</v>
      </c>
      <c r="B320" s="256">
        <v>5.0</v>
      </c>
      <c r="C320" s="256">
        <v>0.0</v>
      </c>
      <c r="D320" s="257" t="s">
        <v>69</v>
      </c>
      <c r="E320" s="310" t="s">
        <v>5632</v>
      </c>
      <c r="F320" s="303"/>
      <c r="G320" s="248"/>
      <c r="H320" s="247" t="s">
        <v>5604</v>
      </c>
      <c r="I320" s="248"/>
      <c r="J320" s="248"/>
      <c r="K320" s="248"/>
      <c r="L320" s="248"/>
      <c r="M320" s="248"/>
      <c r="N320" s="248"/>
      <c r="O320" s="248"/>
      <c r="P320" s="248"/>
      <c r="Q320" s="248"/>
      <c r="R320" s="248"/>
      <c r="S320" s="248"/>
    </row>
    <row r="321" hidden="1">
      <c r="A321" s="256">
        <v>10.0</v>
      </c>
      <c r="B321" s="256">
        <v>5.0</v>
      </c>
      <c r="C321" s="256">
        <v>1.0</v>
      </c>
      <c r="D321" s="257" t="s">
        <v>69</v>
      </c>
      <c r="E321" s="286" t="s">
        <v>5633</v>
      </c>
      <c r="F321" s="286"/>
      <c r="G321" s="248"/>
      <c r="H321" s="247" t="s">
        <v>5604</v>
      </c>
      <c r="I321" s="248"/>
      <c r="J321" s="248"/>
      <c r="K321" s="248"/>
      <c r="L321" s="248"/>
      <c r="M321" s="248"/>
      <c r="N321" s="248"/>
      <c r="O321" s="248"/>
      <c r="P321" s="248"/>
      <c r="Q321" s="248"/>
      <c r="R321" s="248"/>
      <c r="S321" s="248"/>
    </row>
    <row r="322" hidden="1">
      <c r="A322" s="307">
        <v>10.0</v>
      </c>
      <c r="B322" s="256">
        <v>5.0</v>
      </c>
      <c r="C322" s="256">
        <v>2.0</v>
      </c>
      <c r="D322" s="257" t="s">
        <v>69</v>
      </c>
      <c r="E322" s="286" t="s">
        <v>5634</v>
      </c>
      <c r="F322" s="286"/>
      <c r="G322" s="248"/>
      <c r="H322" s="247" t="s">
        <v>5604</v>
      </c>
      <c r="I322" s="248"/>
      <c r="J322" s="248"/>
      <c r="K322" s="248"/>
      <c r="L322" s="248"/>
      <c r="M322" s="248"/>
      <c r="N322" s="248"/>
      <c r="O322" s="248"/>
      <c r="P322" s="248"/>
      <c r="Q322" s="248"/>
      <c r="R322" s="248"/>
      <c r="S322" s="248"/>
    </row>
    <row r="323" hidden="1">
      <c r="A323" s="256">
        <v>10.0</v>
      </c>
      <c r="B323" s="256">
        <v>5.0</v>
      </c>
      <c r="C323" s="256">
        <v>3.0</v>
      </c>
      <c r="D323" s="257" t="s">
        <v>69</v>
      </c>
      <c r="E323" s="286" t="s">
        <v>5635</v>
      </c>
      <c r="F323" s="286"/>
      <c r="G323" s="248"/>
      <c r="H323" s="247" t="s">
        <v>5604</v>
      </c>
      <c r="I323" s="248"/>
      <c r="J323" s="248"/>
      <c r="K323" s="248"/>
      <c r="L323" s="248"/>
      <c r="M323" s="248"/>
      <c r="N323" s="248"/>
      <c r="O323" s="248"/>
      <c r="P323" s="248"/>
      <c r="Q323" s="248"/>
      <c r="R323" s="248"/>
      <c r="S323" s="248"/>
    </row>
    <row r="324" hidden="1">
      <c r="A324" s="307">
        <v>10.0</v>
      </c>
      <c r="B324" s="256">
        <v>5.0</v>
      </c>
      <c r="C324" s="256">
        <v>4.0</v>
      </c>
      <c r="D324" s="257" t="s">
        <v>69</v>
      </c>
      <c r="E324" s="286" t="s">
        <v>5636</v>
      </c>
      <c r="F324" s="286"/>
      <c r="G324" s="248"/>
      <c r="H324" s="247" t="s">
        <v>5604</v>
      </c>
      <c r="I324" s="248"/>
      <c r="J324" s="248"/>
      <c r="K324" s="248"/>
      <c r="L324" s="248"/>
      <c r="M324" s="248"/>
      <c r="N324" s="248"/>
      <c r="O324" s="248"/>
      <c r="P324" s="248"/>
      <c r="Q324" s="248"/>
      <c r="R324" s="248"/>
      <c r="S324" s="248"/>
    </row>
    <row r="325" hidden="1">
      <c r="A325" s="256">
        <v>10.0</v>
      </c>
      <c r="B325" s="256">
        <v>5.0</v>
      </c>
      <c r="C325" s="256">
        <v>5.0</v>
      </c>
      <c r="D325" s="257" t="s">
        <v>69</v>
      </c>
      <c r="E325" s="286" t="s">
        <v>5637</v>
      </c>
      <c r="F325" s="286"/>
      <c r="G325" s="248"/>
      <c r="H325" s="247" t="s">
        <v>5604</v>
      </c>
      <c r="I325" s="248"/>
      <c r="J325" s="248"/>
      <c r="K325" s="248"/>
      <c r="L325" s="248"/>
      <c r="M325" s="248"/>
      <c r="N325" s="248"/>
      <c r="O325" s="248"/>
      <c r="P325" s="248"/>
      <c r="Q325" s="248"/>
      <c r="R325" s="248"/>
      <c r="S325" s="248"/>
    </row>
    <row r="326" hidden="1">
      <c r="A326" s="307">
        <v>10.0</v>
      </c>
      <c r="B326" s="256">
        <v>5.0</v>
      </c>
      <c r="C326" s="256">
        <v>6.0</v>
      </c>
      <c r="D326" s="257" t="s">
        <v>69</v>
      </c>
      <c r="E326" s="303" t="s">
        <v>5638</v>
      </c>
      <c r="F326" s="303"/>
      <c r="G326" s="248"/>
      <c r="H326" s="247" t="s">
        <v>5604</v>
      </c>
      <c r="I326" s="248"/>
      <c r="J326" s="248"/>
      <c r="K326" s="248"/>
      <c r="L326" s="248"/>
      <c r="M326" s="248"/>
      <c r="N326" s="248"/>
      <c r="O326" s="248"/>
      <c r="P326" s="248"/>
      <c r="Q326" s="248"/>
      <c r="R326" s="248"/>
      <c r="S326" s="248"/>
    </row>
    <row r="327">
      <c r="A327" s="261" t="s">
        <v>5598</v>
      </c>
      <c r="B327" s="256">
        <v>5.0</v>
      </c>
      <c r="C327" s="256">
        <v>7.0</v>
      </c>
      <c r="D327" s="257" t="s">
        <v>5563</v>
      </c>
      <c r="E327" s="303" t="s">
        <v>5639</v>
      </c>
      <c r="F327" s="304"/>
      <c r="G327" s="247" t="s">
        <v>5273</v>
      </c>
      <c r="H327" s="247" t="s">
        <v>5273</v>
      </c>
      <c r="I327" s="248"/>
      <c r="J327" s="248"/>
      <c r="K327" s="248"/>
      <c r="L327" s="248"/>
      <c r="M327" s="248"/>
      <c r="N327" s="248"/>
      <c r="O327" s="248"/>
      <c r="P327" s="248"/>
      <c r="Q327" s="248"/>
      <c r="R327" s="248"/>
      <c r="S327" s="248"/>
    </row>
    <row r="328" hidden="1">
      <c r="A328" s="307">
        <v>10.0</v>
      </c>
      <c r="B328" s="256">
        <v>5.0</v>
      </c>
      <c r="C328" s="256">
        <v>8.0</v>
      </c>
      <c r="D328" s="257" t="s">
        <v>69</v>
      </c>
      <c r="E328" s="286" t="s">
        <v>5640</v>
      </c>
      <c r="F328" s="286"/>
      <c r="G328" s="248"/>
      <c r="H328" s="247" t="s">
        <v>5604</v>
      </c>
      <c r="I328" s="248"/>
      <c r="J328" s="248"/>
      <c r="K328" s="248"/>
      <c r="L328" s="248"/>
      <c r="M328" s="248"/>
      <c r="N328" s="248"/>
      <c r="O328" s="248"/>
      <c r="P328" s="248"/>
      <c r="Q328" s="248"/>
      <c r="R328" s="248"/>
      <c r="S328" s="248"/>
    </row>
    <row r="329" hidden="1">
      <c r="A329" s="256">
        <v>10.0</v>
      </c>
      <c r="B329" s="256">
        <v>5.0</v>
      </c>
      <c r="C329" s="256">
        <v>9.0</v>
      </c>
      <c r="D329" s="257" t="s">
        <v>69</v>
      </c>
      <c r="E329" s="303" t="s">
        <v>5641</v>
      </c>
      <c r="F329" s="303"/>
      <c r="G329" s="248"/>
      <c r="H329" s="247" t="s">
        <v>5604</v>
      </c>
      <c r="I329" s="248"/>
      <c r="J329" s="248"/>
      <c r="K329" s="248"/>
      <c r="L329" s="248"/>
      <c r="M329" s="248"/>
      <c r="N329" s="248"/>
      <c r="O329" s="248"/>
      <c r="P329" s="248"/>
      <c r="Q329" s="248"/>
      <c r="R329" s="248"/>
      <c r="S329" s="248"/>
    </row>
    <row r="330" hidden="1">
      <c r="A330" s="311">
        <v>10.0</v>
      </c>
      <c r="B330" s="297">
        <v>5.0</v>
      </c>
      <c r="C330" s="297">
        <v>10.0</v>
      </c>
      <c r="D330" s="298"/>
      <c r="E330" s="298"/>
      <c r="F330" s="298"/>
      <c r="G330" s="298"/>
      <c r="H330" s="298"/>
      <c r="I330" s="298"/>
      <c r="J330" s="298"/>
      <c r="K330" s="298"/>
      <c r="L330" s="298"/>
      <c r="M330" s="298"/>
      <c r="N330" s="298"/>
      <c r="O330" s="298"/>
      <c r="P330" s="298"/>
      <c r="Q330" s="298"/>
      <c r="R330" s="298"/>
      <c r="S330" s="298"/>
    </row>
    <row r="331" hidden="1">
      <c r="A331" s="256">
        <v>10.0</v>
      </c>
      <c r="B331" s="256">
        <v>6.0</v>
      </c>
      <c r="C331" s="256">
        <v>0.0</v>
      </c>
      <c r="D331" s="257" t="s">
        <v>69</v>
      </c>
      <c r="E331" s="303" t="s">
        <v>5642</v>
      </c>
      <c r="F331" s="303"/>
      <c r="G331" s="248"/>
      <c r="H331" s="247" t="s">
        <v>5604</v>
      </c>
      <c r="I331" s="248"/>
      <c r="J331" s="248"/>
      <c r="K331" s="248"/>
      <c r="L331" s="248"/>
      <c r="M331" s="248"/>
      <c r="N331" s="248"/>
      <c r="O331" s="248"/>
      <c r="P331" s="248"/>
      <c r="Q331" s="248"/>
      <c r="R331" s="248"/>
      <c r="S331" s="248"/>
    </row>
    <row r="332" hidden="1">
      <c r="A332" s="307">
        <v>10.0</v>
      </c>
      <c r="B332" s="256">
        <v>6.0</v>
      </c>
      <c r="C332" s="256">
        <v>1.0</v>
      </c>
      <c r="D332" s="257" t="s">
        <v>69</v>
      </c>
      <c r="E332" s="305" t="s">
        <v>5643</v>
      </c>
      <c r="F332" s="305"/>
      <c r="G332" s="248"/>
      <c r="H332" s="247" t="s">
        <v>5604</v>
      </c>
      <c r="I332" s="248"/>
      <c r="J332" s="248"/>
      <c r="K332" s="248"/>
      <c r="L332" s="248"/>
      <c r="M332" s="248"/>
      <c r="N332" s="248"/>
      <c r="O332" s="248"/>
      <c r="P332" s="248"/>
      <c r="Q332" s="248"/>
      <c r="R332" s="248"/>
      <c r="S332" s="248"/>
    </row>
    <row r="333" hidden="1">
      <c r="A333" s="256">
        <v>10.0</v>
      </c>
      <c r="B333" s="256">
        <v>6.0</v>
      </c>
      <c r="C333" s="256">
        <v>2.0</v>
      </c>
      <c r="D333" s="257" t="s">
        <v>69</v>
      </c>
      <c r="E333" s="312" t="s">
        <v>5644</v>
      </c>
      <c r="F333" s="312"/>
      <c r="G333" s="248"/>
      <c r="H333" s="247" t="s">
        <v>5604</v>
      </c>
      <c r="I333" s="248"/>
      <c r="J333" s="248"/>
      <c r="K333" s="248"/>
      <c r="L333" s="248"/>
      <c r="M333" s="248"/>
      <c r="N333" s="248"/>
      <c r="O333" s="248"/>
      <c r="P333" s="248"/>
      <c r="Q333" s="248"/>
      <c r="R333" s="248"/>
      <c r="S333" s="248"/>
    </row>
    <row r="334">
      <c r="A334" s="309" t="s">
        <v>5598</v>
      </c>
      <c r="B334" s="256">
        <v>6.0</v>
      </c>
      <c r="C334" s="256">
        <v>3.0</v>
      </c>
      <c r="D334" s="257" t="s">
        <v>69</v>
      </c>
      <c r="E334" s="303" t="s">
        <v>5645</v>
      </c>
      <c r="F334" s="304"/>
      <c r="G334" s="248"/>
      <c r="H334" s="247" t="s">
        <v>5604</v>
      </c>
      <c r="I334" s="248"/>
      <c r="J334" s="248"/>
      <c r="K334" s="248"/>
      <c r="L334" s="248"/>
      <c r="M334" s="248"/>
      <c r="N334" s="248"/>
      <c r="O334" s="248"/>
      <c r="P334" s="248"/>
      <c r="Q334" s="248"/>
      <c r="R334" s="248"/>
      <c r="S334" s="248"/>
    </row>
    <row r="335" hidden="1">
      <c r="A335" s="256">
        <v>10.0</v>
      </c>
      <c r="B335" s="256">
        <v>6.0</v>
      </c>
      <c r="C335" s="256">
        <v>4.0</v>
      </c>
      <c r="D335" s="257" t="s">
        <v>69</v>
      </c>
      <c r="E335" s="303" t="s">
        <v>5646</v>
      </c>
      <c r="F335" s="303"/>
      <c r="G335" s="248"/>
      <c r="H335" s="247" t="s">
        <v>5604</v>
      </c>
      <c r="I335" s="248"/>
      <c r="J335" s="248"/>
      <c r="K335" s="248"/>
      <c r="L335" s="248"/>
      <c r="M335" s="248"/>
      <c r="N335" s="248"/>
      <c r="O335" s="248"/>
      <c r="P335" s="248"/>
      <c r="Q335" s="248"/>
      <c r="R335" s="248"/>
      <c r="S335" s="248"/>
    </row>
    <row r="336">
      <c r="A336" s="309" t="s">
        <v>5598</v>
      </c>
      <c r="B336" s="256">
        <v>6.0</v>
      </c>
      <c r="C336" s="256">
        <v>5.0</v>
      </c>
      <c r="D336" s="257" t="s">
        <v>5548</v>
      </c>
      <c r="E336" s="277" t="s">
        <v>5647</v>
      </c>
      <c r="F336" s="278"/>
      <c r="G336" s="247" t="s">
        <v>5273</v>
      </c>
      <c r="H336" s="247" t="s">
        <v>5273</v>
      </c>
      <c r="I336" s="248"/>
      <c r="J336" s="248"/>
      <c r="K336" s="248"/>
      <c r="L336" s="248"/>
      <c r="M336" s="248"/>
      <c r="N336" s="248"/>
      <c r="O336" s="248"/>
      <c r="P336" s="248"/>
      <c r="Q336" s="248"/>
      <c r="R336" s="248"/>
      <c r="S336" s="248"/>
    </row>
    <row r="337">
      <c r="A337" s="261" t="s">
        <v>5598</v>
      </c>
      <c r="B337" s="256">
        <v>6.0</v>
      </c>
      <c r="C337" s="256">
        <v>6.0</v>
      </c>
      <c r="D337" s="257" t="s">
        <v>5548</v>
      </c>
      <c r="E337" s="258" t="s">
        <v>5648</v>
      </c>
      <c r="F337" s="247"/>
      <c r="G337" s="247" t="s">
        <v>5273</v>
      </c>
      <c r="H337" s="247" t="s">
        <v>5273</v>
      </c>
      <c r="I337" s="248"/>
      <c r="J337" s="248"/>
      <c r="K337" s="248"/>
      <c r="L337" s="248"/>
      <c r="M337" s="248"/>
      <c r="N337" s="248"/>
      <c r="O337" s="248"/>
      <c r="P337" s="248"/>
      <c r="Q337" s="248"/>
      <c r="R337" s="248"/>
      <c r="S337" s="248"/>
    </row>
    <row r="338" hidden="1">
      <c r="A338" s="307">
        <v>10.0</v>
      </c>
      <c r="B338" s="256">
        <v>6.0</v>
      </c>
      <c r="C338" s="256">
        <v>7.0</v>
      </c>
      <c r="D338" s="257" t="s">
        <v>5357</v>
      </c>
      <c r="E338" s="286" t="s">
        <v>5649</v>
      </c>
      <c r="F338" s="286"/>
      <c r="G338" s="248"/>
      <c r="H338" s="247" t="s">
        <v>5604</v>
      </c>
      <c r="I338" s="248"/>
      <c r="J338" s="248"/>
      <c r="K338" s="248"/>
      <c r="L338" s="248"/>
      <c r="M338" s="248"/>
      <c r="N338" s="248"/>
      <c r="O338" s="248"/>
      <c r="P338" s="248"/>
      <c r="Q338" s="248"/>
      <c r="R338" s="248"/>
      <c r="S338" s="248"/>
    </row>
    <row r="339" hidden="1">
      <c r="A339" s="297">
        <v>10.0</v>
      </c>
      <c r="B339" s="297">
        <v>6.0</v>
      </c>
      <c r="C339" s="297">
        <v>8.0</v>
      </c>
      <c r="D339" s="298"/>
      <c r="E339" s="298"/>
      <c r="F339" s="298"/>
      <c r="G339" s="298"/>
      <c r="H339" s="298"/>
      <c r="I339" s="298"/>
      <c r="J339" s="298"/>
      <c r="K339" s="298"/>
      <c r="L339" s="298"/>
      <c r="M339" s="298"/>
      <c r="N339" s="298"/>
      <c r="O339" s="298"/>
      <c r="P339" s="298"/>
      <c r="Q339" s="298"/>
      <c r="R339" s="298"/>
      <c r="S339" s="298"/>
    </row>
    <row r="340" hidden="1">
      <c r="A340" s="307">
        <v>10.0</v>
      </c>
      <c r="B340" s="256">
        <v>7.0</v>
      </c>
      <c r="C340" s="256">
        <v>0.0</v>
      </c>
      <c r="D340" s="257" t="s">
        <v>69</v>
      </c>
      <c r="E340" s="303" t="s">
        <v>5650</v>
      </c>
      <c r="F340" s="303"/>
      <c r="G340" s="248"/>
      <c r="H340" s="247" t="s">
        <v>5604</v>
      </c>
      <c r="I340" s="248"/>
      <c r="J340" s="248"/>
      <c r="K340" s="248"/>
      <c r="L340" s="248"/>
      <c r="M340" s="248"/>
      <c r="N340" s="248"/>
      <c r="O340" s="248"/>
      <c r="P340" s="248"/>
      <c r="Q340" s="248"/>
      <c r="R340" s="248"/>
      <c r="S340" s="248"/>
    </row>
    <row r="341" hidden="1">
      <c r="A341" s="256">
        <v>10.0</v>
      </c>
      <c r="B341" s="256">
        <v>7.0</v>
      </c>
      <c r="C341" s="256">
        <v>1.0</v>
      </c>
      <c r="D341" s="257" t="s">
        <v>69</v>
      </c>
      <c r="E341" s="303" t="s">
        <v>5651</v>
      </c>
      <c r="F341" s="303"/>
      <c r="G341" s="248"/>
      <c r="H341" s="247" t="s">
        <v>5604</v>
      </c>
      <c r="I341" s="248"/>
      <c r="J341" s="248"/>
      <c r="K341" s="248"/>
      <c r="L341" s="248"/>
      <c r="M341" s="248"/>
      <c r="N341" s="248"/>
      <c r="O341" s="248"/>
      <c r="P341" s="248"/>
      <c r="Q341" s="248"/>
      <c r="R341" s="248"/>
      <c r="S341" s="248"/>
    </row>
    <row r="342" hidden="1">
      <c r="A342" s="307">
        <v>10.0</v>
      </c>
      <c r="B342" s="256">
        <v>7.0</v>
      </c>
      <c r="C342" s="256">
        <v>2.0</v>
      </c>
      <c r="D342" s="257" t="s">
        <v>69</v>
      </c>
      <c r="E342" s="303" t="s">
        <v>5652</v>
      </c>
      <c r="F342" s="303"/>
      <c r="G342" s="248"/>
      <c r="H342" s="247" t="s">
        <v>5604</v>
      </c>
      <c r="I342" s="248"/>
      <c r="J342" s="248"/>
      <c r="K342" s="248"/>
      <c r="L342" s="248"/>
      <c r="M342" s="248"/>
      <c r="N342" s="248"/>
      <c r="O342" s="248"/>
      <c r="P342" s="248"/>
      <c r="Q342" s="248"/>
      <c r="R342" s="248"/>
      <c r="S342" s="248"/>
    </row>
    <row r="343" hidden="1">
      <c r="A343" s="256">
        <v>10.0</v>
      </c>
      <c r="B343" s="256">
        <v>7.0</v>
      </c>
      <c r="C343" s="256">
        <v>3.0</v>
      </c>
      <c r="D343" s="257" t="s">
        <v>69</v>
      </c>
      <c r="E343" s="305" t="s">
        <v>5653</v>
      </c>
      <c r="F343" s="305"/>
      <c r="G343" s="248"/>
      <c r="H343" s="247" t="s">
        <v>5604</v>
      </c>
      <c r="I343" s="248"/>
      <c r="J343" s="248"/>
      <c r="K343" s="248"/>
      <c r="L343" s="248"/>
      <c r="M343" s="248"/>
      <c r="N343" s="248"/>
      <c r="O343" s="248"/>
      <c r="P343" s="248"/>
      <c r="Q343" s="248"/>
      <c r="R343" s="248"/>
      <c r="S343" s="248"/>
    </row>
    <row r="344">
      <c r="A344" s="309" t="s">
        <v>5598</v>
      </c>
      <c r="B344" s="256">
        <v>7.0</v>
      </c>
      <c r="C344" s="256">
        <v>4.0</v>
      </c>
      <c r="D344" s="257" t="s">
        <v>5548</v>
      </c>
      <c r="E344" s="258" t="s">
        <v>5654</v>
      </c>
      <c r="F344" s="247"/>
      <c r="G344" s="247" t="s">
        <v>5273</v>
      </c>
      <c r="H344" s="247" t="s">
        <v>5273</v>
      </c>
      <c r="I344" s="248"/>
      <c r="J344" s="248"/>
      <c r="K344" s="248"/>
      <c r="L344" s="248"/>
      <c r="M344" s="248"/>
      <c r="N344" s="248"/>
      <c r="O344" s="248"/>
      <c r="P344" s="248"/>
      <c r="Q344" s="248"/>
      <c r="R344" s="248"/>
      <c r="S344" s="248"/>
    </row>
    <row r="345">
      <c r="A345" s="261" t="s">
        <v>5598</v>
      </c>
      <c r="B345" s="256">
        <v>7.0</v>
      </c>
      <c r="C345" s="256">
        <v>5.0</v>
      </c>
      <c r="D345" s="257" t="s">
        <v>5548</v>
      </c>
      <c r="E345" s="283" t="s">
        <v>5655</v>
      </c>
      <c r="F345" s="313"/>
      <c r="G345" s="247" t="s">
        <v>5273</v>
      </c>
      <c r="H345" s="247" t="s">
        <v>5273</v>
      </c>
      <c r="I345" s="248"/>
      <c r="J345" s="248"/>
      <c r="K345" s="248"/>
      <c r="L345" s="248"/>
      <c r="M345" s="248"/>
      <c r="N345" s="248"/>
      <c r="O345" s="248"/>
      <c r="P345" s="248"/>
      <c r="Q345" s="248"/>
      <c r="R345" s="248"/>
      <c r="S345" s="248"/>
    </row>
    <row r="346" hidden="1">
      <c r="A346" s="307">
        <v>10.0</v>
      </c>
      <c r="B346" s="256">
        <v>7.0</v>
      </c>
      <c r="C346" s="256">
        <v>6.0</v>
      </c>
      <c r="D346" s="257" t="s">
        <v>5357</v>
      </c>
      <c r="E346" s="286" t="s">
        <v>5656</v>
      </c>
      <c r="F346" s="286"/>
      <c r="G346" s="248"/>
      <c r="H346" s="247" t="s">
        <v>5604</v>
      </c>
      <c r="I346" s="248"/>
      <c r="J346" s="248"/>
      <c r="K346" s="248"/>
      <c r="L346" s="248"/>
      <c r="M346" s="248"/>
      <c r="N346" s="248"/>
      <c r="O346" s="248"/>
      <c r="P346" s="248"/>
      <c r="Q346" s="248"/>
      <c r="R346" s="248"/>
      <c r="S346" s="248"/>
    </row>
    <row r="347" hidden="1">
      <c r="A347" s="297">
        <v>10.0</v>
      </c>
      <c r="B347" s="297">
        <v>7.0</v>
      </c>
      <c r="C347" s="297">
        <v>7.0</v>
      </c>
      <c r="D347" s="298"/>
      <c r="E347" s="298"/>
      <c r="F347" s="298"/>
      <c r="G347" s="298"/>
      <c r="H347" s="298"/>
      <c r="I347" s="298"/>
      <c r="J347" s="298"/>
      <c r="K347" s="298"/>
      <c r="L347" s="298"/>
      <c r="M347" s="298"/>
      <c r="N347" s="298"/>
      <c r="O347" s="298"/>
      <c r="P347" s="298"/>
      <c r="Q347" s="298"/>
      <c r="R347" s="298"/>
      <c r="S347" s="298"/>
    </row>
    <row r="348" hidden="1">
      <c r="A348" s="256">
        <v>11.0</v>
      </c>
      <c r="B348" s="256">
        <v>1.0</v>
      </c>
      <c r="C348" s="256">
        <v>0.0</v>
      </c>
      <c r="D348" s="257" t="s">
        <v>5373</v>
      </c>
      <c r="E348" s="258" t="s">
        <v>5657</v>
      </c>
      <c r="F348" s="258"/>
      <c r="G348" s="248"/>
      <c r="H348" s="247" t="s">
        <v>5273</v>
      </c>
      <c r="I348" s="248"/>
      <c r="J348" s="248"/>
      <c r="K348" s="248"/>
      <c r="L348" s="248"/>
      <c r="M348" s="248"/>
      <c r="N348" s="248"/>
      <c r="O348" s="248"/>
      <c r="P348" s="248"/>
      <c r="Q348" s="248"/>
      <c r="R348" s="248"/>
      <c r="S348" s="248"/>
    </row>
    <row r="349" hidden="1">
      <c r="A349" s="256">
        <v>11.0</v>
      </c>
      <c r="B349" s="256">
        <v>1.0</v>
      </c>
      <c r="C349" s="256">
        <v>1.0</v>
      </c>
      <c r="D349" s="257" t="s">
        <v>5589</v>
      </c>
      <c r="E349" s="258" t="s">
        <v>5658</v>
      </c>
      <c r="F349" s="258"/>
      <c r="G349" s="248"/>
      <c r="H349" s="247" t="s">
        <v>5273</v>
      </c>
      <c r="I349" s="248"/>
      <c r="J349" s="248"/>
      <c r="K349" s="248"/>
      <c r="L349" s="248"/>
      <c r="M349" s="248"/>
      <c r="N349" s="248"/>
      <c r="O349" s="248"/>
      <c r="P349" s="248"/>
      <c r="Q349" s="248"/>
      <c r="R349" s="248"/>
      <c r="S349" s="248"/>
    </row>
    <row r="350" hidden="1">
      <c r="A350" s="256">
        <v>11.0</v>
      </c>
      <c r="B350" s="256">
        <v>1.0</v>
      </c>
      <c r="C350" s="256">
        <v>1.0</v>
      </c>
      <c r="D350" s="257" t="s">
        <v>1389</v>
      </c>
      <c r="E350" s="258" t="s">
        <v>5659</v>
      </c>
      <c r="F350" s="258"/>
      <c r="G350" s="248"/>
      <c r="H350" s="247" t="s">
        <v>5273</v>
      </c>
      <c r="I350" s="248"/>
      <c r="J350" s="248"/>
      <c r="K350" s="248"/>
      <c r="L350" s="248"/>
      <c r="M350" s="248"/>
      <c r="N350" s="248"/>
      <c r="O350" s="248"/>
      <c r="P350" s="248"/>
      <c r="Q350" s="248"/>
      <c r="R350" s="248"/>
      <c r="S350" s="248"/>
    </row>
    <row r="351" hidden="1">
      <c r="A351" s="256">
        <v>11.0</v>
      </c>
      <c r="B351" s="256">
        <v>1.0</v>
      </c>
      <c r="C351" s="256">
        <v>2.0</v>
      </c>
      <c r="D351" s="257" t="s">
        <v>69</v>
      </c>
      <c r="E351" s="258" t="s">
        <v>5660</v>
      </c>
      <c r="F351" s="258"/>
      <c r="G351" s="248"/>
      <c r="H351" s="247" t="s">
        <v>5273</v>
      </c>
      <c r="I351" s="248"/>
      <c r="J351" s="248"/>
      <c r="K351" s="248"/>
      <c r="L351" s="248"/>
      <c r="M351" s="248"/>
      <c r="N351" s="248"/>
      <c r="O351" s="248"/>
      <c r="P351" s="248"/>
      <c r="Q351" s="248"/>
      <c r="R351" s="248"/>
      <c r="S351" s="248"/>
    </row>
    <row r="352" hidden="1">
      <c r="A352" s="256">
        <v>11.0</v>
      </c>
      <c r="B352" s="256">
        <v>1.0</v>
      </c>
      <c r="C352" s="256">
        <v>3.0</v>
      </c>
      <c r="D352" s="257" t="s">
        <v>5357</v>
      </c>
      <c r="E352" s="258" t="s">
        <v>5661</v>
      </c>
      <c r="F352" s="258"/>
      <c r="G352" s="248"/>
      <c r="H352" s="247" t="s">
        <v>5273</v>
      </c>
      <c r="I352" s="248"/>
      <c r="J352" s="248"/>
      <c r="K352" s="248"/>
      <c r="L352" s="248"/>
      <c r="M352" s="248"/>
      <c r="N352" s="248"/>
      <c r="O352" s="248"/>
      <c r="P352" s="248"/>
      <c r="Q352" s="248"/>
      <c r="R352" s="248"/>
      <c r="S352" s="248"/>
    </row>
    <row r="353" hidden="1">
      <c r="A353" s="256">
        <v>11.0</v>
      </c>
      <c r="B353" s="256">
        <v>1.0</v>
      </c>
      <c r="C353" s="256">
        <v>3.0</v>
      </c>
      <c r="D353" s="257" t="s">
        <v>5364</v>
      </c>
      <c r="E353" s="258" t="s">
        <v>5662</v>
      </c>
      <c r="F353" s="258"/>
      <c r="G353" s="248"/>
      <c r="H353" s="247" t="s">
        <v>5273</v>
      </c>
      <c r="I353" s="248"/>
      <c r="J353" s="248"/>
      <c r="K353" s="248"/>
      <c r="L353" s="248"/>
      <c r="M353" s="248"/>
      <c r="N353" s="248"/>
      <c r="O353" s="248"/>
      <c r="P353" s="248"/>
      <c r="Q353" s="248"/>
      <c r="R353" s="248"/>
      <c r="S353" s="248"/>
    </row>
    <row r="354" hidden="1">
      <c r="A354" s="256">
        <v>11.0</v>
      </c>
      <c r="B354" s="256">
        <v>1.0</v>
      </c>
      <c r="C354" s="256">
        <v>3.0</v>
      </c>
      <c r="D354" s="257" t="s">
        <v>1389</v>
      </c>
      <c r="E354" s="258" t="s">
        <v>5663</v>
      </c>
      <c r="F354" s="258"/>
      <c r="G354" s="248"/>
      <c r="H354" s="247" t="s">
        <v>5273</v>
      </c>
      <c r="I354" s="248"/>
      <c r="J354" s="248"/>
      <c r="K354" s="248"/>
      <c r="L354" s="248"/>
      <c r="M354" s="248"/>
      <c r="N354" s="248"/>
      <c r="O354" s="248"/>
      <c r="P354" s="248"/>
      <c r="Q354" s="248"/>
      <c r="R354" s="248"/>
      <c r="S354" s="248"/>
    </row>
    <row r="355" hidden="1">
      <c r="A355" s="256">
        <v>11.0</v>
      </c>
      <c r="B355" s="256">
        <v>1.0</v>
      </c>
      <c r="C355" s="256">
        <v>4.0</v>
      </c>
      <c r="D355" s="257" t="s">
        <v>69</v>
      </c>
      <c r="E355" s="258" t="s">
        <v>5664</v>
      </c>
      <c r="F355" s="258"/>
      <c r="G355" s="248"/>
      <c r="H355" s="247" t="s">
        <v>5273</v>
      </c>
      <c r="I355" s="248"/>
      <c r="J355" s="248"/>
      <c r="K355" s="248"/>
      <c r="L355" s="248"/>
      <c r="M355" s="248"/>
      <c r="N355" s="248"/>
      <c r="O355" s="248"/>
      <c r="P355" s="248"/>
      <c r="Q355" s="248"/>
      <c r="R355" s="248"/>
      <c r="S355" s="248"/>
    </row>
    <row r="356">
      <c r="A356" s="261" t="s">
        <v>5665</v>
      </c>
      <c r="B356" s="256">
        <v>1.0</v>
      </c>
      <c r="C356" s="256">
        <v>5.0</v>
      </c>
      <c r="D356" s="257" t="s">
        <v>5666</v>
      </c>
      <c r="E356" s="258" t="s">
        <v>5667</v>
      </c>
      <c r="F356" s="247"/>
      <c r="G356" s="248"/>
      <c r="H356" s="247" t="s">
        <v>5273</v>
      </c>
      <c r="I356" s="248"/>
      <c r="J356" s="248"/>
      <c r="K356" s="248"/>
      <c r="L356" s="248"/>
      <c r="M356" s="248"/>
      <c r="N356" s="248"/>
      <c r="O356" s="248"/>
      <c r="P356" s="248"/>
      <c r="Q356" s="248"/>
      <c r="R356" s="248"/>
      <c r="S356" s="248"/>
    </row>
    <row r="357">
      <c r="A357" s="261" t="s">
        <v>5665</v>
      </c>
      <c r="B357" s="256">
        <v>1.0</v>
      </c>
      <c r="C357" s="256">
        <v>6.0</v>
      </c>
      <c r="D357" s="257" t="s">
        <v>5668</v>
      </c>
      <c r="E357" s="258" t="s">
        <v>5669</v>
      </c>
      <c r="F357" s="247"/>
      <c r="G357" s="248"/>
      <c r="H357" s="247" t="s">
        <v>5273</v>
      </c>
      <c r="I357" s="248"/>
      <c r="J357" s="248"/>
      <c r="K357" s="248"/>
      <c r="L357" s="248"/>
      <c r="M357" s="248"/>
      <c r="N357" s="248"/>
      <c r="O357" s="248"/>
      <c r="P357" s="248"/>
      <c r="Q357" s="248"/>
      <c r="R357" s="248"/>
      <c r="S357" s="248"/>
    </row>
    <row r="358" hidden="1">
      <c r="A358" s="256">
        <v>11.0</v>
      </c>
      <c r="B358" s="256">
        <v>1.0</v>
      </c>
      <c r="C358" s="256">
        <v>7.0</v>
      </c>
      <c r="D358" s="257" t="s">
        <v>69</v>
      </c>
      <c r="E358" s="258" t="s">
        <v>5670</v>
      </c>
      <c r="F358" s="258"/>
      <c r="G358" s="248"/>
      <c r="H358" s="247" t="s">
        <v>5604</v>
      </c>
      <c r="I358" s="248"/>
      <c r="J358" s="248"/>
      <c r="K358" s="248"/>
      <c r="L358" s="248"/>
      <c r="M358" s="248"/>
      <c r="N358" s="248"/>
      <c r="O358" s="248"/>
      <c r="P358" s="248"/>
      <c r="Q358" s="248"/>
      <c r="R358" s="248"/>
      <c r="S358" s="248"/>
    </row>
    <row r="359" hidden="1">
      <c r="A359" s="267">
        <v>11.0</v>
      </c>
      <c r="B359" s="267">
        <v>1.0</v>
      </c>
      <c r="C359" s="267">
        <v>8.0</v>
      </c>
      <c r="D359" s="268" t="s">
        <v>5290</v>
      </c>
      <c r="E359" s="269"/>
      <c r="F359" s="269"/>
      <c r="G359" s="269"/>
      <c r="H359" s="269"/>
      <c r="I359" s="269"/>
      <c r="J359" s="269"/>
      <c r="K359" s="269"/>
      <c r="L359" s="269"/>
      <c r="M359" s="269"/>
      <c r="N359" s="269"/>
      <c r="O359" s="269"/>
      <c r="P359" s="269"/>
      <c r="Q359" s="269"/>
      <c r="R359" s="269"/>
      <c r="S359" s="269"/>
    </row>
    <row r="360" hidden="1">
      <c r="A360" s="256">
        <v>11.0</v>
      </c>
      <c r="B360" s="256">
        <v>2.0</v>
      </c>
      <c r="C360" s="256">
        <v>0.0</v>
      </c>
      <c r="D360" s="257" t="s">
        <v>5671</v>
      </c>
      <c r="E360" s="258" t="s">
        <v>5672</v>
      </c>
      <c r="F360" s="258"/>
      <c r="G360" s="248"/>
      <c r="H360" s="247" t="s">
        <v>5273</v>
      </c>
      <c r="I360" s="248"/>
      <c r="J360" s="248"/>
      <c r="K360" s="248"/>
      <c r="L360" s="248"/>
      <c r="M360" s="248"/>
      <c r="N360" s="248"/>
      <c r="O360" s="248"/>
      <c r="P360" s="248"/>
      <c r="Q360" s="248"/>
      <c r="R360" s="248"/>
      <c r="S360" s="248"/>
    </row>
    <row r="361" hidden="1">
      <c r="A361" s="256">
        <v>11.0</v>
      </c>
      <c r="B361" s="256">
        <v>2.0</v>
      </c>
      <c r="C361" s="256">
        <v>1.0</v>
      </c>
      <c r="D361" s="257" t="s">
        <v>5322</v>
      </c>
      <c r="E361" s="283" t="s">
        <v>5673</v>
      </c>
      <c r="F361" s="283"/>
      <c r="G361" s="248"/>
      <c r="H361" s="247" t="s">
        <v>5273</v>
      </c>
      <c r="I361" s="248"/>
      <c r="J361" s="248"/>
      <c r="K361" s="248"/>
      <c r="L361" s="248"/>
      <c r="M361" s="248"/>
      <c r="N361" s="248"/>
      <c r="O361" s="248"/>
      <c r="P361" s="248"/>
      <c r="Q361" s="248"/>
      <c r="R361" s="248"/>
      <c r="S361" s="248"/>
    </row>
    <row r="362" hidden="1">
      <c r="A362" s="256">
        <v>11.0</v>
      </c>
      <c r="B362" s="256">
        <v>2.0</v>
      </c>
      <c r="C362" s="256">
        <v>2.0</v>
      </c>
      <c r="D362" s="257" t="s">
        <v>69</v>
      </c>
      <c r="E362" s="258" t="s">
        <v>5674</v>
      </c>
      <c r="F362" s="258"/>
      <c r="G362" s="248"/>
      <c r="H362" s="247" t="s">
        <v>5273</v>
      </c>
      <c r="I362" s="248"/>
      <c r="J362" s="248"/>
      <c r="K362" s="248"/>
      <c r="L362" s="248"/>
      <c r="M362" s="248"/>
      <c r="N362" s="248"/>
      <c r="O362" s="248"/>
      <c r="P362" s="248"/>
      <c r="Q362" s="248"/>
      <c r="R362" s="248"/>
      <c r="S362" s="248"/>
    </row>
    <row r="363" hidden="1">
      <c r="A363" s="256">
        <v>11.0</v>
      </c>
      <c r="B363" s="256">
        <v>2.0</v>
      </c>
      <c r="C363" s="256">
        <v>3.0</v>
      </c>
      <c r="D363" s="257" t="s">
        <v>69</v>
      </c>
      <c r="E363" s="258" t="s">
        <v>5675</v>
      </c>
      <c r="F363" s="258"/>
      <c r="G363" s="248"/>
      <c r="H363" s="247" t="s">
        <v>5273</v>
      </c>
      <c r="I363" s="248"/>
      <c r="J363" s="248"/>
      <c r="K363" s="248"/>
      <c r="L363" s="248"/>
      <c r="M363" s="248"/>
      <c r="N363" s="248"/>
      <c r="O363" s="248"/>
      <c r="P363" s="248"/>
      <c r="Q363" s="248"/>
      <c r="R363" s="248"/>
      <c r="S363" s="248"/>
    </row>
    <row r="364">
      <c r="A364" s="261" t="s">
        <v>5665</v>
      </c>
      <c r="B364" s="256">
        <v>2.0</v>
      </c>
      <c r="C364" s="256">
        <v>4.0</v>
      </c>
      <c r="D364" s="257" t="s">
        <v>69</v>
      </c>
      <c r="E364" s="258" t="s">
        <v>5676</v>
      </c>
      <c r="F364" s="247"/>
      <c r="G364" s="248"/>
      <c r="H364" s="247" t="s">
        <v>5273</v>
      </c>
      <c r="I364" s="248"/>
      <c r="J364" s="248"/>
      <c r="K364" s="248"/>
      <c r="L364" s="248"/>
      <c r="M364" s="248"/>
      <c r="N364" s="248"/>
      <c r="O364" s="248"/>
      <c r="P364" s="248"/>
      <c r="Q364" s="248"/>
      <c r="R364" s="248"/>
      <c r="S364" s="248"/>
    </row>
    <row r="365">
      <c r="A365" s="261" t="s">
        <v>5665</v>
      </c>
      <c r="B365" s="256">
        <v>2.0</v>
      </c>
      <c r="C365" s="256">
        <v>5.0</v>
      </c>
      <c r="D365" s="257" t="s">
        <v>5666</v>
      </c>
      <c r="E365" s="258" t="s">
        <v>5677</v>
      </c>
      <c r="F365" s="247"/>
      <c r="G365" s="248"/>
      <c r="H365" s="247" t="s">
        <v>5273</v>
      </c>
      <c r="I365" s="248"/>
      <c r="J365" s="248"/>
      <c r="K365" s="248"/>
      <c r="L365" s="248"/>
      <c r="M365" s="248"/>
      <c r="N365" s="248"/>
      <c r="O365" s="248"/>
      <c r="P365" s="248"/>
      <c r="Q365" s="248"/>
      <c r="R365" s="248"/>
      <c r="S365" s="248"/>
    </row>
    <row r="366">
      <c r="A366" s="261" t="s">
        <v>5678</v>
      </c>
      <c r="B366" s="256">
        <v>2.0</v>
      </c>
      <c r="C366" s="256">
        <v>6.0</v>
      </c>
      <c r="D366" s="257" t="s">
        <v>5668</v>
      </c>
      <c r="E366" s="258" t="s">
        <v>5679</v>
      </c>
      <c r="F366" s="247"/>
      <c r="G366" s="248"/>
      <c r="H366" s="247" t="s">
        <v>5273</v>
      </c>
      <c r="I366" s="248"/>
      <c r="J366" s="248"/>
      <c r="K366" s="248"/>
      <c r="L366" s="248"/>
      <c r="M366" s="248"/>
      <c r="N366" s="248"/>
      <c r="O366" s="248"/>
      <c r="P366" s="248"/>
      <c r="Q366" s="248"/>
      <c r="R366" s="248"/>
      <c r="S366" s="248"/>
    </row>
    <row r="367" hidden="1">
      <c r="A367" s="256">
        <v>11.0</v>
      </c>
      <c r="B367" s="256">
        <v>2.0</v>
      </c>
      <c r="C367" s="256">
        <v>7.0</v>
      </c>
      <c r="D367" s="257" t="s">
        <v>5373</v>
      </c>
      <c r="E367" s="258" t="s">
        <v>5680</v>
      </c>
      <c r="F367" s="258"/>
      <c r="G367" s="248"/>
      <c r="H367" s="247" t="s">
        <v>5604</v>
      </c>
      <c r="I367" s="248"/>
      <c r="J367" s="248"/>
      <c r="K367" s="248"/>
      <c r="L367" s="248"/>
      <c r="M367" s="248"/>
      <c r="N367" s="248"/>
      <c r="O367" s="248"/>
      <c r="P367" s="248"/>
      <c r="Q367" s="248"/>
      <c r="R367" s="248"/>
      <c r="S367" s="248"/>
    </row>
    <row r="368" hidden="1">
      <c r="A368" s="267">
        <v>11.0</v>
      </c>
      <c r="B368" s="267">
        <v>2.0</v>
      </c>
      <c r="C368" s="267">
        <v>8.0</v>
      </c>
      <c r="D368" s="268" t="s">
        <v>5290</v>
      </c>
      <c r="E368" s="269"/>
      <c r="F368" s="269"/>
      <c r="G368" s="269"/>
      <c r="H368" s="269"/>
      <c r="I368" s="269"/>
      <c r="J368" s="269"/>
      <c r="K368" s="269"/>
      <c r="L368" s="269"/>
      <c r="M368" s="269"/>
      <c r="N368" s="269"/>
      <c r="O368" s="269"/>
      <c r="P368" s="269"/>
      <c r="Q368" s="269"/>
      <c r="R368" s="269"/>
      <c r="S368" s="269"/>
    </row>
    <row r="369" hidden="1">
      <c r="A369" s="256">
        <v>11.0</v>
      </c>
      <c r="B369" s="256">
        <v>3.0</v>
      </c>
      <c r="C369" s="256">
        <v>0.0</v>
      </c>
      <c r="D369" s="257" t="s">
        <v>5373</v>
      </c>
      <c r="E369" s="258" t="s">
        <v>5681</v>
      </c>
      <c r="F369" s="258"/>
      <c r="G369" s="248"/>
      <c r="H369" s="247" t="s">
        <v>5604</v>
      </c>
      <c r="I369" s="248"/>
      <c r="J369" s="248"/>
      <c r="K369" s="248"/>
      <c r="L369" s="248"/>
      <c r="M369" s="248"/>
      <c r="N369" s="248"/>
      <c r="O369" s="248"/>
      <c r="P369" s="248"/>
      <c r="Q369" s="248"/>
      <c r="R369" s="248"/>
      <c r="S369" s="248"/>
    </row>
    <row r="370" hidden="1">
      <c r="A370" s="256">
        <v>11.0</v>
      </c>
      <c r="B370" s="256">
        <v>3.0</v>
      </c>
      <c r="C370" s="256">
        <v>1.0</v>
      </c>
      <c r="D370" s="257" t="s">
        <v>69</v>
      </c>
      <c r="E370" s="258" t="s">
        <v>5682</v>
      </c>
      <c r="F370" s="258"/>
      <c r="G370" s="248"/>
      <c r="H370" s="247" t="s">
        <v>5604</v>
      </c>
      <c r="I370" s="248"/>
      <c r="J370" s="248"/>
      <c r="K370" s="248"/>
      <c r="L370" s="248"/>
      <c r="M370" s="248"/>
      <c r="N370" s="248"/>
      <c r="O370" s="248"/>
      <c r="P370" s="248"/>
      <c r="Q370" s="248"/>
      <c r="R370" s="248"/>
      <c r="S370" s="248"/>
    </row>
    <row r="371" hidden="1">
      <c r="A371" s="256">
        <v>11.0</v>
      </c>
      <c r="B371" s="256">
        <v>3.0</v>
      </c>
      <c r="C371" s="256">
        <v>2.0</v>
      </c>
      <c r="D371" s="257" t="s">
        <v>69</v>
      </c>
      <c r="E371" s="258" t="s">
        <v>5683</v>
      </c>
      <c r="F371" s="258"/>
      <c r="G371" s="248"/>
      <c r="H371" s="247" t="s">
        <v>5273</v>
      </c>
      <c r="I371" s="248"/>
      <c r="J371" s="248"/>
      <c r="K371" s="248"/>
      <c r="L371" s="248"/>
      <c r="M371" s="248"/>
      <c r="N371" s="248"/>
      <c r="O371" s="248"/>
      <c r="P371" s="248"/>
      <c r="Q371" s="248"/>
      <c r="R371" s="248"/>
      <c r="S371" s="248"/>
    </row>
    <row r="372" hidden="1">
      <c r="A372" s="256">
        <v>11.0</v>
      </c>
      <c r="B372" s="256">
        <v>3.0</v>
      </c>
      <c r="C372" s="256">
        <v>3.0</v>
      </c>
      <c r="D372" s="257" t="s">
        <v>69</v>
      </c>
      <c r="E372" s="258" t="s">
        <v>5684</v>
      </c>
      <c r="F372" s="258"/>
      <c r="G372" s="248"/>
      <c r="H372" s="247" t="s">
        <v>5604</v>
      </c>
      <c r="I372" s="248"/>
      <c r="J372" s="248"/>
      <c r="K372" s="248"/>
      <c r="L372" s="248"/>
      <c r="M372" s="248"/>
      <c r="N372" s="248"/>
      <c r="O372" s="248"/>
      <c r="P372" s="248"/>
      <c r="Q372" s="248"/>
      <c r="R372" s="248"/>
      <c r="S372" s="248"/>
    </row>
    <row r="373" hidden="1">
      <c r="A373" s="256">
        <v>11.0</v>
      </c>
      <c r="B373" s="256">
        <v>3.0</v>
      </c>
      <c r="C373" s="256">
        <v>4.0</v>
      </c>
      <c r="D373" s="257" t="s">
        <v>69</v>
      </c>
      <c r="E373" s="258" t="s">
        <v>5685</v>
      </c>
      <c r="F373" s="258"/>
      <c r="G373" s="248"/>
      <c r="H373" s="247" t="s">
        <v>5604</v>
      </c>
      <c r="I373" s="248"/>
      <c r="J373" s="248"/>
      <c r="K373" s="248"/>
      <c r="L373" s="248"/>
      <c r="M373" s="248"/>
      <c r="N373" s="248"/>
      <c r="O373" s="248"/>
      <c r="P373" s="248"/>
      <c r="Q373" s="248"/>
      <c r="R373" s="248"/>
      <c r="S373" s="248"/>
    </row>
    <row r="374">
      <c r="A374" s="261" t="s">
        <v>5665</v>
      </c>
      <c r="B374" s="256">
        <v>3.0</v>
      </c>
      <c r="C374" s="256">
        <v>5.0</v>
      </c>
      <c r="D374" s="300" t="s">
        <v>5686</v>
      </c>
      <c r="E374" s="258" t="s">
        <v>5687</v>
      </c>
      <c r="F374" s="247"/>
      <c r="G374" s="247" t="s">
        <v>5273</v>
      </c>
      <c r="H374" s="247" t="s">
        <v>5273</v>
      </c>
      <c r="I374" s="248"/>
      <c r="J374" s="248"/>
      <c r="K374" s="248"/>
      <c r="L374" s="248"/>
      <c r="M374" s="248"/>
      <c r="N374" s="248"/>
      <c r="O374" s="248"/>
      <c r="P374" s="248"/>
      <c r="Q374" s="248"/>
      <c r="R374" s="248"/>
      <c r="S374" s="248"/>
    </row>
    <row r="375">
      <c r="A375" s="261" t="s">
        <v>5665</v>
      </c>
      <c r="B375" s="256">
        <v>3.0</v>
      </c>
      <c r="C375" s="256">
        <v>6.0</v>
      </c>
      <c r="D375" s="257" t="s">
        <v>5288</v>
      </c>
      <c r="E375" s="258" t="s">
        <v>5688</v>
      </c>
      <c r="F375" s="247"/>
      <c r="G375" s="248"/>
      <c r="H375" s="247" t="s">
        <v>5604</v>
      </c>
      <c r="I375" s="248"/>
      <c r="J375" s="248"/>
      <c r="K375" s="248"/>
      <c r="L375" s="248"/>
      <c r="M375" s="248"/>
      <c r="N375" s="248"/>
      <c r="O375" s="248"/>
      <c r="P375" s="248"/>
      <c r="Q375" s="248"/>
      <c r="R375" s="248"/>
      <c r="S375" s="248"/>
    </row>
    <row r="376">
      <c r="A376" s="261" t="s">
        <v>5665</v>
      </c>
      <c r="B376" s="256">
        <v>3.0</v>
      </c>
      <c r="C376" s="256">
        <v>7.0</v>
      </c>
      <c r="D376" s="257" t="s">
        <v>69</v>
      </c>
      <c r="E376" s="258" t="s">
        <v>5689</v>
      </c>
      <c r="F376" s="247"/>
      <c r="G376" s="248"/>
      <c r="H376" s="247" t="s">
        <v>5604</v>
      </c>
      <c r="I376" s="248"/>
      <c r="J376" s="248"/>
      <c r="K376" s="248"/>
      <c r="L376" s="248"/>
      <c r="M376" s="248"/>
      <c r="N376" s="248"/>
      <c r="O376" s="248"/>
      <c r="P376" s="248"/>
      <c r="Q376" s="248"/>
      <c r="R376" s="248"/>
      <c r="S376" s="248"/>
    </row>
    <row r="377" hidden="1">
      <c r="A377" s="267">
        <v>11.0</v>
      </c>
      <c r="B377" s="267">
        <v>3.0</v>
      </c>
      <c r="C377" s="267">
        <v>8.0</v>
      </c>
      <c r="D377" s="269"/>
      <c r="E377" s="269"/>
      <c r="F377" s="269"/>
      <c r="G377" s="269"/>
      <c r="H377" s="269"/>
      <c r="I377" s="269"/>
      <c r="J377" s="269"/>
      <c r="K377" s="269"/>
      <c r="L377" s="269"/>
      <c r="M377" s="269"/>
      <c r="N377" s="269"/>
      <c r="O377" s="269"/>
      <c r="P377" s="269"/>
      <c r="Q377" s="269"/>
      <c r="R377" s="269"/>
      <c r="S377" s="269"/>
    </row>
    <row r="378">
      <c r="A378" s="261" t="s">
        <v>5665</v>
      </c>
      <c r="B378" s="256">
        <v>4.0</v>
      </c>
      <c r="C378" s="256">
        <v>0.0</v>
      </c>
      <c r="D378" s="302" t="s">
        <v>5690</v>
      </c>
      <c r="E378" s="286" t="s">
        <v>5691</v>
      </c>
      <c r="F378" s="287"/>
      <c r="G378" s="247" t="s">
        <v>5273</v>
      </c>
      <c r="H378" s="247" t="s">
        <v>5605</v>
      </c>
      <c r="I378" s="248"/>
      <c r="J378" s="248"/>
      <c r="K378" s="248"/>
      <c r="L378" s="248"/>
      <c r="M378" s="248"/>
      <c r="N378" s="248"/>
      <c r="O378" s="248"/>
      <c r="P378" s="248"/>
      <c r="Q378" s="248"/>
      <c r="R378" s="248"/>
      <c r="S378" s="248"/>
    </row>
    <row r="379">
      <c r="A379" s="256">
        <v>11.0</v>
      </c>
      <c r="B379" s="256">
        <v>4.0</v>
      </c>
      <c r="C379" s="256">
        <v>1.0</v>
      </c>
      <c r="D379" s="302" t="s">
        <v>743</v>
      </c>
      <c r="E379" s="286" t="s">
        <v>5692</v>
      </c>
      <c r="F379" s="287"/>
      <c r="G379" s="247" t="s">
        <v>5273</v>
      </c>
      <c r="H379" s="247" t="s">
        <v>5605</v>
      </c>
      <c r="I379" s="248"/>
      <c r="J379" s="248"/>
      <c r="K379" s="248"/>
      <c r="L379" s="248"/>
      <c r="M379" s="248"/>
      <c r="N379" s="248"/>
      <c r="O379" s="248"/>
      <c r="P379" s="248"/>
      <c r="Q379" s="248"/>
      <c r="R379" s="248"/>
      <c r="S379" s="248"/>
    </row>
    <row r="380">
      <c r="A380" s="256">
        <v>11.0</v>
      </c>
      <c r="B380" s="256">
        <v>4.0</v>
      </c>
      <c r="C380" s="256">
        <v>2.0</v>
      </c>
      <c r="D380" s="300" t="s">
        <v>5545</v>
      </c>
      <c r="E380" s="286" t="s">
        <v>5693</v>
      </c>
      <c r="F380" s="287"/>
      <c r="G380" s="247" t="s">
        <v>5273</v>
      </c>
      <c r="H380" s="247" t="s">
        <v>5605</v>
      </c>
      <c r="I380" s="248"/>
      <c r="J380" s="248"/>
      <c r="K380" s="248"/>
      <c r="L380" s="248"/>
      <c r="M380" s="248"/>
      <c r="N380" s="248"/>
      <c r="O380" s="248"/>
      <c r="P380" s="248"/>
      <c r="Q380" s="248"/>
      <c r="R380" s="248"/>
      <c r="S380" s="248"/>
    </row>
    <row r="381">
      <c r="A381" s="256">
        <v>11.0</v>
      </c>
      <c r="B381" s="256">
        <v>4.0</v>
      </c>
      <c r="C381" s="256">
        <v>3.0</v>
      </c>
      <c r="D381" s="300" t="s">
        <v>5545</v>
      </c>
      <c r="E381" s="286" t="s">
        <v>5694</v>
      </c>
      <c r="F381" s="287"/>
      <c r="G381" s="247" t="s">
        <v>5273</v>
      </c>
      <c r="H381" s="247" t="s">
        <v>5605</v>
      </c>
      <c r="I381" s="248"/>
      <c r="J381" s="248"/>
      <c r="K381" s="248"/>
      <c r="L381" s="248"/>
      <c r="M381" s="248"/>
      <c r="N381" s="248"/>
      <c r="O381" s="248"/>
      <c r="P381" s="248"/>
      <c r="Q381" s="248"/>
      <c r="R381" s="248"/>
      <c r="S381" s="248"/>
    </row>
    <row r="382">
      <c r="A382" s="256">
        <v>11.0</v>
      </c>
      <c r="B382" s="256">
        <v>4.0</v>
      </c>
      <c r="C382" s="256">
        <v>4.0</v>
      </c>
      <c r="D382" s="300" t="s">
        <v>69</v>
      </c>
      <c r="E382" s="286" t="s">
        <v>5695</v>
      </c>
      <c r="F382" s="287"/>
      <c r="G382" s="247" t="s">
        <v>5273</v>
      </c>
      <c r="H382" s="247" t="s">
        <v>5605</v>
      </c>
      <c r="I382" s="248"/>
      <c r="J382" s="248"/>
      <c r="K382" s="248"/>
      <c r="L382" s="248"/>
      <c r="M382" s="248"/>
      <c r="N382" s="248"/>
      <c r="O382" s="248"/>
      <c r="P382" s="248"/>
      <c r="Q382" s="248"/>
      <c r="R382" s="248"/>
      <c r="S382" s="248"/>
    </row>
    <row r="383">
      <c r="A383" s="261" t="s">
        <v>5665</v>
      </c>
      <c r="B383" s="256">
        <v>4.0</v>
      </c>
      <c r="C383" s="256">
        <v>5.0</v>
      </c>
      <c r="D383" s="257" t="s">
        <v>69</v>
      </c>
      <c r="E383" s="286" t="s">
        <v>5696</v>
      </c>
      <c r="F383" s="287"/>
      <c r="G383" s="247" t="s">
        <v>5273</v>
      </c>
      <c r="H383" s="247" t="s">
        <v>5273</v>
      </c>
      <c r="I383" s="248"/>
      <c r="J383" s="248"/>
      <c r="K383" s="248"/>
      <c r="L383" s="248"/>
      <c r="M383" s="248"/>
      <c r="N383" s="248"/>
      <c r="O383" s="248"/>
      <c r="P383" s="248"/>
      <c r="Q383" s="248"/>
      <c r="R383" s="248"/>
      <c r="S383" s="248"/>
    </row>
    <row r="384">
      <c r="A384" s="261" t="s">
        <v>5665</v>
      </c>
      <c r="B384" s="256">
        <v>4.0</v>
      </c>
      <c r="C384" s="256">
        <v>6.0</v>
      </c>
      <c r="D384" s="300" t="s">
        <v>5697</v>
      </c>
      <c r="E384" s="286" t="s">
        <v>5698</v>
      </c>
      <c r="F384" s="287"/>
      <c r="G384" s="247" t="s">
        <v>5273</v>
      </c>
      <c r="H384" s="247" t="s">
        <v>5273</v>
      </c>
      <c r="I384" s="248"/>
      <c r="J384" s="248"/>
      <c r="K384" s="248"/>
      <c r="L384" s="248"/>
      <c r="M384" s="248"/>
      <c r="N384" s="248"/>
      <c r="O384" s="248"/>
      <c r="P384" s="248"/>
      <c r="Q384" s="248"/>
      <c r="R384" s="248"/>
      <c r="S384" s="248"/>
    </row>
    <row r="385">
      <c r="A385" s="261" t="s">
        <v>5665</v>
      </c>
      <c r="B385" s="256">
        <v>4.0</v>
      </c>
      <c r="C385" s="256">
        <v>7.0</v>
      </c>
      <c r="D385" s="300" t="s">
        <v>5699</v>
      </c>
      <c r="E385" s="286" t="s">
        <v>5700</v>
      </c>
      <c r="F385" s="287"/>
      <c r="G385" s="247" t="s">
        <v>5273</v>
      </c>
      <c r="H385" s="247" t="s">
        <v>5273</v>
      </c>
      <c r="I385" s="248"/>
      <c r="J385" s="248"/>
      <c r="K385" s="248"/>
      <c r="L385" s="248"/>
      <c r="M385" s="248"/>
      <c r="N385" s="248"/>
      <c r="O385" s="248"/>
      <c r="P385" s="248"/>
      <c r="Q385" s="248"/>
      <c r="R385" s="248"/>
      <c r="S385" s="248"/>
    </row>
    <row r="386">
      <c r="A386" s="261" t="s">
        <v>5665</v>
      </c>
      <c r="B386" s="256">
        <v>4.0</v>
      </c>
      <c r="C386" s="256">
        <v>8.0</v>
      </c>
      <c r="D386" s="300" t="s">
        <v>5701</v>
      </c>
      <c r="E386" s="286" t="s">
        <v>5702</v>
      </c>
      <c r="F386" s="287"/>
      <c r="G386" s="247" t="s">
        <v>5273</v>
      </c>
      <c r="H386" s="247" t="s">
        <v>5273</v>
      </c>
      <c r="I386" s="248"/>
      <c r="J386" s="248"/>
      <c r="K386" s="248"/>
      <c r="L386" s="248"/>
      <c r="M386" s="248"/>
      <c r="N386" s="248"/>
      <c r="O386" s="248"/>
      <c r="P386" s="248"/>
      <c r="Q386" s="248"/>
      <c r="R386" s="248"/>
      <c r="S386" s="248"/>
    </row>
    <row r="387" hidden="1">
      <c r="A387" s="297">
        <v>11.0</v>
      </c>
      <c r="B387" s="297">
        <v>4.0</v>
      </c>
      <c r="C387" s="297">
        <v>9.0</v>
      </c>
      <c r="D387" s="298"/>
      <c r="E387" s="298"/>
      <c r="F387" s="298"/>
      <c r="G387" s="298"/>
      <c r="H387" s="298"/>
      <c r="I387" s="298"/>
      <c r="J387" s="298"/>
      <c r="K387" s="298"/>
      <c r="L387" s="298"/>
      <c r="M387" s="298"/>
      <c r="N387" s="298"/>
      <c r="O387" s="298"/>
      <c r="P387" s="298"/>
      <c r="Q387" s="298"/>
      <c r="R387" s="298"/>
      <c r="S387" s="298"/>
    </row>
    <row r="388" hidden="1">
      <c r="A388" s="256">
        <v>11.0</v>
      </c>
      <c r="B388" s="256">
        <v>5.0</v>
      </c>
      <c r="C388" s="256">
        <v>0.0</v>
      </c>
      <c r="D388" s="257" t="s">
        <v>5373</v>
      </c>
      <c r="E388" s="258" t="s">
        <v>5703</v>
      </c>
      <c r="F388" s="258"/>
      <c r="G388" s="248"/>
      <c r="H388" s="247" t="s">
        <v>5604</v>
      </c>
      <c r="I388" s="248"/>
      <c r="J388" s="248"/>
      <c r="K388" s="248"/>
      <c r="L388" s="248"/>
      <c r="M388" s="248"/>
      <c r="N388" s="248"/>
      <c r="O388" s="248"/>
      <c r="P388" s="248"/>
      <c r="Q388" s="248"/>
      <c r="R388" s="248"/>
      <c r="S388" s="248"/>
    </row>
    <row r="389" hidden="1">
      <c r="A389" s="256">
        <v>11.0</v>
      </c>
      <c r="B389" s="256">
        <v>5.0</v>
      </c>
      <c r="C389" s="256">
        <v>1.0</v>
      </c>
      <c r="D389" s="257" t="s">
        <v>69</v>
      </c>
      <c r="E389" s="258" t="s">
        <v>5704</v>
      </c>
      <c r="F389" s="258"/>
      <c r="G389" s="248"/>
      <c r="H389" s="247" t="s">
        <v>5604</v>
      </c>
      <c r="I389" s="248"/>
      <c r="J389" s="248"/>
      <c r="K389" s="248"/>
      <c r="L389" s="248"/>
      <c r="M389" s="248"/>
      <c r="N389" s="248"/>
      <c r="O389" s="248"/>
      <c r="P389" s="248"/>
      <c r="Q389" s="248"/>
      <c r="R389" s="248"/>
      <c r="S389" s="248"/>
    </row>
    <row r="390" hidden="1">
      <c r="A390" s="256">
        <v>11.0</v>
      </c>
      <c r="B390" s="256">
        <v>5.0</v>
      </c>
      <c r="C390" s="256">
        <v>2.0</v>
      </c>
      <c r="D390" s="257" t="s">
        <v>69</v>
      </c>
      <c r="E390" s="258" t="s">
        <v>5705</v>
      </c>
      <c r="F390" s="258"/>
      <c r="G390" s="248"/>
      <c r="H390" s="247" t="s">
        <v>5604</v>
      </c>
      <c r="I390" s="248"/>
      <c r="J390" s="248"/>
      <c r="K390" s="248"/>
      <c r="L390" s="248"/>
      <c r="M390" s="248"/>
      <c r="N390" s="248"/>
      <c r="O390" s="248"/>
      <c r="P390" s="248"/>
      <c r="Q390" s="248"/>
      <c r="R390" s="248"/>
      <c r="S390" s="248"/>
    </row>
    <row r="391" hidden="1">
      <c r="A391" s="256">
        <v>11.0</v>
      </c>
      <c r="B391" s="256">
        <v>5.0</v>
      </c>
      <c r="C391" s="256">
        <v>3.0</v>
      </c>
      <c r="D391" s="257" t="s">
        <v>69</v>
      </c>
      <c r="E391" s="258" t="s">
        <v>5706</v>
      </c>
      <c r="F391" s="258"/>
      <c r="G391" s="248"/>
      <c r="H391" s="247" t="s">
        <v>5604</v>
      </c>
      <c r="I391" s="248"/>
      <c r="J391" s="248"/>
      <c r="K391" s="248"/>
      <c r="L391" s="248"/>
      <c r="M391" s="248"/>
      <c r="N391" s="248"/>
      <c r="O391" s="248"/>
      <c r="P391" s="248"/>
      <c r="Q391" s="248"/>
      <c r="R391" s="248"/>
      <c r="S391" s="248"/>
    </row>
    <row r="392" hidden="1">
      <c r="A392" s="256">
        <v>11.0</v>
      </c>
      <c r="B392" s="256">
        <v>5.0</v>
      </c>
      <c r="C392" s="256">
        <v>4.0</v>
      </c>
      <c r="D392" s="257" t="s">
        <v>69</v>
      </c>
      <c r="E392" s="258" t="s">
        <v>5707</v>
      </c>
      <c r="F392" s="258"/>
      <c r="G392" s="248"/>
      <c r="H392" s="247" t="s">
        <v>5604</v>
      </c>
      <c r="I392" s="248"/>
      <c r="J392" s="248"/>
      <c r="K392" s="248"/>
      <c r="L392" s="248"/>
      <c r="M392" s="248"/>
      <c r="N392" s="248"/>
      <c r="O392" s="248"/>
      <c r="P392" s="248"/>
      <c r="Q392" s="248"/>
      <c r="R392" s="248"/>
      <c r="S392" s="248"/>
    </row>
    <row r="393" hidden="1">
      <c r="A393" s="256">
        <v>11.0</v>
      </c>
      <c r="B393" s="256">
        <v>5.0</v>
      </c>
      <c r="C393" s="256">
        <v>5.0</v>
      </c>
      <c r="D393" s="257" t="s">
        <v>69</v>
      </c>
      <c r="E393" s="258" t="s">
        <v>5708</v>
      </c>
      <c r="F393" s="258"/>
      <c r="G393" s="248"/>
      <c r="H393" s="247" t="s">
        <v>5604</v>
      </c>
      <c r="I393" s="248"/>
      <c r="J393" s="248"/>
      <c r="K393" s="248"/>
      <c r="L393" s="248"/>
      <c r="M393" s="248"/>
      <c r="N393" s="248"/>
      <c r="O393" s="248"/>
      <c r="P393" s="248"/>
      <c r="Q393" s="248"/>
      <c r="R393" s="248"/>
      <c r="S393" s="248"/>
    </row>
    <row r="394" hidden="1">
      <c r="A394" s="256">
        <v>11.0</v>
      </c>
      <c r="B394" s="256">
        <v>5.0</v>
      </c>
      <c r="C394" s="256">
        <v>6.0</v>
      </c>
      <c r="D394" s="314" t="s">
        <v>5548</v>
      </c>
      <c r="E394" s="248"/>
      <c r="F394" s="248"/>
      <c r="G394" s="247" t="s">
        <v>5709</v>
      </c>
      <c r="H394" s="247" t="s">
        <v>5605</v>
      </c>
      <c r="I394" s="248"/>
      <c r="J394" s="248"/>
      <c r="K394" s="248"/>
      <c r="L394" s="248"/>
      <c r="M394" s="248"/>
      <c r="N394" s="248"/>
      <c r="O394" s="248"/>
      <c r="P394" s="248"/>
      <c r="Q394" s="248"/>
      <c r="R394" s="248"/>
      <c r="S394" s="248"/>
    </row>
    <row r="395">
      <c r="A395" s="261" t="s">
        <v>5665</v>
      </c>
      <c r="B395" s="256">
        <v>5.0</v>
      </c>
      <c r="C395" s="256">
        <v>7.0</v>
      </c>
      <c r="D395" s="257" t="s">
        <v>4677</v>
      </c>
      <c r="E395" s="258" t="s">
        <v>5710</v>
      </c>
      <c r="F395" s="247"/>
      <c r="G395" s="248"/>
      <c r="H395" s="247" t="s">
        <v>5604</v>
      </c>
      <c r="I395" s="248"/>
      <c r="J395" s="248"/>
      <c r="K395" s="248"/>
      <c r="L395" s="248"/>
      <c r="M395" s="248"/>
      <c r="N395" s="248"/>
      <c r="O395" s="248"/>
      <c r="P395" s="248"/>
      <c r="Q395" s="248"/>
      <c r="R395" s="248"/>
      <c r="S395" s="248"/>
    </row>
    <row r="396" hidden="1">
      <c r="A396" s="256">
        <v>11.0</v>
      </c>
      <c r="B396" s="256">
        <v>5.0</v>
      </c>
      <c r="C396" s="256">
        <v>8.0</v>
      </c>
      <c r="D396" s="257" t="s">
        <v>5711</v>
      </c>
      <c r="E396" s="258" t="s">
        <v>5712</v>
      </c>
      <c r="F396" s="258"/>
      <c r="G396" s="248"/>
      <c r="H396" s="247" t="s">
        <v>5604</v>
      </c>
      <c r="I396" s="248"/>
      <c r="J396" s="248"/>
      <c r="K396" s="248"/>
      <c r="L396" s="248"/>
      <c r="M396" s="248"/>
      <c r="N396" s="248"/>
      <c r="O396" s="248"/>
      <c r="P396" s="248"/>
      <c r="Q396" s="248"/>
      <c r="R396" s="248"/>
      <c r="S396" s="248"/>
    </row>
    <row r="397" hidden="1">
      <c r="A397" s="297">
        <v>11.0</v>
      </c>
      <c r="B397" s="297">
        <v>5.0</v>
      </c>
      <c r="C397" s="297">
        <v>9.0</v>
      </c>
      <c r="D397" s="298"/>
      <c r="E397" s="298"/>
      <c r="F397" s="298"/>
      <c r="G397" s="298"/>
      <c r="H397" s="298"/>
      <c r="I397" s="298"/>
      <c r="J397" s="298"/>
      <c r="K397" s="298"/>
      <c r="L397" s="298"/>
      <c r="M397" s="298"/>
      <c r="N397" s="298"/>
      <c r="O397" s="298"/>
      <c r="P397" s="298"/>
      <c r="Q397" s="298"/>
      <c r="R397" s="298"/>
      <c r="S397" s="298"/>
    </row>
    <row r="398" hidden="1">
      <c r="A398" s="256">
        <v>11.0</v>
      </c>
      <c r="B398" s="256">
        <v>6.0</v>
      </c>
      <c r="C398" s="256">
        <v>0.0</v>
      </c>
      <c r="D398" s="247" t="s">
        <v>5713</v>
      </c>
      <c r="E398" s="286" t="s">
        <v>5714</v>
      </c>
      <c r="F398" s="286"/>
      <c r="G398" s="248"/>
      <c r="H398" s="247" t="s">
        <v>5605</v>
      </c>
      <c r="I398" s="248"/>
      <c r="J398" s="248"/>
      <c r="K398" s="248"/>
      <c r="L398" s="248"/>
      <c r="M398" s="248"/>
      <c r="N398" s="248"/>
      <c r="O398" s="248"/>
      <c r="P398" s="248"/>
      <c r="Q398" s="248"/>
      <c r="R398" s="248"/>
      <c r="S398" s="248"/>
    </row>
    <row r="399" hidden="1">
      <c r="A399" s="256">
        <v>11.0</v>
      </c>
      <c r="B399" s="256">
        <v>6.0</v>
      </c>
      <c r="C399" s="256">
        <v>1.0</v>
      </c>
      <c r="D399" s="247" t="s">
        <v>5713</v>
      </c>
      <c r="E399" s="258" t="s">
        <v>5715</v>
      </c>
      <c r="F399" s="258"/>
      <c r="G399" s="248"/>
      <c r="H399" s="247" t="s">
        <v>5605</v>
      </c>
      <c r="I399" s="248"/>
      <c r="J399" s="248"/>
      <c r="K399" s="248"/>
      <c r="L399" s="248"/>
      <c r="M399" s="248"/>
      <c r="N399" s="248"/>
      <c r="O399" s="248"/>
      <c r="P399" s="248"/>
      <c r="Q399" s="248"/>
      <c r="R399" s="248"/>
      <c r="S399" s="248"/>
    </row>
    <row r="400" hidden="1">
      <c r="A400" s="256">
        <v>11.0</v>
      </c>
      <c r="B400" s="256">
        <v>6.0</v>
      </c>
      <c r="C400" s="256">
        <v>2.0</v>
      </c>
      <c r="D400" s="247" t="s">
        <v>5713</v>
      </c>
      <c r="E400" s="258" t="s">
        <v>5716</v>
      </c>
      <c r="F400" s="258"/>
      <c r="G400" s="248"/>
      <c r="H400" s="247" t="s">
        <v>5605</v>
      </c>
      <c r="I400" s="248"/>
      <c r="J400" s="248"/>
      <c r="K400" s="248"/>
      <c r="L400" s="248"/>
      <c r="M400" s="248"/>
      <c r="N400" s="248"/>
      <c r="O400" s="248"/>
      <c r="P400" s="248"/>
      <c r="Q400" s="248"/>
      <c r="R400" s="248"/>
      <c r="S400" s="248"/>
    </row>
    <row r="401">
      <c r="A401" s="256">
        <v>11.0</v>
      </c>
      <c r="B401" s="256">
        <v>6.0</v>
      </c>
      <c r="C401" s="256">
        <v>3.0</v>
      </c>
      <c r="D401" s="247" t="s">
        <v>5713</v>
      </c>
      <c r="E401" s="258" t="s">
        <v>5717</v>
      </c>
      <c r="F401" s="247"/>
      <c r="G401" s="248"/>
      <c r="H401" s="247" t="s">
        <v>5605</v>
      </c>
      <c r="I401" s="248"/>
      <c r="J401" s="248"/>
      <c r="K401" s="248"/>
      <c r="L401" s="248"/>
      <c r="M401" s="248"/>
      <c r="N401" s="248"/>
      <c r="O401" s="248"/>
      <c r="P401" s="248"/>
      <c r="Q401" s="248"/>
      <c r="R401" s="248"/>
      <c r="S401" s="248"/>
    </row>
    <row r="402" hidden="1">
      <c r="A402" s="256">
        <v>11.0</v>
      </c>
      <c r="B402" s="256">
        <v>6.0</v>
      </c>
      <c r="C402" s="256">
        <v>4.0</v>
      </c>
      <c r="D402" s="247" t="s">
        <v>5713</v>
      </c>
      <c r="E402" s="258" t="s">
        <v>5718</v>
      </c>
      <c r="F402" s="258"/>
      <c r="G402" s="248"/>
      <c r="H402" s="247" t="s">
        <v>5605</v>
      </c>
      <c r="I402" s="248"/>
      <c r="J402" s="248"/>
      <c r="K402" s="248"/>
      <c r="L402" s="248"/>
      <c r="M402" s="248"/>
      <c r="N402" s="248"/>
      <c r="O402" s="248"/>
      <c r="P402" s="248"/>
      <c r="Q402" s="248"/>
      <c r="R402" s="248"/>
      <c r="S402" s="248"/>
    </row>
    <row r="403" hidden="1">
      <c r="A403" s="256">
        <v>11.0</v>
      </c>
      <c r="B403" s="256">
        <v>6.0</v>
      </c>
      <c r="C403" s="256">
        <v>5.0</v>
      </c>
      <c r="D403" s="314" t="s">
        <v>5548</v>
      </c>
      <c r="E403" s="308"/>
      <c r="F403" s="308"/>
      <c r="G403" s="248"/>
      <c r="H403" s="247" t="s">
        <v>5605</v>
      </c>
      <c r="I403" s="248"/>
      <c r="J403" s="248"/>
      <c r="K403" s="248"/>
      <c r="L403" s="248"/>
      <c r="M403" s="248"/>
      <c r="N403" s="248"/>
      <c r="O403" s="248"/>
      <c r="P403" s="248"/>
      <c r="Q403" s="248"/>
      <c r="R403" s="248"/>
      <c r="S403" s="248"/>
    </row>
    <row r="404">
      <c r="A404" s="261" t="s">
        <v>5665</v>
      </c>
      <c r="B404" s="256">
        <v>6.0</v>
      </c>
      <c r="C404" s="256">
        <v>6.0</v>
      </c>
      <c r="D404" s="247" t="s">
        <v>5713</v>
      </c>
      <c r="E404" s="283" t="s">
        <v>5719</v>
      </c>
      <c r="F404" s="313"/>
      <c r="G404" s="248"/>
      <c r="H404" s="247" t="s">
        <v>5605</v>
      </c>
      <c r="I404" s="248"/>
      <c r="J404" s="248"/>
      <c r="K404" s="248"/>
      <c r="L404" s="248"/>
      <c r="M404" s="248"/>
      <c r="N404" s="248"/>
      <c r="O404" s="248"/>
      <c r="P404" s="248"/>
      <c r="Q404" s="248"/>
      <c r="R404" s="248"/>
      <c r="S404" s="248"/>
    </row>
    <row r="405" hidden="1">
      <c r="A405" s="256">
        <v>11.0</v>
      </c>
      <c r="B405" s="256">
        <v>6.0</v>
      </c>
      <c r="C405" s="256">
        <v>7.0</v>
      </c>
      <c r="D405" s="247" t="s">
        <v>5713</v>
      </c>
      <c r="E405" s="315" t="s">
        <v>5720</v>
      </c>
      <c r="F405" s="315"/>
      <c r="G405" s="248"/>
      <c r="H405" s="247" t="s">
        <v>5605</v>
      </c>
      <c r="I405" s="248"/>
      <c r="J405" s="248"/>
      <c r="K405" s="248"/>
      <c r="L405" s="248"/>
      <c r="M405" s="248"/>
      <c r="N405" s="248"/>
      <c r="O405" s="248"/>
      <c r="P405" s="248"/>
      <c r="Q405" s="248"/>
      <c r="R405" s="248"/>
      <c r="S405" s="248"/>
    </row>
    <row r="406" hidden="1">
      <c r="A406" s="297">
        <v>11.0</v>
      </c>
      <c r="B406" s="297">
        <v>6.0</v>
      </c>
      <c r="C406" s="297">
        <v>8.0</v>
      </c>
      <c r="D406" s="298"/>
      <c r="E406" s="298"/>
      <c r="F406" s="298"/>
      <c r="G406" s="298"/>
      <c r="H406" s="298"/>
      <c r="I406" s="298"/>
      <c r="J406" s="298"/>
      <c r="K406" s="298"/>
      <c r="L406" s="298"/>
      <c r="M406" s="298"/>
      <c r="N406" s="298"/>
      <c r="O406" s="298"/>
      <c r="P406" s="298"/>
      <c r="Q406" s="298"/>
      <c r="R406" s="298"/>
      <c r="S406" s="298"/>
    </row>
    <row r="407" hidden="1">
      <c r="A407" s="256">
        <v>11.0</v>
      </c>
      <c r="B407" s="256">
        <v>7.0</v>
      </c>
      <c r="C407" s="256">
        <v>0.0</v>
      </c>
      <c r="D407" s="257" t="s">
        <v>5721</v>
      </c>
      <c r="E407" s="258" t="s">
        <v>5722</v>
      </c>
      <c r="F407" s="258"/>
      <c r="G407" s="248"/>
      <c r="H407" s="247" t="s">
        <v>5605</v>
      </c>
      <c r="I407" s="248"/>
      <c r="J407" s="248"/>
      <c r="K407" s="248"/>
      <c r="L407" s="248"/>
      <c r="M407" s="248"/>
      <c r="N407" s="248"/>
      <c r="O407" s="248"/>
      <c r="P407" s="248"/>
      <c r="Q407" s="248"/>
      <c r="R407" s="248"/>
      <c r="S407" s="248"/>
    </row>
    <row r="408" hidden="1">
      <c r="A408" s="256">
        <v>11.0</v>
      </c>
      <c r="B408" s="256">
        <v>7.0</v>
      </c>
      <c r="C408" s="256">
        <v>1.0</v>
      </c>
      <c r="D408" s="257" t="s">
        <v>69</v>
      </c>
      <c r="E408" s="258" t="s">
        <v>5723</v>
      </c>
      <c r="F408" s="258"/>
      <c r="G408" s="248"/>
      <c r="H408" s="247" t="s">
        <v>5605</v>
      </c>
      <c r="I408" s="248"/>
      <c r="J408" s="248"/>
      <c r="K408" s="248"/>
      <c r="L408" s="248"/>
      <c r="M408" s="248"/>
      <c r="N408" s="248"/>
      <c r="O408" s="248"/>
      <c r="P408" s="248"/>
      <c r="Q408" s="248"/>
      <c r="R408" s="248"/>
      <c r="S408" s="248"/>
    </row>
    <row r="409" hidden="1">
      <c r="A409" s="256">
        <v>11.0</v>
      </c>
      <c r="B409" s="256">
        <v>7.0</v>
      </c>
      <c r="C409" s="256">
        <v>2.0</v>
      </c>
      <c r="D409" s="257" t="s">
        <v>69</v>
      </c>
      <c r="E409" s="258" t="s">
        <v>5724</v>
      </c>
      <c r="F409" s="258"/>
      <c r="G409" s="248"/>
      <c r="H409" s="247" t="s">
        <v>5605</v>
      </c>
      <c r="I409" s="248"/>
      <c r="J409" s="248"/>
      <c r="K409" s="248"/>
      <c r="L409" s="248"/>
      <c r="M409" s="248"/>
      <c r="N409" s="248"/>
      <c r="O409" s="248"/>
      <c r="P409" s="248"/>
      <c r="Q409" s="248"/>
      <c r="R409" s="248"/>
      <c r="S409" s="248"/>
    </row>
    <row r="410" hidden="1">
      <c r="A410" s="256">
        <v>11.0</v>
      </c>
      <c r="B410" s="256">
        <v>7.0</v>
      </c>
      <c r="C410" s="256">
        <v>3.0</v>
      </c>
      <c r="D410" s="257" t="s">
        <v>69</v>
      </c>
      <c r="E410" s="258" t="s">
        <v>5725</v>
      </c>
      <c r="F410" s="258"/>
      <c r="G410" s="248"/>
      <c r="H410" s="247" t="s">
        <v>5605</v>
      </c>
      <c r="I410" s="248"/>
      <c r="J410" s="248"/>
      <c r="K410" s="248"/>
      <c r="L410" s="248"/>
      <c r="M410" s="248"/>
      <c r="N410" s="248"/>
      <c r="O410" s="248"/>
      <c r="P410" s="248"/>
      <c r="Q410" s="248"/>
      <c r="R410" s="248"/>
      <c r="S410" s="248"/>
    </row>
    <row r="411" hidden="1">
      <c r="A411" s="256">
        <v>11.0</v>
      </c>
      <c r="B411" s="256">
        <v>7.0</v>
      </c>
      <c r="C411" s="256">
        <v>4.0</v>
      </c>
      <c r="D411" s="257" t="s">
        <v>69</v>
      </c>
      <c r="E411" s="258" t="s">
        <v>5726</v>
      </c>
      <c r="F411" s="258"/>
      <c r="G411" s="248"/>
      <c r="H411" s="247" t="s">
        <v>5605</v>
      </c>
      <c r="I411" s="248"/>
      <c r="J411" s="248"/>
      <c r="K411" s="248"/>
      <c r="L411" s="248"/>
      <c r="M411" s="248"/>
      <c r="N411" s="248"/>
      <c r="O411" s="248"/>
      <c r="P411" s="248"/>
      <c r="Q411" s="248"/>
      <c r="R411" s="248"/>
      <c r="S411" s="248"/>
    </row>
    <row r="412" hidden="1">
      <c r="A412" s="256">
        <v>11.0</v>
      </c>
      <c r="B412" s="256">
        <v>7.0</v>
      </c>
      <c r="C412" s="256">
        <v>5.0</v>
      </c>
      <c r="D412" s="314" t="s">
        <v>5548</v>
      </c>
      <c r="E412" s="248"/>
      <c r="F412" s="248"/>
      <c r="G412" s="248"/>
      <c r="H412" s="247" t="s">
        <v>5605</v>
      </c>
      <c r="I412" s="248"/>
      <c r="J412" s="248"/>
      <c r="K412" s="248"/>
      <c r="L412" s="248"/>
      <c r="M412" s="248"/>
      <c r="N412" s="248"/>
      <c r="O412" s="248"/>
      <c r="P412" s="248"/>
      <c r="Q412" s="248"/>
      <c r="R412" s="248"/>
      <c r="S412" s="248"/>
    </row>
    <row r="413">
      <c r="A413" s="261" t="s">
        <v>5665</v>
      </c>
      <c r="B413" s="256">
        <v>7.0</v>
      </c>
      <c r="C413" s="256">
        <v>6.0</v>
      </c>
      <c r="D413" s="257" t="s">
        <v>3437</v>
      </c>
      <c r="E413" s="258" t="s">
        <v>5727</v>
      </c>
      <c r="F413" s="247"/>
      <c r="G413" s="248"/>
      <c r="H413" s="247" t="s">
        <v>5605</v>
      </c>
      <c r="I413" s="248"/>
      <c r="J413" s="248"/>
      <c r="K413" s="248"/>
      <c r="L413" s="248"/>
      <c r="M413" s="248"/>
      <c r="N413" s="248"/>
      <c r="O413" s="248"/>
      <c r="P413" s="248"/>
      <c r="Q413" s="248"/>
      <c r="R413" s="248"/>
      <c r="S413" s="248"/>
    </row>
    <row r="414" hidden="1">
      <c r="A414" s="256">
        <v>11.0</v>
      </c>
      <c r="B414" s="256">
        <v>7.0</v>
      </c>
      <c r="C414" s="256">
        <v>7.0</v>
      </c>
      <c r="D414" s="257" t="s">
        <v>5711</v>
      </c>
      <c r="E414" s="258" t="s">
        <v>5728</v>
      </c>
      <c r="F414" s="258"/>
      <c r="G414" s="248"/>
      <c r="H414" s="247" t="s">
        <v>5605</v>
      </c>
      <c r="I414" s="248"/>
      <c r="J414" s="248"/>
      <c r="K414" s="248"/>
      <c r="L414" s="248"/>
      <c r="M414" s="248"/>
      <c r="N414" s="248"/>
      <c r="O414" s="248"/>
      <c r="P414" s="248"/>
      <c r="Q414" s="248"/>
      <c r="R414" s="248"/>
      <c r="S414" s="248"/>
    </row>
    <row r="415" hidden="1">
      <c r="A415" s="297">
        <v>11.0</v>
      </c>
      <c r="B415" s="297">
        <v>7.0</v>
      </c>
      <c r="C415" s="297">
        <v>8.0</v>
      </c>
      <c r="D415" s="298"/>
      <c r="E415" s="298"/>
      <c r="F415" s="298"/>
      <c r="G415" s="298"/>
      <c r="H415" s="298"/>
      <c r="I415" s="298"/>
      <c r="J415" s="298"/>
      <c r="K415" s="298"/>
      <c r="L415" s="298"/>
      <c r="M415" s="298"/>
      <c r="N415" s="298"/>
      <c r="O415" s="298"/>
      <c r="P415" s="298"/>
      <c r="Q415" s="298"/>
      <c r="R415" s="298"/>
      <c r="S415" s="298"/>
    </row>
    <row r="416" hidden="1">
      <c r="A416" s="256">
        <v>12.0</v>
      </c>
      <c r="B416" s="256">
        <v>1.0</v>
      </c>
      <c r="C416" s="256">
        <v>0.0</v>
      </c>
      <c r="D416" s="257" t="s">
        <v>5373</v>
      </c>
      <c r="E416" s="258" t="s">
        <v>5729</v>
      </c>
      <c r="F416" s="258"/>
      <c r="G416" s="248"/>
      <c r="H416" s="247" t="s">
        <v>5605</v>
      </c>
      <c r="I416" s="248"/>
      <c r="J416" s="248"/>
      <c r="K416" s="248"/>
      <c r="L416" s="248"/>
      <c r="M416" s="248"/>
      <c r="N416" s="248"/>
      <c r="O416" s="248"/>
      <c r="P416" s="248"/>
      <c r="Q416" s="248"/>
      <c r="R416" s="248"/>
      <c r="S416" s="248"/>
    </row>
    <row r="417" hidden="1">
      <c r="A417" s="256">
        <v>12.0</v>
      </c>
      <c r="B417" s="256">
        <v>1.0</v>
      </c>
      <c r="C417" s="256">
        <v>1.0</v>
      </c>
      <c r="D417" s="257" t="s">
        <v>5373</v>
      </c>
      <c r="E417" s="258" t="s">
        <v>5730</v>
      </c>
      <c r="F417" s="258"/>
      <c r="G417" s="248"/>
      <c r="H417" s="247" t="s">
        <v>5273</v>
      </c>
      <c r="I417" s="248"/>
      <c r="J417" s="248"/>
      <c r="K417" s="248"/>
      <c r="L417" s="248"/>
      <c r="M417" s="248"/>
      <c r="N417" s="248"/>
      <c r="O417" s="248"/>
      <c r="P417" s="248"/>
      <c r="Q417" s="248"/>
      <c r="R417" s="248"/>
      <c r="S417" s="248"/>
    </row>
    <row r="418" hidden="1">
      <c r="A418" s="256">
        <v>12.0</v>
      </c>
      <c r="B418" s="256">
        <v>1.0</v>
      </c>
      <c r="C418" s="256">
        <v>1.0</v>
      </c>
      <c r="D418" s="257" t="s">
        <v>5589</v>
      </c>
      <c r="E418" s="258" t="s">
        <v>5731</v>
      </c>
      <c r="F418" s="258"/>
      <c r="G418" s="248"/>
      <c r="H418" s="247" t="s">
        <v>5273</v>
      </c>
      <c r="I418" s="248"/>
      <c r="J418" s="248"/>
      <c r="K418" s="248"/>
      <c r="L418" s="248"/>
      <c r="M418" s="248"/>
      <c r="N418" s="248"/>
      <c r="O418" s="248"/>
      <c r="P418" s="248"/>
      <c r="Q418" s="248"/>
      <c r="R418" s="248"/>
      <c r="S418" s="248"/>
    </row>
    <row r="419" hidden="1">
      <c r="A419" s="256">
        <v>12.0</v>
      </c>
      <c r="B419" s="256">
        <v>1.0</v>
      </c>
      <c r="C419" s="256">
        <v>1.0</v>
      </c>
      <c r="D419" s="257" t="s">
        <v>1389</v>
      </c>
      <c r="E419" s="258" t="s">
        <v>5732</v>
      </c>
      <c r="F419" s="258"/>
      <c r="G419" s="248"/>
      <c r="H419" s="247" t="s">
        <v>5273</v>
      </c>
      <c r="I419" s="248"/>
      <c r="J419" s="248"/>
      <c r="K419" s="248"/>
      <c r="L419" s="248"/>
      <c r="M419" s="248"/>
      <c r="N419" s="248"/>
      <c r="O419" s="248"/>
      <c r="P419" s="248"/>
      <c r="Q419" s="248"/>
      <c r="R419" s="248"/>
      <c r="S419" s="248"/>
    </row>
    <row r="420" hidden="1">
      <c r="A420" s="256">
        <v>12.0</v>
      </c>
      <c r="B420" s="256">
        <v>1.0</v>
      </c>
      <c r="C420" s="256">
        <v>2.0</v>
      </c>
      <c r="D420" s="270"/>
      <c r="E420" s="258" t="s">
        <v>5733</v>
      </c>
      <c r="F420" s="258"/>
      <c r="G420" s="248"/>
      <c r="H420" s="247" t="s">
        <v>5273</v>
      </c>
      <c r="I420" s="248"/>
      <c r="J420" s="248"/>
      <c r="K420" s="248"/>
      <c r="L420" s="248"/>
      <c r="M420" s="248"/>
      <c r="N420" s="248"/>
      <c r="O420" s="248"/>
      <c r="P420" s="248"/>
      <c r="Q420" s="248"/>
      <c r="R420" s="248"/>
      <c r="S420" s="248"/>
    </row>
    <row r="421" hidden="1">
      <c r="A421" s="256">
        <v>12.0</v>
      </c>
      <c r="B421" s="256">
        <v>1.0</v>
      </c>
      <c r="C421" s="256">
        <v>3.0</v>
      </c>
      <c r="D421" s="257" t="s">
        <v>5357</v>
      </c>
      <c r="E421" s="258" t="s">
        <v>5734</v>
      </c>
      <c r="F421" s="258"/>
      <c r="G421" s="248"/>
      <c r="H421" s="247" t="s">
        <v>5273</v>
      </c>
      <c r="I421" s="248"/>
      <c r="J421" s="248"/>
      <c r="K421" s="248"/>
      <c r="L421" s="248"/>
      <c r="M421" s="248"/>
      <c r="N421" s="248"/>
      <c r="O421" s="248"/>
      <c r="P421" s="248"/>
      <c r="Q421" s="248"/>
      <c r="R421" s="248"/>
      <c r="S421" s="248"/>
    </row>
    <row r="422" hidden="1">
      <c r="A422" s="256">
        <v>12.0</v>
      </c>
      <c r="B422" s="256">
        <v>1.0</v>
      </c>
      <c r="C422" s="256">
        <v>3.0</v>
      </c>
      <c r="D422" s="257" t="s">
        <v>5364</v>
      </c>
      <c r="E422" s="258" t="s">
        <v>5735</v>
      </c>
      <c r="F422" s="258"/>
      <c r="G422" s="248"/>
      <c r="H422" s="247" t="s">
        <v>5273</v>
      </c>
      <c r="I422" s="248"/>
      <c r="J422" s="248"/>
      <c r="K422" s="248"/>
      <c r="L422" s="248"/>
      <c r="M422" s="248"/>
      <c r="N422" s="248"/>
      <c r="O422" s="248"/>
      <c r="P422" s="248"/>
      <c r="Q422" s="248"/>
      <c r="R422" s="248"/>
      <c r="S422" s="248"/>
    </row>
    <row r="423" hidden="1">
      <c r="A423" s="256">
        <v>12.0</v>
      </c>
      <c r="B423" s="256">
        <v>1.0</v>
      </c>
      <c r="C423" s="256">
        <v>3.0</v>
      </c>
      <c r="D423" s="257" t="s">
        <v>1389</v>
      </c>
      <c r="E423" s="258" t="s">
        <v>5736</v>
      </c>
      <c r="F423" s="258"/>
      <c r="G423" s="248"/>
      <c r="H423" s="247" t="s">
        <v>5273</v>
      </c>
      <c r="I423" s="248"/>
      <c r="J423" s="248"/>
      <c r="K423" s="248"/>
      <c r="L423" s="248"/>
      <c r="M423" s="248"/>
      <c r="N423" s="248"/>
      <c r="O423" s="248"/>
      <c r="P423" s="248"/>
      <c r="Q423" s="248"/>
      <c r="R423" s="248"/>
      <c r="S423" s="248"/>
    </row>
    <row r="424" hidden="1">
      <c r="A424" s="256">
        <v>12.0</v>
      </c>
      <c r="B424" s="256">
        <v>1.0</v>
      </c>
      <c r="C424" s="256">
        <v>4.0</v>
      </c>
      <c r="D424" s="257" t="s">
        <v>69</v>
      </c>
      <c r="E424" s="258" t="s">
        <v>5737</v>
      </c>
      <c r="F424" s="258"/>
      <c r="G424" s="248"/>
      <c r="H424" s="247" t="s">
        <v>5273</v>
      </c>
      <c r="I424" s="248"/>
      <c r="J424" s="248"/>
      <c r="K424" s="248"/>
      <c r="L424" s="248"/>
      <c r="M424" s="248"/>
      <c r="N424" s="248"/>
      <c r="O424" s="248"/>
      <c r="P424" s="248"/>
      <c r="Q424" s="248"/>
      <c r="R424" s="248"/>
      <c r="S424" s="248"/>
    </row>
    <row r="425">
      <c r="A425" s="261" t="s">
        <v>5738</v>
      </c>
      <c r="B425" s="256">
        <v>1.0</v>
      </c>
      <c r="C425" s="256">
        <v>5.0</v>
      </c>
      <c r="D425" s="270"/>
      <c r="E425" s="258" t="s">
        <v>5739</v>
      </c>
      <c r="F425" s="247"/>
      <c r="G425" s="248"/>
      <c r="H425" s="247" t="s">
        <v>5273</v>
      </c>
      <c r="I425" s="248"/>
      <c r="J425" s="248"/>
      <c r="K425" s="248"/>
      <c r="L425" s="248"/>
      <c r="M425" s="248"/>
      <c r="N425" s="248"/>
      <c r="O425" s="248"/>
      <c r="P425" s="248"/>
      <c r="Q425" s="248"/>
      <c r="R425" s="248"/>
      <c r="S425" s="248"/>
    </row>
    <row r="426">
      <c r="A426" s="261" t="s">
        <v>5738</v>
      </c>
      <c r="B426" s="256">
        <v>1.0</v>
      </c>
      <c r="C426" s="256">
        <v>6.0</v>
      </c>
      <c r="D426" s="257" t="s">
        <v>5290</v>
      </c>
      <c r="E426" s="258" t="s">
        <v>5740</v>
      </c>
      <c r="F426" s="247"/>
      <c r="G426" s="248"/>
      <c r="H426" s="247" t="s">
        <v>5273</v>
      </c>
      <c r="I426" s="248"/>
      <c r="J426" s="248"/>
      <c r="K426" s="248"/>
      <c r="L426" s="248"/>
      <c r="M426" s="248"/>
      <c r="N426" s="248"/>
      <c r="O426" s="248"/>
      <c r="P426" s="248"/>
      <c r="Q426" s="248"/>
      <c r="R426" s="248"/>
      <c r="S426" s="248"/>
    </row>
    <row r="427" hidden="1">
      <c r="A427" s="256">
        <v>12.0</v>
      </c>
      <c r="B427" s="256">
        <v>1.0</v>
      </c>
      <c r="C427" s="256">
        <v>7.0</v>
      </c>
      <c r="D427" s="257" t="s">
        <v>5288</v>
      </c>
      <c r="E427" s="296" t="s">
        <v>5741</v>
      </c>
      <c r="F427" s="296"/>
      <c r="G427" s="248"/>
      <c r="H427" s="247" t="s">
        <v>5605</v>
      </c>
      <c r="I427" s="248"/>
      <c r="J427" s="248"/>
      <c r="K427" s="248"/>
      <c r="L427" s="248"/>
      <c r="M427" s="248"/>
      <c r="N427" s="248"/>
      <c r="O427" s="248"/>
      <c r="P427" s="248"/>
      <c r="Q427" s="248"/>
      <c r="R427" s="248"/>
      <c r="S427" s="248"/>
    </row>
    <row r="428" hidden="1">
      <c r="A428" s="267">
        <v>12.0</v>
      </c>
      <c r="B428" s="267">
        <v>1.0</v>
      </c>
      <c r="C428" s="267">
        <v>8.0</v>
      </c>
      <c r="D428" s="268" t="s">
        <v>5290</v>
      </c>
      <c r="E428" s="269"/>
      <c r="F428" s="269"/>
      <c r="G428" s="269"/>
      <c r="H428" s="269"/>
      <c r="I428" s="269"/>
      <c r="J428" s="269"/>
      <c r="K428" s="269"/>
      <c r="L428" s="269"/>
      <c r="M428" s="269"/>
      <c r="N428" s="269"/>
      <c r="O428" s="269"/>
      <c r="P428" s="269"/>
      <c r="Q428" s="269"/>
      <c r="R428" s="269"/>
      <c r="S428" s="269"/>
    </row>
    <row r="429" hidden="1">
      <c r="A429" s="256">
        <v>12.0</v>
      </c>
      <c r="B429" s="256">
        <v>2.0</v>
      </c>
      <c r="C429" s="256">
        <v>0.0</v>
      </c>
      <c r="D429" s="257" t="s">
        <v>5322</v>
      </c>
      <c r="E429" s="258" t="s">
        <v>5742</v>
      </c>
      <c r="F429" s="258"/>
      <c r="G429" s="248"/>
      <c r="H429" s="247" t="s">
        <v>5273</v>
      </c>
      <c r="I429" s="248"/>
      <c r="J429" s="248"/>
      <c r="K429" s="248"/>
      <c r="L429" s="248"/>
      <c r="M429" s="248"/>
      <c r="N429" s="248"/>
      <c r="O429" s="248"/>
      <c r="P429" s="248"/>
      <c r="Q429" s="248"/>
      <c r="R429" s="248"/>
      <c r="S429" s="248"/>
    </row>
    <row r="430">
      <c r="A430" s="256">
        <v>12.0</v>
      </c>
      <c r="B430" s="256">
        <v>2.0</v>
      </c>
      <c r="C430" s="256">
        <v>1.0</v>
      </c>
      <c r="D430" s="257" t="s">
        <v>5322</v>
      </c>
      <c r="E430" s="284" t="s">
        <v>5743</v>
      </c>
      <c r="F430" s="252"/>
      <c r="G430" s="248"/>
      <c r="H430" s="247" t="s">
        <v>5273</v>
      </c>
      <c r="I430" s="248"/>
      <c r="J430" s="248"/>
      <c r="K430" s="248"/>
      <c r="L430" s="248"/>
      <c r="M430" s="248"/>
      <c r="N430" s="248"/>
      <c r="O430" s="248"/>
      <c r="P430" s="248"/>
      <c r="Q430" s="248"/>
      <c r="R430" s="248"/>
      <c r="S430" s="248"/>
    </row>
    <row r="431">
      <c r="A431" s="256">
        <v>12.0</v>
      </c>
      <c r="B431" s="256">
        <v>2.0</v>
      </c>
      <c r="C431" s="256">
        <v>2.0</v>
      </c>
      <c r="D431" s="270"/>
      <c r="E431" s="296" t="s">
        <v>5744</v>
      </c>
      <c r="F431" s="255"/>
      <c r="G431" s="248"/>
      <c r="H431" s="247" t="s">
        <v>5273</v>
      </c>
      <c r="I431" s="248"/>
      <c r="J431" s="248"/>
      <c r="K431" s="248"/>
      <c r="L431" s="248"/>
      <c r="M431" s="248"/>
      <c r="N431" s="248"/>
      <c r="O431" s="248"/>
      <c r="P431" s="248"/>
      <c r="Q431" s="248"/>
      <c r="R431" s="248"/>
      <c r="S431" s="248"/>
    </row>
    <row r="432" hidden="1">
      <c r="A432" s="256">
        <v>12.0</v>
      </c>
      <c r="B432" s="256">
        <v>2.0</v>
      </c>
      <c r="C432" s="256">
        <v>3.0</v>
      </c>
      <c r="D432" s="257" t="s">
        <v>69</v>
      </c>
      <c r="E432" s="296" t="s">
        <v>5745</v>
      </c>
      <c r="F432" s="296"/>
      <c r="G432" s="248"/>
      <c r="H432" s="247" t="s">
        <v>5273</v>
      </c>
      <c r="I432" s="248"/>
      <c r="J432" s="248"/>
      <c r="K432" s="248"/>
      <c r="L432" s="248"/>
      <c r="M432" s="248"/>
      <c r="N432" s="248"/>
      <c r="O432" s="248"/>
      <c r="P432" s="248"/>
      <c r="Q432" s="248"/>
      <c r="R432" s="248"/>
      <c r="S432" s="248"/>
    </row>
    <row r="433" hidden="1">
      <c r="A433" s="256">
        <v>12.0</v>
      </c>
      <c r="B433" s="256">
        <v>2.0</v>
      </c>
      <c r="C433" s="256">
        <v>4.0</v>
      </c>
      <c r="D433" s="257" t="s">
        <v>69</v>
      </c>
      <c r="E433" s="296" t="s">
        <v>5746</v>
      </c>
      <c r="F433" s="296"/>
      <c r="G433" s="248"/>
      <c r="H433" s="247" t="s">
        <v>5273</v>
      </c>
      <c r="I433" s="248"/>
      <c r="J433" s="248"/>
      <c r="K433" s="248"/>
      <c r="L433" s="248"/>
      <c r="M433" s="248"/>
      <c r="N433" s="248"/>
      <c r="O433" s="248"/>
      <c r="P433" s="248"/>
      <c r="Q433" s="248"/>
      <c r="R433" s="248"/>
      <c r="S433" s="248"/>
    </row>
    <row r="434">
      <c r="A434" s="261" t="s">
        <v>5738</v>
      </c>
      <c r="B434" s="256">
        <v>2.0</v>
      </c>
      <c r="C434" s="256">
        <v>5.0</v>
      </c>
      <c r="D434" s="257" t="s">
        <v>5747</v>
      </c>
      <c r="E434" s="258" t="s">
        <v>5748</v>
      </c>
      <c r="F434" s="247"/>
      <c r="G434" s="248"/>
      <c r="H434" s="247" t="s">
        <v>5273</v>
      </c>
      <c r="I434" s="248"/>
      <c r="J434" s="248"/>
      <c r="K434" s="248"/>
      <c r="L434" s="248"/>
      <c r="M434" s="248"/>
      <c r="N434" s="248"/>
      <c r="O434" s="248"/>
      <c r="P434" s="248"/>
      <c r="Q434" s="248"/>
      <c r="R434" s="248"/>
      <c r="S434" s="248"/>
    </row>
    <row r="435">
      <c r="A435" s="261" t="s">
        <v>5738</v>
      </c>
      <c r="B435" s="256">
        <v>2.0</v>
      </c>
      <c r="C435" s="256">
        <v>6.0</v>
      </c>
      <c r="D435" s="257" t="s">
        <v>5668</v>
      </c>
      <c r="E435" s="258" t="s">
        <v>5749</v>
      </c>
      <c r="F435" s="247"/>
      <c r="G435" s="248"/>
      <c r="H435" s="247" t="s">
        <v>5273</v>
      </c>
      <c r="I435" s="248"/>
      <c r="J435" s="248"/>
      <c r="K435" s="248"/>
      <c r="L435" s="248"/>
      <c r="M435" s="248"/>
      <c r="N435" s="248"/>
      <c r="O435" s="248"/>
      <c r="P435" s="248"/>
      <c r="Q435" s="248"/>
      <c r="R435" s="248"/>
      <c r="S435" s="248"/>
    </row>
    <row r="436">
      <c r="A436" s="261" t="s">
        <v>5738</v>
      </c>
      <c r="B436" s="256">
        <v>2.0</v>
      </c>
      <c r="C436" s="256">
        <v>7.0</v>
      </c>
      <c r="D436" s="257" t="s">
        <v>5291</v>
      </c>
      <c r="E436" s="296" t="s">
        <v>5750</v>
      </c>
      <c r="F436" s="255"/>
      <c r="G436" s="248"/>
      <c r="H436" s="247" t="s">
        <v>5605</v>
      </c>
      <c r="I436" s="248"/>
      <c r="J436" s="248"/>
      <c r="K436" s="248"/>
      <c r="L436" s="248"/>
      <c r="M436" s="248"/>
      <c r="N436" s="248"/>
      <c r="O436" s="248"/>
      <c r="P436" s="248"/>
      <c r="Q436" s="248"/>
      <c r="R436" s="248"/>
      <c r="S436" s="248"/>
    </row>
    <row r="437" hidden="1">
      <c r="A437" s="267">
        <v>12.0</v>
      </c>
      <c r="B437" s="267">
        <v>2.0</v>
      </c>
      <c r="C437" s="267">
        <v>8.0</v>
      </c>
      <c r="D437" s="268" t="s">
        <v>5290</v>
      </c>
      <c r="E437" s="269"/>
      <c r="F437" s="269"/>
      <c r="G437" s="269"/>
      <c r="H437" s="269"/>
      <c r="I437" s="269"/>
      <c r="J437" s="269"/>
      <c r="K437" s="269"/>
      <c r="L437" s="269"/>
      <c r="M437" s="269"/>
      <c r="N437" s="269"/>
      <c r="O437" s="269"/>
      <c r="P437" s="269"/>
      <c r="Q437" s="269"/>
      <c r="R437" s="269"/>
      <c r="S437" s="269"/>
    </row>
    <row r="438" hidden="1">
      <c r="A438" s="256">
        <v>12.0</v>
      </c>
      <c r="B438" s="256">
        <v>3.0</v>
      </c>
      <c r="C438" s="256">
        <v>0.0</v>
      </c>
      <c r="D438" s="257" t="s">
        <v>69</v>
      </c>
      <c r="E438" s="303" t="s">
        <v>5751</v>
      </c>
      <c r="F438" s="303"/>
      <c r="G438" s="248"/>
      <c r="H438" s="247" t="s">
        <v>5605</v>
      </c>
      <c r="I438" s="248"/>
      <c r="J438" s="248"/>
      <c r="K438" s="248"/>
      <c r="L438" s="248"/>
      <c r="M438" s="248"/>
      <c r="N438" s="248"/>
      <c r="O438" s="248"/>
      <c r="P438" s="248"/>
      <c r="Q438" s="248"/>
      <c r="R438" s="248"/>
      <c r="S438" s="248"/>
    </row>
    <row r="439" hidden="1">
      <c r="A439" s="256">
        <v>12.0</v>
      </c>
      <c r="B439" s="256">
        <v>3.0</v>
      </c>
      <c r="C439" s="256">
        <v>1.0</v>
      </c>
      <c r="D439" s="257" t="s">
        <v>69</v>
      </c>
      <c r="E439" s="303" t="s">
        <v>5752</v>
      </c>
      <c r="F439" s="303"/>
      <c r="G439" s="248"/>
      <c r="H439" s="247" t="s">
        <v>5605</v>
      </c>
      <c r="I439" s="248"/>
      <c r="J439" s="248"/>
      <c r="K439" s="248"/>
      <c r="L439" s="248"/>
      <c r="M439" s="248"/>
      <c r="N439" s="248"/>
      <c r="O439" s="248"/>
      <c r="P439" s="248"/>
      <c r="Q439" s="248"/>
      <c r="R439" s="248"/>
      <c r="S439" s="248"/>
    </row>
    <row r="440" hidden="1">
      <c r="A440" s="256">
        <v>12.0</v>
      </c>
      <c r="B440" s="256">
        <v>3.0</v>
      </c>
      <c r="C440" s="256">
        <v>2.0</v>
      </c>
      <c r="D440" s="257" t="s">
        <v>69</v>
      </c>
      <c r="E440" s="255" t="s">
        <v>5753</v>
      </c>
      <c r="F440" s="255"/>
      <c r="G440" s="248"/>
      <c r="H440" s="247" t="s">
        <v>5605</v>
      </c>
      <c r="I440" s="248"/>
      <c r="J440" s="248"/>
      <c r="K440" s="248"/>
      <c r="L440" s="248"/>
      <c r="M440" s="248"/>
      <c r="N440" s="248"/>
      <c r="O440" s="248"/>
      <c r="P440" s="248"/>
      <c r="Q440" s="248"/>
      <c r="R440" s="248"/>
      <c r="S440" s="248"/>
    </row>
    <row r="441" hidden="1">
      <c r="A441" s="256">
        <v>12.0</v>
      </c>
      <c r="B441" s="256">
        <v>3.0</v>
      </c>
      <c r="C441" s="256">
        <v>3.0</v>
      </c>
      <c r="D441" s="257" t="s">
        <v>69</v>
      </c>
      <c r="E441" s="247" t="s">
        <v>5754</v>
      </c>
      <c r="F441" s="247"/>
      <c r="G441" s="248"/>
      <c r="H441" s="247" t="s">
        <v>5273</v>
      </c>
      <c r="I441" s="248"/>
      <c r="J441" s="248"/>
      <c r="K441" s="248"/>
      <c r="L441" s="248"/>
      <c r="M441" s="248"/>
      <c r="N441" s="248"/>
      <c r="O441" s="248"/>
      <c r="P441" s="248"/>
      <c r="Q441" s="248"/>
      <c r="R441" s="248"/>
      <c r="S441" s="248"/>
    </row>
    <row r="442" hidden="1">
      <c r="A442" s="256">
        <v>12.0</v>
      </c>
      <c r="B442" s="256">
        <v>3.0</v>
      </c>
      <c r="C442" s="256">
        <v>4.0</v>
      </c>
      <c r="D442" s="257" t="s">
        <v>69</v>
      </c>
      <c r="E442" s="247" t="s">
        <v>5755</v>
      </c>
      <c r="F442" s="247"/>
      <c r="G442" s="248"/>
      <c r="H442" s="247" t="s">
        <v>5605</v>
      </c>
      <c r="I442" s="248"/>
      <c r="J442" s="248"/>
      <c r="K442" s="248"/>
      <c r="L442" s="248"/>
      <c r="M442" s="248"/>
      <c r="N442" s="248"/>
      <c r="O442" s="248"/>
      <c r="P442" s="248"/>
      <c r="Q442" s="248"/>
      <c r="R442" s="248"/>
      <c r="S442" s="248"/>
    </row>
    <row r="443" hidden="1">
      <c r="A443" s="316">
        <v>12.0</v>
      </c>
      <c r="B443" s="316">
        <v>3.0</v>
      </c>
      <c r="C443" s="316">
        <v>5.0</v>
      </c>
      <c r="D443" s="314" t="s">
        <v>5548</v>
      </c>
      <c r="E443" s="279"/>
      <c r="F443" s="279"/>
      <c r="G443" s="279"/>
      <c r="H443" s="247" t="s">
        <v>5605</v>
      </c>
      <c r="I443" s="279"/>
      <c r="J443" s="279"/>
      <c r="K443" s="279"/>
      <c r="L443" s="279"/>
      <c r="M443" s="279"/>
      <c r="N443" s="279"/>
      <c r="O443" s="279"/>
      <c r="P443" s="279"/>
      <c r="Q443" s="279"/>
      <c r="R443" s="279"/>
      <c r="S443" s="279"/>
    </row>
    <row r="444" hidden="1">
      <c r="A444" s="316">
        <v>12.0</v>
      </c>
      <c r="B444" s="316">
        <v>3.0</v>
      </c>
      <c r="C444" s="316">
        <v>6.0</v>
      </c>
      <c r="D444" s="317" t="s">
        <v>5288</v>
      </c>
      <c r="E444" s="318" t="s">
        <v>5756</v>
      </c>
      <c r="F444" s="318"/>
      <c r="G444" s="279"/>
      <c r="H444" s="247" t="s">
        <v>5605</v>
      </c>
      <c r="I444" s="279"/>
      <c r="J444" s="279"/>
      <c r="K444" s="279"/>
      <c r="L444" s="279"/>
      <c r="M444" s="279"/>
      <c r="N444" s="279"/>
      <c r="O444" s="279"/>
      <c r="P444" s="279"/>
      <c r="Q444" s="279"/>
      <c r="R444" s="279"/>
      <c r="S444" s="279"/>
    </row>
    <row r="445" hidden="1">
      <c r="A445" s="256">
        <v>12.0</v>
      </c>
      <c r="B445" s="256">
        <v>3.0</v>
      </c>
      <c r="C445" s="256">
        <v>7.0</v>
      </c>
      <c r="D445" s="257" t="s">
        <v>69</v>
      </c>
      <c r="E445" s="303" t="s">
        <v>5757</v>
      </c>
      <c r="F445" s="303"/>
      <c r="G445" s="248"/>
      <c r="H445" s="247" t="s">
        <v>5605</v>
      </c>
      <c r="I445" s="248"/>
      <c r="J445" s="248"/>
      <c r="K445" s="248"/>
      <c r="L445" s="248"/>
      <c r="M445" s="248"/>
      <c r="N445" s="248"/>
      <c r="O445" s="248"/>
      <c r="P445" s="248"/>
      <c r="Q445" s="248"/>
      <c r="R445" s="248"/>
      <c r="S445" s="248"/>
    </row>
    <row r="446" hidden="1">
      <c r="A446" s="288">
        <v>12.0</v>
      </c>
      <c r="B446" s="288">
        <v>3.0</v>
      </c>
      <c r="C446" s="288">
        <v>8.0</v>
      </c>
      <c r="D446" s="289"/>
      <c r="E446" s="289"/>
      <c r="F446" s="289"/>
      <c r="G446" s="289"/>
      <c r="H446" s="289"/>
      <c r="I446" s="289"/>
      <c r="J446" s="289"/>
      <c r="K446" s="289"/>
      <c r="L446" s="289"/>
      <c r="M446" s="289"/>
      <c r="N446" s="289"/>
      <c r="O446" s="289"/>
      <c r="P446" s="289"/>
      <c r="Q446" s="289"/>
      <c r="R446" s="289"/>
      <c r="S446" s="289"/>
    </row>
    <row r="447" hidden="1">
      <c r="A447" s="316">
        <v>12.0</v>
      </c>
      <c r="B447" s="316">
        <v>4.0</v>
      </c>
      <c r="C447" s="316">
        <v>0.0</v>
      </c>
      <c r="D447" s="314" t="s">
        <v>5548</v>
      </c>
      <c r="E447" s="279"/>
      <c r="F447" s="279"/>
      <c r="G447" s="279"/>
      <c r="H447" s="247" t="s">
        <v>5605</v>
      </c>
      <c r="I447" s="279"/>
      <c r="J447" s="279"/>
      <c r="K447" s="279"/>
      <c r="L447" s="279"/>
      <c r="M447" s="279"/>
      <c r="N447" s="279"/>
      <c r="O447" s="279"/>
      <c r="P447" s="279"/>
      <c r="Q447" s="279"/>
      <c r="R447" s="279"/>
      <c r="S447" s="279"/>
    </row>
    <row r="448" hidden="1">
      <c r="A448" s="316">
        <v>12.0</v>
      </c>
      <c r="B448" s="316">
        <v>4.0</v>
      </c>
      <c r="C448" s="316">
        <v>1.0</v>
      </c>
      <c r="D448" s="314" t="s">
        <v>5548</v>
      </c>
      <c r="E448" s="279"/>
      <c r="F448" s="279"/>
      <c r="G448" s="279"/>
      <c r="H448" s="247" t="s">
        <v>5605</v>
      </c>
      <c r="I448" s="279"/>
      <c r="J448" s="279"/>
      <c r="K448" s="279"/>
      <c r="L448" s="279"/>
      <c r="M448" s="279"/>
      <c r="N448" s="279"/>
      <c r="O448" s="279"/>
      <c r="P448" s="279"/>
      <c r="Q448" s="279"/>
      <c r="R448" s="279"/>
      <c r="S448" s="279"/>
    </row>
    <row r="449" hidden="1">
      <c r="A449" s="316">
        <v>12.0</v>
      </c>
      <c r="B449" s="316">
        <v>4.0</v>
      </c>
      <c r="C449" s="316">
        <v>2.0</v>
      </c>
      <c r="D449" s="314" t="s">
        <v>5548</v>
      </c>
      <c r="E449" s="279"/>
      <c r="F449" s="279"/>
      <c r="G449" s="279"/>
      <c r="H449" s="247" t="s">
        <v>5605</v>
      </c>
      <c r="I449" s="279"/>
      <c r="J449" s="279"/>
      <c r="K449" s="279"/>
      <c r="L449" s="279"/>
      <c r="M449" s="279"/>
      <c r="N449" s="279"/>
      <c r="O449" s="279"/>
      <c r="P449" s="279"/>
      <c r="Q449" s="279"/>
      <c r="R449" s="279"/>
      <c r="S449" s="279"/>
    </row>
    <row r="450" hidden="1">
      <c r="A450" s="316">
        <v>12.0</v>
      </c>
      <c r="B450" s="316">
        <v>4.0</v>
      </c>
      <c r="C450" s="316">
        <v>3.0</v>
      </c>
      <c r="D450" s="314" t="s">
        <v>5548</v>
      </c>
      <c r="E450" s="279"/>
      <c r="F450" s="279"/>
      <c r="G450" s="279"/>
      <c r="H450" s="247" t="s">
        <v>5605</v>
      </c>
      <c r="I450" s="279"/>
      <c r="J450" s="279"/>
      <c r="K450" s="279"/>
      <c r="L450" s="279"/>
      <c r="M450" s="279"/>
      <c r="N450" s="279"/>
      <c r="O450" s="279"/>
      <c r="P450" s="279"/>
      <c r="Q450" s="279"/>
      <c r="R450" s="279"/>
      <c r="S450" s="279"/>
    </row>
    <row r="451" hidden="1">
      <c r="A451" s="316">
        <v>12.0</v>
      </c>
      <c r="B451" s="316">
        <v>4.0</v>
      </c>
      <c r="C451" s="316">
        <v>4.0</v>
      </c>
      <c r="D451" s="314" t="s">
        <v>5548</v>
      </c>
      <c r="E451" s="279"/>
      <c r="F451" s="279"/>
      <c r="G451" s="279"/>
      <c r="H451" s="247" t="s">
        <v>5605</v>
      </c>
      <c r="I451" s="279"/>
      <c r="J451" s="279"/>
      <c r="K451" s="279"/>
      <c r="L451" s="279"/>
      <c r="M451" s="279"/>
      <c r="N451" s="279"/>
      <c r="O451" s="279"/>
      <c r="P451" s="279"/>
      <c r="Q451" s="279"/>
      <c r="R451" s="279"/>
      <c r="S451" s="279"/>
    </row>
    <row r="452" hidden="1">
      <c r="A452" s="316">
        <v>12.0</v>
      </c>
      <c r="B452" s="316">
        <v>4.0</v>
      </c>
      <c r="C452" s="316">
        <v>5.0</v>
      </c>
      <c r="D452" s="314" t="s">
        <v>5548</v>
      </c>
      <c r="E452" s="279"/>
      <c r="F452" s="279"/>
      <c r="G452" s="279"/>
      <c r="H452" s="247" t="s">
        <v>5605</v>
      </c>
      <c r="I452" s="279"/>
      <c r="J452" s="279"/>
      <c r="K452" s="279"/>
      <c r="L452" s="279"/>
      <c r="M452" s="279"/>
      <c r="N452" s="279"/>
      <c r="O452" s="279"/>
      <c r="P452" s="279"/>
      <c r="Q452" s="279"/>
      <c r="R452" s="279"/>
      <c r="S452" s="279"/>
    </row>
    <row r="453" hidden="1">
      <c r="A453" s="316">
        <v>12.0</v>
      </c>
      <c r="B453" s="316">
        <v>4.0</v>
      </c>
      <c r="C453" s="316">
        <v>6.0</v>
      </c>
      <c r="D453" s="314" t="s">
        <v>5548</v>
      </c>
      <c r="E453" s="279"/>
      <c r="F453" s="279"/>
      <c r="G453" s="279"/>
      <c r="H453" s="247" t="s">
        <v>5605</v>
      </c>
      <c r="I453" s="279"/>
      <c r="J453" s="279"/>
      <c r="K453" s="279"/>
      <c r="L453" s="279"/>
      <c r="M453" s="279"/>
      <c r="N453" s="279"/>
      <c r="O453" s="279"/>
      <c r="P453" s="279"/>
      <c r="Q453" s="279"/>
      <c r="R453" s="279"/>
      <c r="S453" s="279"/>
    </row>
    <row r="454" hidden="1">
      <c r="A454" s="316">
        <v>12.0</v>
      </c>
      <c r="B454" s="316">
        <v>4.0</v>
      </c>
      <c r="C454" s="316">
        <v>7.0</v>
      </c>
      <c r="D454" s="314" t="s">
        <v>5548</v>
      </c>
      <c r="E454" s="279"/>
      <c r="F454" s="279"/>
      <c r="G454" s="279"/>
      <c r="H454" s="247" t="s">
        <v>5605</v>
      </c>
      <c r="I454" s="279"/>
      <c r="J454" s="279"/>
      <c r="K454" s="279"/>
      <c r="L454" s="279"/>
      <c r="M454" s="279"/>
      <c r="N454" s="279"/>
      <c r="O454" s="279"/>
      <c r="P454" s="279"/>
      <c r="Q454" s="279"/>
      <c r="R454" s="279"/>
      <c r="S454" s="279"/>
    </row>
    <row r="455" hidden="1">
      <c r="A455" s="267">
        <v>12.0</v>
      </c>
      <c r="B455" s="267">
        <v>4.0</v>
      </c>
      <c r="C455" s="267">
        <v>8.0</v>
      </c>
      <c r="D455" s="269"/>
      <c r="E455" s="269"/>
      <c r="F455" s="269"/>
      <c r="G455" s="269"/>
      <c r="H455" s="269"/>
      <c r="I455" s="269"/>
      <c r="J455" s="269"/>
      <c r="K455" s="269"/>
      <c r="L455" s="269"/>
      <c r="M455" s="269"/>
      <c r="N455" s="269"/>
      <c r="O455" s="269"/>
      <c r="P455" s="269"/>
      <c r="Q455" s="269"/>
      <c r="R455" s="269"/>
      <c r="S455" s="269"/>
    </row>
    <row r="456" hidden="1">
      <c r="A456" s="256">
        <v>12.0</v>
      </c>
      <c r="B456" s="256">
        <v>5.0</v>
      </c>
      <c r="C456" s="256">
        <v>0.0</v>
      </c>
      <c r="D456" s="257" t="s">
        <v>69</v>
      </c>
      <c r="E456" s="303" t="s">
        <v>5758</v>
      </c>
      <c r="F456" s="303"/>
      <c r="G456" s="248"/>
      <c r="H456" s="247" t="s">
        <v>5605</v>
      </c>
      <c r="I456" s="248"/>
      <c r="J456" s="248"/>
      <c r="K456" s="248"/>
      <c r="L456" s="248"/>
      <c r="M456" s="248"/>
      <c r="N456" s="248"/>
      <c r="O456" s="248"/>
      <c r="P456" s="248"/>
      <c r="Q456" s="248"/>
      <c r="R456" s="248"/>
      <c r="S456" s="248"/>
    </row>
    <row r="457" hidden="1">
      <c r="A457" s="256">
        <v>12.0</v>
      </c>
      <c r="B457" s="256">
        <v>5.0</v>
      </c>
      <c r="C457" s="256">
        <v>1.0</v>
      </c>
      <c r="D457" s="257" t="s">
        <v>5491</v>
      </c>
      <c r="E457" s="303" t="s">
        <v>5759</v>
      </c>
      <c r="F457" s="303"/>
      <c r="G457" s="248"/>
      <c r="H457" s="247" t="s">
        <v>5605</v>
      </c>
      <c r="I457" s="248"/>
      <c r="J457" s="248"/>
      <c r="K457" s="248"/>
      <c r="L457" s="248"/>
      <c r="M457" s="248"/>
      <c r="N457" s="248"/>
      <c r="O457" s="248"/>
      <c r="P457" s="248"/>
      <c r="Q457" s="248"/>
      <c r="R457" s="248"/>
      <c r="S457" s="248"/>
    </row>
    <row r="458" hidden="1">
      <c r="A458" s="256">
        <v>12.0</v>
      </c>
      <c r="B458" s="256">
        <v>5.0</v>
      </c>
      <c r="C458" s="256">
        <v>2.0</v>
      </c>
      <c r="D458" s="257" t="s">
        <v>5491</v>
      </c>
      <c r="E458" s="303" t="s">
        <v>5760</v>
      </c>
      <c r="F458" s="303"/>
      <c r="G458" s="248"/>
      <c r="H458" s="247" t="s">
        <v>5605</v>
      </c>
      <c r="I458" s="248"/>
      <c r="J458" s="248"/>
      <c r="K458" s="248"/>
      <c r="L458" s="248"/>
      <c r="M458" s="248"/>
      <c r="N458" s="248"/>
      <c r="O458" s="248"/>
      <c r="P458" s="248"/>
      <c r="Q458" s="248"/>
      <c r="R458" s="248"/>
      <c r="S458" s="248"/>
    </row>
    <row r="459" hidden="1">
      <c r="A459" s="256">
        <v>12.0</v>
      </c>
      <c r="B459" s="256">
        <v>5.0</v>
      </c>
      <c r="C459" s="256">
        <v>3.0</v>
      </c>
      <c r="D459" s="257" t="s">
        <v>5491</v>
      </c>
      <c r="E459" s="305" t="s">
        <v>5761</v>
      </c>
      <c r="F459" s="305"/>
      <c r="G459" s="248"/>
      <c r="H459" s="247" t="s">
        <v>5605</v>
      </c>
      <c r="I459" s="248"/>
      <c r="J459" s="248"/>
      <c r="K459" s="248"/>
      <c r="L459" s="248"/>
      <c r="M459" s="248"/>
      <c r="N459" s="248"/>
      <c r="O459" s="248"/>
      <c r="P459" s="248"/>
      <c r="Q459" s="248"/>
      <c r="R459" s="248"/>
      <c r="S459" s="248"/>
    </row>
    <row r="460" hidden="1">
      <c r="A460" s="316">
        <v>12.0</v>
      </c>
      <c r="B460" s="316">
        <v>5.0</v>
      </c>
      <c r="C460" s="316">
        <v>4.0</v>
      </c>
      <c r="D460" s="314" t="s">
        <v>5548</v>
      </c>
      <c r="E460" s="279"/>
      <c r="F460" s="279"/>
      <c r="G460" s="279"/>
      <c r="H460" s="247" t="s">
        <v>5605</v>
      </c>
      <c r="I460" s="279"/>
      <c r="J460" s="279"/>
      <c r="K460" s="279"/>
      <c r="L460" s="279"/>
      <c r="M460" s="279"/>
      <c r="N460" s="279"/>
      <c r="O460" s="279"/>
      <c r="P460" s="279"/>
      <c r="Q460" s="279"/>
      <c r="R460" s="279"/>
      <c r="S460" s="279"/>
    </row>
    <row r="461" hidden="1">
      <c r="A461" s="256">
        <v>12.0</v>
      </c>
      <c r="B461" s="256">
        <v>5.0</v>
      </c>
      <c r="C461" s="256">
        <v>5.0</v>
      </c>
      <c r="D461" s="257" t="s">
        <v>5491</v>
      </c>
      <c r="E461" s="303" t="s">
        <v>5762</v>
      </c>
      <c r="F461" s="303"/>
      <c r="G461" s="248"/>
      <c r="H461" s="247" t="s">
        <v>5605</v>
      </c>
      <c r="I461" s="248"/>
      <c r="J461" s="248"/>
      <c r="K461" s="248"/>
      <c r="L461" s="248"/>
      <c r="M461" s="248"/>
      <c r="N461" s="248"/>
      <c r="O461" s="248"/>
      <c r="P461" s="248"/>
      <c r="Q461" s="248"/>
      <c r="R461" s="248"/>
      <c r="S461" s="248"/>
    </row>
    <row r="462" hidden="1">
      <c r="A462" s="256">
        <v>12.0</v>
      </c>
      <c r="B462" s="256">
        <v>5.0</v>
      </c>
      <c r="C462" s="256">
        <v>6.0</v>
      </c>
      <c r="D462" s="257" t="s">
        <v>5491</v>
      </c>
      <c r="E462" s="303" t="s">
        <v>5763</v>
      </c>
      <c r="F462" s="303"/>
      <c r="G462" s="248"/>
      <c r="H462" s="247" t="s">
        <v>5605</v>
      </c>
      <c r="I462" s="248"/>
      <c r="J462" s="248"/>
      <c r="K462" s="248"/>
      <c r="L462" s="248"/>
      <c r="M462" s="248"/>
      <c r="N462" s="248"/>
      <c r="O462" s="248"/>
      <c r="P462" s="248"/>
      <c r="Q462" s="248"/>
      <c r="R462" s="248"/>
      <c r="S462" s="248"/>
    </row>
    <row r="463" hidden="1">
      <c r="A463" s="273">
        <v>12.0</v>
      </c>
      <c r="B463" s="273">
        <v>5.0</v>
      </c>
      <c r="C463" s="273">
        <v>7.0</v>
      </c>
      <c r="D463" s="274" t="s">
        <v>5290</v>
      </c>
      <c r="E463" s="319"/>
      <c r="F463" s="319"/>
      <c r="G463" s="265"/>
      <c r="H463" s="247" t="s">
        <v>5605</v>
      </c>
      <c r="I463" s="265"/>
      <c r="J463" s="265"/>
      <c r="K463" s="265"/>
      <c r="L463" s="265"/>
      <c r="M463" s="265"/>
      <c r="N463" s="265"/>
      <c r="O463" s="265"/>
      <c r="P463" s="265"/>
      <c r="Q463" s="265"/>
      <c r="R463" s="265"/>
      <c r="S463" s="265"/>
    </row>
    <row r="464" hidden="1">
      <c r="A464" s="316">
        <v>12.0</v>
      </c>
      <c r="B464" s="316">
        <v>6.0</v>
      </c>
      <c r="C464" s="316">
        <v>0.0</v>
      </c>
      <c r="D464" s="317" t="s">
        <v>5288</v>
      </c>
      <c r="E464" s="279"/>
      <c r="F464" s="279"/>
      <c r="G464" s="279"/>
      <c r="H464" s="247" t="s">
        <v>5605</v>
      </c>
      <c r="I464" s="279"/>
      <c r="J464" s="279"/>
      <c r="K464" s="279"/>
      <c r="L464" s="279"/>
      <c r="M464" s="279"/>
      <c r="N464" s="279"/>
      <c r="O464" s="279"/>
      <c r="P464" s="279"/>
      <c r="Q464" s="279"/>
      <c r="R464" s="279"/>
      <c r="S464" s="279"/>
    </row>
    <row r="465" hidden="1">
      <c r="A465" s="316">
        <v>12.0</v>
      </c>
      <c r="B465" s="316">
        <v>6.0</v>
      </c>
      <c r="C465" s="316">
        <v>1.0</v>
      </c>
      <c r="D465" s="317" t="s">
        <v>5288</v>
      </c>
      <c r="E465" s="279"/>
      <c r="F465" s="279"/>
      <c r="G465" s="279"/>
      <c r="H465" s="247" t="s">
        <v>5605</v>
      </c>
      <c r="I465" s="279"/>
      <c r="J465" s="279"/>
      <c r="K465" s="279"/>
      <c r="L465" s="279"/>
      <c r="M465" s="279"/>
      <c r="N465" s="279"/>
      <c r="O465" s="279"/>
      <c r="P465" s="279"/>
      <c r="Q465" s="279"/>
      <c r="R465" s="279"/>
      <c r="S465" s="279"/>
    </row>
    <row r="466" hidden="1">
      <c r="A466" s="316">
        <v>12.0</v>
      </c>
      <c r="B466" s="316">
        <v>6.0</v>
      </c>
      <c r="C466" s="316">
        <v>2.0</v>
      </c>
      <c r="D466" s="317" t="s">
        <v>5288</v>
      </c>
      <c r="E466" s="279"/>
      <c r="F466" s="279"/>
      <c r="G466" s="279"/>
      <c r="H466" s="247" t="s">
        <v>5605</v>
      </c>
      <c r="I466" s="279"/>
      <c r="J466" s="279"/>
      <c r="K466" s="279"/>
      <c r="L466" s="279"/>
      <c r="M466" s="279"/>
      <c r="N466" s="279"/>
      <c r="O466" s="279"/>
      <c r="P466" s="279"/>
      <c r="Q466" s="279"/>
      <c r="R466" s="279"/>
      <c r="S466" s="279"/>
    </row>
    <row r="467" hidden="1">
      <c r="A467" s="316">
        <v>12.0</v>
      </c>
      <c r="B467" s="316">
        <v>6.0</v>
      </c>
      <c r="C467" s="316">
        <v>3.0</v>
      </c>
      <c r="D467" s="317" t="s">
        <v>5288</v>
      </c>
      <c r="E467" s="279"/>
      <c r="F467" s="279"/>
      <c r="G467" s="279"/>
      <c r="H467" s="247" t="s">
        <v>5605</v>
      </c>
      <c r="I467" s="279"/>
      <c r="J467" s="279"/>
      <c r="K467" s="279"/>
      <c r="L467" s="279"/>
      <c r="M467" s="279"/>
      <c r="N467" s="279"/>
      <c r="O467" s="279"/>
      <c r="P467" s="279"/>
      <c r="Q467" s="279"/>
      <c r="R467" s="279"/>
      <c r="S467" s="279"/>
    </row>
    <row r="468" hidden="1">
      <c r="A468" s="316">
        <v>12.0</v>
      </c>
      <c r="B468" s="316">
        <v>6.0</v>
      </c>
      <c r="C468" s="316">
        <v>4.0</v>
      </c>
      <c r="D468" s="317" t="s">
        <v>5288</v>
      </c>
      <c r="E468" s="279"/>
      <c r="F468" s="279"/>
      <c r="G468" s="279"/>
      <c r="H468" s="247" t="s">
        <v>5605</v>
      </c>
      <c r="I468" s="279"/>
      <c r="J468" s="279"/>
      <c r="K468" s="279"/>
      <c r="L468" s="279"/>
      <c r="M468" s="279"/>
      <c r="N468" s="279"/>
      <c r="O468" s="279"/>
      <c r="P468" s="279"/>
      <c r="Q468" s="279"/>
      <c r="R468" s="279"/>
      <c r="S468" s="279"/>
    </row>
    <row r="469" hidden="1">
      <c r="A469" s="316">
        <v>12.0</v>
      </c>
      <c r="B469" s="316">
        <v>6.0</v>
      </c>
      <c r="C469" s="316">
        <v>5.0</v>
      </c>
      <c r="D469" s="314" t="s">
        <v>5548</v>
      </c>
      <c r="E469" s="279"/>
      <c r="F469" s="279"/>
      <c r="G469" s="279"/>
      <c r="H469" s="247" t="s">
        <v>5605</v>
      </c>
      <c r="I469" s="279"/>
      <c r="J469" s="279"/>
      <c r="K469" s="279"/>
      <c r="L469" s="279"/>
      <c r="M469" s="279"/>
      <c r="N469" s="279"/>
      <c r="O469" s="279"/>
      <c r="P469" s="279"/>
      <c r="Q469" s="279"/>
      <c r="R469" s="279"/>
      <c r="S469" s="279"/>
    </row>
    <row r="470" hidden="1">
      <c r="A470" s="316">
        <v>12.0</v>
      </c>
      <c r="B470" s="316">
        <v>6.0</v>
      </c>
      <c r="C470" s="316">
        <v>6.0</v>
      </c>
      <c r="D470" s="317" t="s">
        <v>5288</v>
      </c>
      <c r="E470" s="279"/>
      <c r="F470" s="279"/>
      <c r="G470" s="279"/>
      <c r="H470" s="247" t="s">
        <v>5605</v>
      </c>
      <c r="I470" s="279"/>
      <c r="J470" s="279"/>
      <c r="K470" s="279"/>
      <c r="L470" s="279"/>
      <c r="M470" s="279"/>
      <c r="N470" s="279"/>
      <c r="O470" s="279"/>
      <c r="P470" s="279"/>
      <c r="Q470" s="279"/>
      <c r="R470" s="279"/>
      <c r="S470" s="279"/>
    </row>
    <row r="471" hidden="1">
      <c r="A471" s="316">
        <v>12.0</v>
      </c>
      <c r="B471" s="316">
        <v>6.0</v>
      </c>
      <c r="C471" s="316">
        <v>7.0</v>
      </c>
      <c r="D471" s="317" t="s">
        <v>5288</v>
      </c>
      <c r="E471" s="279"/>
      <c r="F471" s="279"/>
      <c r="G471" s="279"/>
      <c r="H471" s="247" t="s">
        <v>5605</v>
      </c>
      <c r="I471" s="279"/>
      <c r="J471" s="279"/>
      <c r="K471" s="279"/>
      <c r="L471" s="279"/>
      <c r="M471" s="279"/>
      <c r="N471" s="279"/>
      <c r="O471" s="279"/>
      <c r="P471" s="279"/>
      <c r="Q471" s="279"/>
      <c r="R471" s="279"/>
      <c r="S471" s="279"/>
    </row>
    <row r="472" hidden="1">
      <c r="A472" s="267">
        <v>12.0</v>
      </c>
      <c r="B472" s="269"/>
      <c r="C472" s="267">
        <v>8.0</v>
      </c>
      <c r="D472" s="269"/>
      <c r="E472" s="269"/>
      <c r="F472" s="269"/>
      <c r="G472" s="269"/>
      <c r="H472" s="269"/>
      <c r="I472" s="269"/>
      <c r="J472" s="269"/>
      <c r="K472" s="269"/>
      <c r="L472" s="269"/>
      <c r="M472" s="269"/>
      <c r="N472" s="269"/>
      <c r="O472" s="269"/>
      <c r="P472" s="269"/>
      <c r="Q472" s="269"/>
      <c r="R472" s="269"/>
      <c r="S472" s="269"/>
    </row>
    <row r="473" hidden="1">
      <c r="A473" s="316">
        <v>12.0</v>
      </c>
      <c r="B473" s="316">
        <v>7.0</v>
      </c>
      <c r="C473" s="316">
        <v>0.0</v>
      </c>
      <c r="D473" s="317" t="s">
        <v>5288</v>
      </c>
      <c r="E473" s="279"/>
      <c r="F473" s="279"/>
      <c r="G473" s="279"/>
      <c r="H473" s="247" t="s">
        <v>5605</v>
      </c>
      <c r="I473" s="279"/>
      <c r="J473" s="279"/>
      <c r="K473" s="279"/>
      <c r="L473" s="279"/>
      <c r="M473" s="279"/>
      <c r="N473" s="279"/>
      <c r="O473" s="279"/>
      <c r="P473" s="279"/>
      <c r="Q473" s="279"/>
      <c r="R473" s="279"/>
      <c r="S473" s="279"/>
    </row>
    <row r="474" hidden="1">
      <c r="A474" s="316">
        <v>12.0</v>
      </c>
      <c r="B474" s="316">
        <v>7.0</v>
      </c>
      <c r="C474" s="316">
        <v>1.0</v>
      </c>
      <c r="D474" s="317" t="s">
        <v>5288</v>
      </c>
      <c r="E474" s="279"/>
      <c r="F474" s="279"/>
      <c r="G474" s="279"/>
      <c r="H474" s="247" t="s">
        <v>5605</v>
      </c>
      <c r="I474" s="279"/>
      <c r="J474" s="279"/>
      <c r="K474" s="279"/>
      <c r="L474" s="279"/>
      <c r="M474" s="279"/>
      <c r="N474" s="279"/>
      <c r="O474" s="279"/>
      <c r="P474" s="279"/>
      <c r="Q474" s="279"/>
      <c r="R474" s="279"/>
      <c r="S474" s="279"/>
    </row>
    <row r="475" hidden="1">
      <c r="A475" s="316">
        <v>12.0</v>
      </c>
      <c r="B475" s="316">
        <v>7.0</v>
      </c>
      <c r="C475" s="316">
        <v>2.0</v>
      </c>
      <c r="D475" s="317" t="s">
        <v>5288</v>
      </c>
      <c r="E475" s="279"/>
      <c r="F475" s="279"/>
      <c r="G475" s="279"/>
      <c r="H475" s="247" t="s">
        <v>5605</v>
      </c>
      <c r="I475" s="279"/>
      <c r="J475" s="279"/>
      <c r="K475" s="279"/>
      <c r="L475" s="279"/>
      <c r="M475" s="279"/>
      <c r="N475" s="279"/>
      <c r="O475" s="279"/>
      <c r="P475" s="279"/>
      <c r="Q475" s="279"/>
      <c r="R475" s="279"/>
      <c r="S475" s="279"/>
    </row>
    <row r="476" hidden="1">
      <c r="A476" s="316">
        <v>12.0</v>
      </c>
      <c r="B476" s="316">
        <v>7.0</v>
      </c>
      <c r="C476" s="316">
        <v>3.0</v>
      </c>
      <c r="D476" s="317" t="s">
        <v>5288</v>
      </c>
      <c r="E476" s="279"/>
      <c r="F476" s="279"/>
      <c r="G476" s="279"/>
      <c r="H476" s="247" t="s">
        <v>5605</v>
      </c>
      <c r="I476" s="279"/>
      <c r="J476" s="279"/>
      <c r="K476" s="279"/>
      <c r="L476" s="279"/>
      <c r="M476" s="279"/>
      <c r="N476" s="279"/>
      <c r="O476" s="279"/>
      <c r="P476" s="279"/>
      <c r="Q476" s="279"/>
      <c r="R476" s="279"/>
      <c r="S476" s="279"/>
    </row>
    <row r="477" hidden="1">
      <c r="A477" s="316">
        <v>12.0</v>
      </c>
      <c r="B477" s="316">
        <v>7.0</v>
      </c>
      <c r="C477" s="316">
        <v>4.0</v>
      </c>
      <c r="D477" s="317" t="s">
        <v>5288</v>
      </c>
      <c r="E477" s="279"/>
      <c r="F477" s="279"/>
      <c r="G477" s="279"/>
      <c r="H477" s="247" t="s">
        <v>5605</v>
      </c>
      <c r="I477" s="279"/>
      <c r="J477" s="279"/>
      <c r="K477" s="279"/>
      <c r="L477" s="279"/>
      <c r="M477" s="279"/>
      <c r="N477" s="279"/>
      <c r="O477" s="279"/>
      <c r="P477" s="279"/>
      <c r="Q477" s="279"/>
      <c r="R477" s="279"/>
      <c r="S477" s="279"/>
    </row>
    <row r="478" hidden="1">
      <c r="A478" s="316">
        <v>12.0</v>
      </c>
      <c r="B478" s="316">
        <v>7.0</v>
      </c>
      <c r="C478" s="316">
        <v>5.0</v>
      </c>
      <c r="D478" s="314" t="s">
        <v>5548</v>
      </c>
      <c r="E478" s="279"/>
      <c r="F478" s="279"/>
      <c r="G478" s="279"/>
      <c r="H478" s="247" t="s">
        <v>5605</v>
      </c>
      <c r="I478" s="279"/>
      <c r="J478" s="279"/>
      <c r="K478" s="279"/>
      <c r="L478" s="279"/>
      <c r="M478" s="279"/>
      <c r="N478" s="279"/>
      <c r="O478" s="279"/>
      <c r="P478" s="279"/>
      <c r="Q478" s="279"/>
      <c r="R478" s="279"/>
      <c r="S478" s="279"/>
    </row>
    <row r="479" hidden="1">
      <c r="A479" s="316">
        <v>12.0</v>
      </c>
      <c r="B479" s="316">
        <v>7.0</v>
      </c>
      <c r="C479" s="316">
        <v>6.0</v>
      </c>
      <c r="D479" s="317" t="s">
        <v>5288</v>
      </c>
      <c r="E479" s="279"/>
      <c r="F479" s="279"/>
      <c r="G479" s="279"/>
      <c r="H479" s="247" t="s">
        <v>5605</v>
      </c>
      <c r="I479" s="279"/>
      <c r="J479" s="279"/>
      <c r="K479" s="279"/>
      <c r="L479" s="279"/>
      <c r="M479" s="279"/>
      <c r="N479" s="279"/>
      <c r="O479" s="279"/>
      <c r="P479" s="279"/>
      <c r="Q479" s="279"/>
      <c r="R479" s="279"/>
      <c r="S479" s="279"/>
    </row>
    <row r="480" hidden="1">
      <c r="A480" s="316">
        <v>12.0</v>
      </c>
      <c r="B480" s="316">
        <v>7.0</v>
      </c>
      <c r="C480" s="316">
        <v>7.0</v>
      </c>
      <c r="D480" s="317" t="s">
        <v>5288</v>
      </c>
      <c r="E480" s="279"/>
      <c r="F480" s="279"/>
      <c r="G480" s="279"/>
      <c r="H480" s="247" t="s">
        <v>5605</v>
      </c>
      <c r="I480" s="279"/>
      <c r="J480" s="279"/>
      <c r="K480" s="279"/>
      <c r="L480" s="279"/>
      <c r="M480" s="279"/>
      <c r="N480" s="279"/>
      <c r="O480" s="279"/>
      <c r="P480" s="279"/>
      <c r="Q480" s="279"/>
      <c r="R480" s="279"/>
      <c r="S480" s="279"/>
    </row>
    <row r="481" hidden="1">
      <c r="A481" s="267">
        <v>12.0</v>
      </c>
      <c r="B481" s="267">
        <v>7.0</v>
      </c>
      <c r="C481" s="269"/>
      <c r="D481" s="269"/>
      <c r="E481" s="269"/>
      <c r="F481" s="269"/>
      <c r="G481" s="269"/>
      <c r="H481" s="269"/>
      <c r="I481" s="269"/>
      <c r="J481" s="269"/>
      <c r="K481" s="269"/>
      <c r="L481" s="269"/>
      <c r="M481" s="269"/>
      <c r="N481" s="269"/>
      <c r="O481" s="269"/>
      <c r="P481" s="269"/>
      <c r="Q481" s="269"/>
      <c r="R481" s="269"/>
      <c r="S481" s="269"/>
    </row>
  </sheetData>
  <autoFilter ref="$A$2:$Z$481">
    <filterColumn colId="4">
      <customFilters>
        <customFilter val="*Research*"/>
      </customFilters>
    </filterColumn>
  </autoFilter>
  <dataValidations>
    <dataValidation type="list" allowBlank="1" showErrorMessage="1" sqref="G3:H4 H5 G6:H11 H12 G13:H13 H14 G15:H20 H21 G22:H29 H31 G32:H37 G38:G41 G43:H46 H47 G48:G49 H82:H84 H86:H93 H95:H102 H104:H112 H114:H122 H124:H131 H133:H139 H141:H151 H153:H160 H162:H169 H171:H178 H180:H188 H190:H197 H199:H206 H209:H220 H222:H229 H231:H238 H240:H248 H250:H259 H261:H268 H270:H277 H279:H289 H290:I290 H292:H299 H301:H308 H310:H318 H320:H329 H331:H338 H340:H346 H348:H358 H360:H367 H369:H376 H378:H386 H388:H396 H398:H405 H407:H414 H416:H427 H429:H436 H438:H445 H447:H454 H456:H471 H473:H480">
      <formula1>"In Prgress,Done,Not Started - Waiting"</formula1>
    </dataValidation>
    <dataValidation type="list" allowBlank="1" showErrorMessage="1" sqref="H30 H38:H41 H48:H49 H53:H57 G58:H59 H62:H69 H71:H81">
      <formula1>"Done,In Progress,Not Started - Waiting"</formula1>
    </dataValidation>
  </dataValidations>
  <hyperlinks>
    <hyperlink r:id="rId1" ref="G5"/>
    <hyperlink r:id="rId2" location="slide=id.g2cfbf038d42_0_133" ref="G14"/>
    <hyperlink r:id="rId3" location="slide=id.g152c34c9580_3_1" ref="D18"/>
    <hyperlink r:id="rId4" ref="E37"/>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75"/>
    <col customWidth="1" min="3" max="3" width="6.13"/>
    <col customWidth="1" min="4" max="23" width="25.75"/>
  </cols>
  <sheetData>
    <row r="1">
      <c r="A1" s="1"/>
      <c r="B1" s="1"/>
      <c r="C1" s="1"/>
      <c r="D1" s="1"/>
      <c r="E1" s="1"/>
      <c r="F1" s="1"/>
      <c r="G1" s="1"/>
      <c r="H1" s="1"/>
      <c r="I1" s="1"/>
      <c r="J1" s="1"/>
      <c r="K1" s="1"/>
      <c r="L1" s="1"/>
      <c r="M1" s="1"/>
      <c r="N1" s="1"/>
      <c r="O1" s="1"/>
      <c r="P1" s="1"/>
      <c r="Q1" s="1"/>
      <c r="R1" s="1"/>
      <c r="S1" s="1"/>
      <c r="T1" s="1"/>
      <c r="U1" s="1"/>
      <c r="V1" s="1"/>
      <c r="W1" s="1"/>
    </row>
    <row r="2">
      <c r="A2" s="2"/>
      <c r="B2" s="3" t="s">
        <v>0</v>
      </c>
      <c r="F2" s="3" t="s">
        <v>1</v>
      </c>
      <c r="I2" s="3" t="s">
        <v>2</v>
      </c>
      <c r="L2" s="3" t="s">
        <v>3</v>
      </c>
      <c r="O2" s="3" t="s">
        <v>4</v>
      </c>
      <c r="R2" s="3" t="s">
        <v>5</v>
      </c>
      <c r="U2" s="3" t="s">
        <v>6</v>
      </c>
    </row>
    <row r="3">
      <c r="A3" s="4" t="s">
        <v>7</v>
      </c>
      <c r="B3" s="5" t="s">
        <v>12</v>
      </c>
      <c r="C3" s="5"/>
      <c r="D3" s="6" t="s">
        <v>13</v>
      </c>
      <c r="E3" s="7" t="s">
        <v>14</v>
      </c>
      <c r="F3" s="5" t="s">
        <v>12</v>
      </c>
      <c r="G3" s="6" t="s">
        <v>13</v>
      </c>
      <c r="H3" s="7" t="s">
        <v>14</v>
      </c>
      <c r="I3" s="5" t="s">
        <v>12</v>
      </c>
      <c r="J3" s="6" t="s">
        <v>13</v>
      </c>
      <c r="K3" s="7" t="s">
        <v>14</v>
      </c>
      <c r="L3" s="5" t="s">
        <v>12</v>
      </c>
      <c r="M3" s="6" t="s">
        <v>13</v>
      </c>
      <c r="N3" s="7" t="s">
        <v>14</v>
      </c>
      <c r="O3" s="5" t="s">
        <v>12</v>
      </c>
      <c r="P3" s="6" t="s">
        <v>13</v>
      </c>
      <c r="Q3" s="7" t="s">
        <v>14</v>
      </c>
      <c r="R3" s="5" t="s">
        <v>12</v>
      </c>
      <c r="S3" s="6" t="s">
        <v>13</v>
      </c>
      <c r="T3" s="7" t="s">
        <v>14</v>
      </c>
      <c r="U3" s="5" t="s">
        <v>12</v>
      </c>
      <c r="V3" s="6" t="s">
        <v>13</v>
      </c>
      <c r="W3" s="7" t="s">
        <v>14</v>
      </c>
    </row>
    <row r="4">
      <c r="A4" s="8" t="s">
        <v>15</v>
      </c>
      <c r="B4" s="9" t="s">
        <v>12</v>
      </c>
      <c r="C4" s="9">
        <v>1.0</v>
      </c>
      <c r="D4" s="10" t="s">
        <v>17</v>
      </c>
      <c r="E4" s="11" t="s">
        <v>18</v>
      </c>
      <c r="F4" s="9" t="s">
        <v>12</v>
      </c>
      <c r="G4" s="320"/>
      <c r="H4" s="13"/>
      <c r="I4" s="9" t="s">
        <v>12</v>
      </c>
      <c r="J4" s="14" t="s">
        <v>5764</v>
      </c>
      <c r="K4" s="13"/>
      <c r="L4" s="9" t="s">
        <v>12</v>
      </c>
      <c r="M4" s="14" t="s">
        <v>5765</v>
      </c>
      <c r="N4" s="13"/>
      <c r="O4" s="9" t="s">
        <v>12</v>
      </c>
      <c r="P4" s="14" t="s">
        <v>5764</v>
      </c>
      <c r="Q4" s="13"/>
      <c r="R4" s="9" t="s">
        <v>12</v>
      </c>
      <c r="S4" s="14"/>
      <c r="T4" s="13"/>
      <c r="U4" s="9" t="s">
        <v>12</v>
      </c>
      <c r="V4" s="14"/>
      <c r="W4" s="13"/>
    </row>
    <row r="5">
      <c r="A5" s="8" t="s">
        <v>26</v>
      </c>
      <c r="B5" s="9" t="s">
        <v>12</v>
      </c>
      <c r="D5" s="10" t="s">
        <v>5766</v>
      </c>
      <c r="E5" s="11" t="s">
        <v>5767</v>
      </c>
      <c r="F5" s="9" t="s">
        <v>12</v>
      </c>
      <c r="G5" s="15"/>
      <c r="H5" s="13"/>
      <c r="I5" s="9" t="s">
        <v>12</v>
      </c>
      <c r="J5" s="15" t="s">
        <v>5768</v>
      </c>
      <c r="K5" s="13"/>
      <c r="L5" s="9" t="s">
        <v>12</v>
      </c>
      <c r="M5" s="14"/>
      <c r="N5" s="13"/>
      <c r="O5" s="9" t="s">
        <v>12</v>
      </c>
      <c r="P5" s="14" t="s">
        <v>4964</v>
      </c>
      <c r="Q5" s="13"/>
      <c r="R5" s="9" t="s">
        <v>12</v>
      </c>
      <c r="S5" s="14"/>
      <c r="T5" s="13"/>
      <c r="U5" s="9" t="s">
        <v>12</v>
      </c>
      <c r="V5" s="14"/>
      <c r="W5" s="13"/>
    </row>
    <row r="6">
      <c r="A6" s="8" t="s">
        <v>35</v>
      </c>
      <c r="B6" s="9" t="s">
        <v>12</v>
      </c>
      <c r="D6" s="12" t="s">
        <v>5769</v>
      </c>
      <c r="E6" s="11" t="s">
        <v>5770</v>
      </c>
      <c r="F6" s="9" t="s">
        <v>12</v>
      </c>
      <c r="G6" s="15"/>
      <c r="H6" s="13"/>
      <c r="I6" s="9" t="s">
        <v>12</v>
      </c>
      <c r="J6" s="14" t="s">
        <v>5771</v>
      </c>
      <c r="K6" s="13"/>
      <c r="L6" s="9" t="s">
        <v>12</v>
      </c>
      <c r="M6" s="14"/>
      <c r="N6" s="13"/>
      <c r="O6" s="9" t="s">
        <v>12</v>
      </c>
      <c r="P6" s="14" t="s">
        <v>5772</v>
      </c>
      <c r="Q6" s="13"/>
      <c r="R6" s="9" t="s">
        <v>12</v>
      </c>
      <c r="S6" s="14"/>
      <c r="T6" s="13"/>
      <c r="U6" s="9" t="s">
        <v>12</v>
      </c>
      <c r="V6" s="14"/>
      <c r="W6" s="13"/>
    </row>
    <row r="7">
      <c r="A7" s="8" t="s">
        <v>44</v>
      </c>
      <c r="B7" s="9" t="s">
        <v>12</v>
      </c>
      <c r="C7" s="9">
        <v>2.0</v>
      </c>
      <c r="D7" s="14" t="s">
        <v>5773</v>
      </c>
      <c r="E7" s="11" t="s">
        <v>5774</v>
      </c>
      <c r="F7" s="9" t="s">
        <v>12</v>
      </c>
      <c r="G7" s="14"/>
      <c r="H7" s="13"/>
      <c r="I7" s="9" t="s">
        <v>12</v>
      </c>
      <c r="J7" s="14" t="s">
        <v>5775</v>
      </c>
      <c r="K7" s="13"/>
      <c r="L7" s="9" t="s">
        <v>12</v>
      </c>
      <c r="M7" s="14"/>
      <c r="N7" s="13"/>
      <c r="O7" s="9" t="s">
        <v>12</v>
      </c>
      <c r="P7" s="14"/>
      <c r="Q7" s="13"/>
      <c r="R7" s="9" t="s">
        <v>12</v>
      </c>
      <c r="S7" s="14"/>
      <c r="T7" s="13"/>
      <c r="U7" s="9" t="s">
        <v>12</v>
      </c>
      <c r="V7" s="14"/>
      <c r="W7" s="13"/>
    </row>
    <row r="8">
      <c r="A8" s="8" t="s">
        <v>53</v>
      </c>
      <c r="B8" s="9" t="s">
        <v>12</v>
      </c>
      <c r="C8" s="9">
        <v>3.0</v>
      </c>
      <c r="D8" s="15" t="s">
        <v>5776</v>
      </c>
      <c r="E8" s="16" t="s">
        <v>55</v>
      </c>
      <c r="F8" s="9" t="s">
        <v>12</v>
      </c>
      <c r="G8" s="14"/>
      <c r="H8" s="13"/>
      <c r="I8" s="9" t="s">
        <v>12</v>
      </c>
      <c r="J8" s="14" t="s">
        <v>5777</v>
      </c>
      <c r="K8" s="13"/>
      <c r="L8" s="9" t="s">
        <v>12</v>
      </c>
      <c r="M8" s="14"/>
      <c r="N8" s="13"/>
      <c r="O8" s="9" t="s">
        <v>12</v>
      </c>
      <c r="P8" s="14"/>
      <c r="Q8" s="13"/>
      <c r="R8" s="9" t="s">
        <v>12</v>
      </c>
      <c r="S8" s="14"/>
      <c r="T8" s="13"/>
      <c r="U8" s="9" t="s">
        <v>12</v>
      </c>
      <c r="V8" s="14"/>
      <c r="W8" s="13"/>
    </row>
    <row r="9">
      <c r="A9" s="17" t="s">
        <v>5778</v>
      </c>
      <c r="B9" s="9" t="s">
        <v>12</v>
      </c>
      <c r="C9" s="9">
        <v>4.0</v>
      </c>
      <c r="D9" s="15" t="s">
        <v>5779</v>
      </c>
      <c r="E9" s="11" t="s">
        <v>58</v>
      </c>
      <c r="F9" s="9" t="s">
        <v>12</v>
      </c>
      <c r="G9" s="15"/>
      <c r="H9" s="13"/>
      <c r="I9" s="9" t="s">
        <v>12</v>
      </c>
      <c r="J9" s="15" t="s">
        <v>5780</v>
      </c>
      <c r="K9" s="13"/>
      <c r="L9" s="9" t="s">
        <v>12</v>
      </c>
      <c r="M9" s="14"/>
      <c r="N9" s="13"/>
      <c r="O9" s="9" t="s">
        <v>12</v>
      </c>
      <c r="P9" s="14"/>
      <c r="Q9" s="13"/>
      <c r="R9" s="9" t="s">
        <v>12</v>
      </c>
      <c r="S9" s="14"/>
      <c r="T9" s="13"/>
      <c r="U9" s="9" t="s">
        <v>12</v>
      </c>
      <c r="V9" s="14"/>
      <c r="W9" s="13"/>
    </row>
    <row r="10">
      <c r="A10" s="17" t="s">
        <v>5781</v>
      </c>
      <c r="B10" s="9" t="s">
        <v>12</v>
      </c>
      <c r="C10" s="9"/>
      <c r="D10" s="15"/>
      <c r="E10" s="11" t="s">
        <v>62</v>
      </c>
      <c r="F10" s="9" t="s">
        <v>12</v>
      </c>
      <c r="G10" s="15"/>
      <c r="H10" s="13"/>
      <c r="I10" s="9" t="s">
        <v>12</v>
      </c>
      <c r="J10" s="14"/>
      <c r="K10" s="13"/>
      <c r="L10" s="9" t="s">
        <v>12</v>
      </c>
      <c r="M10" s="14"/>
      <c r="N10" s="13"/>
      <c r="O10" s="9" t="s">
        <v>12</v>
      </c>
      <c r="P10" s="14"/>
      <c r="Q10" s="13"/>
      <c r="R10" s="9" t="s">
        <v>12</v>
      </c>
      <c r="S10" s="14"/>
      <c r="T10" s="13"/>
      <c r="U10" s="9" t="s">
        <v>12</v>
      </c>
      <c r="V10" s="14"/>
      <c r="W10" s="13"/>
    </row>
    <row r="11">
      <c r="A11" s="321" t="s">
        <v>63</v>
      </c>
      <c r="B11" s="19" t="s">
        <v>65</v>
      </c>
      <c r="C11" s="19"/>
      <c r="D11" s="20" t="s">
        <v>5782</v>
      </c>
      <c r="E11" s="21"/>
      <c r="F11" s="19" t="s">
        <v>66</v>
      </c>
      <c r="G11" s="22"/>
      <c r="H11" s="23"/>
      <c r="I11" s="19" t="s">
        <v>67</v>
      </c>
      <c r="J11" s="22"/>
      <c r="K11" s="23"/>
      <c r="L11" s="24"/>
      <c r="M11" s="22"/>
      <c r="N11" s="23"/>
      <c r="O11" s="24"/>
      <c r="P11" s="22"/>
      <c r="Q11" s="23"/>
      <c r="R11" s="24"/>
      <c r="S11" s="22"/>
      <c r="T11" s="23"/>
      <c r="U11" s="24"/>
      <c r="V11" s="22"/>
      <c r="W11" s="25"/>
    </row>
    <row r="12">
      <c r="A12" s="322"/>
      <c r="B12" s="323" t="s">
        <v>69</v>
      </c>
      <c r="C12" s="323"/>
      <c r="D12" s="324" t="s">
        <v>5783</v>
      </c>
      <c r="E12" s="323" t="s">
        <v>5784</v>
      </c>
      <c r="F12" s="325" t="s">
        <v>69</v>
      </c>
      <c r="G12" s="326" t="s">
        <v>5783</v>
      </c>
      <c r="H12" s="325" t="s">
        <v>5784</v>
      </c>
      <c r="I12" s="325" t="s">
        <v>69</v>
      </c>
      <c r="J12" s="326" t="s">
        <v>5783</v>
      </c>
      <c r="K12" s="325" t="s">
        <v>5784</v>
      </c>
      <c r="L12" s="325" t="s">
        <v>69</v>
      </c>
      <c r="M12" s="326" t="s">
        <v>5783</v>
      </c>
      <c r="N12" s="325" t="s">
        <v>5784</v>
      </c>
      <c r="O12" s="325" t="s">
        <v>69</v>
      </c>
      <c r="P12" s="326" t="s">
        <v>5783</v>
      </c>
      <c r="Q12" s="325" t="s">
        <v>5784</v>
      </c>
      <c r="R12" s="325" t="s">
        <v>69</v>
      </c>
      <c r="S12" s="326" t="s">
        <v>5783</v>
      </c>
      <c r="T12" s="325" t="s">
        <v>5784</v>
      </c>
      <c r="U12" s="325" t="s">
        <v>69</v>
      </c>
      <c r="V12" s="326" t="s">
        <v>5783</v>
      </c>
      <c r="W12" s="325" t="s">
        <v>5784</v>
      </c>
    </row>
    <row r="13">
      <c r="A13" s="324" t="s">
        <v>9</v>
      </c>
      <c r="B13" s="324" t="s">
        <v>72</v>
      </c>
      <c r="C13" s="324"/>
      <c r="D13" s="324" t="s">
        <v>73</v>
      </c>
      <c r="E13" s="324" t="s">
        <v>63</v>
      </c>
      <c r="F13" s="324" t="s">
        <v>72</v>
      </c>
      <c r="G13" s="324" t="s">
        <v>73</v>
      </c>
      <c r="H13" s="324" t="s">
        <v>63</v>
      </c>
      <c r="I13" s="324" t="s">
        <v>72</v>
      </c>
      <c r="J13" s="324" t="s">
        <v>73</v>
      </c>
      <c r="K13" s="324" t="s">
        <v>63</v>
      </c>
      <c r="L13" s="324" t="s">
        <v>72</v>
      </c>
      <c r="M13" s="324" t="s">
        <v>73</v>
      </c>
      <c r="N13" s="324" t="s">
        <v>63</v>
      </c>
      <c r="O13" s="324" t="s">
        <v>72</v>
      </c>
      <c r="P13" s="324" t="s">
        <v>73</v>
      </c>
      <c r="Q13" s="324" t="s">
        <v>63</v>
      </c>
      <c r="R13" s="324" t="s">
        <v>72</v>
      </c>
      <c r="S13" s="324" t="s">
        <v>73</v>
      </c>
      <c r="T13" s="324" t="s">
        <v>63</v>
      </c>
      <c r="U13" s="324" t="s">
        <v>72</v>
      </c>
      <c r="V13" s="324" t="s">
        <v>73</v>
      </c>
      <c r="W13" s="324" t="s">
        <v>63</v>
      </c>
    </row>
    <row r="14">
      <c r="A14" s="70"/>
      <c r="B14" s="327" t="s">
        <v>74</v>
      </c>
      <c r="C14" s="70"/>
      <c r="D14" s="327" t="s">
        <v>75</v>
      </c>
      <c r="E14" s="327" t="s">
        <v>76</v>
      </c>
      <c r="F14" s="327"/>
      <c r="G14" s="327"/>
      <c r="H14" s="1"/>
      <c r="I14" s="1"/>
      <c r="J14" s="1"/>
      <c r="K14" s="1"/>
      <c r="L14" s="1"/>
      <c r="M14" s="1"/>
      <c r="N14" s="1"/>
      <c r="O14" s="1"/>
      <c r="P14" s="1"/>
      <c r="Q14" s="1"/>
      <c r="R14" s="1"/>
      <c r="S14" s="1"/>
      <c r="T14" s="1"/>
      <c r="U14" s="1"/>
      <c r="V14" s="1"/>
      <c r="W14" s="1"/>
    </row>
    <row r="15">
      <c r="A15" s="70"/>
      <c r="B15" s="327" t="s">
        <v>95</v>
      </c>
      <c r="C15" s="70"/>
      <c r="D15" s="327" t="s">
        <v>96</v>
      </c>
      <c r="E15" s="327" t="s">
        <v>97</v>
      </c>
      <c r="F15" s="327"/>
      <c r="G15" s="327"/>
      <c r="H15" s="1"/>
      <c r="I15" s="1"/>
      <c r="J15" s="1"/>
      <c r="K15" s="1"/>
      <c r="L15" s="1"/>
      <c r="M15" s="1"/>
      <c r="N15" s="1"/>
      <c r="O15" s="1"/>
      <c r="P15" s="1"/>
      <c r="Q15" s="1"/>
      <c r="R15" s="1"/>
      <c r="S15" s="1"/>
      <c r="T15" s="1"/>
      <c r="U15" s="1"/>
      <c r="V15" s="1"/>
      <c r="W15" s="1"/>
    </row>
    <row r="16">
      <c r="A16" s="70"/>
      <c r="B16" s="327" t="s">
        <v>116</v>
      </c>
      <c r="C16" s="70"/>
      <c r="D16" s="327" t="s">
        <v>117</v>
      </c>
      <c r="E16" s="327" t="s">
        <v>118</v>
      </c>
      <c r="F16" s="327"/>
      <c r="G16" s="327"/>
      <c r="H16" s="1"/>
      <c r="I16" s="1"/>
      <c r="J16" s="1"/>
      <c r="K16" s="1"/>
      <c r="L16" s="1"/>
      <c r="M16" s="1"/>
      <c r="N16" s="1"/>
      <c r="O16" s="1"/>
      <c r="P16" s="1"/>
      <c r="Q16" s="1"/>
      <c r="R16" s="1"/>
      <c r="S16" s="1"/>
      <c r="T16" s="1"/>
      <c r="U16" s="1"/>
      <c r="V16" s="1"/>
      <c r="W16" s="1"/>
    </row>
    <row r="17">
      <c r="A17" s="70"/>
      <c r="B17" s="327" t="s">
        <v>137</v>
      </c>
      <c r="C17" s="70"/>
      <c r="D17" s="327" t="s">
        <v>138</v>
      </c>
      <c r="E17" s="327"/>
      <c r="F17" s="327"/>
      <c r="G17" s="327"/>
      <c r="H17" s="1"/>
      <c r="I17" s="1"/>
      <c r="J17" s="1"/>
      <c r="K17" s="1"/>
      <c r="L17" s="1"/>
      <c r="M17" s="1"/>
      <c r="N17" s="1"/>
      <c r="O17" s="1"/>
      <c r="P17" s="1"/>
      <c r="Q17" s="1"/>
      <c r="R17" s="1"/>
      <c r="S17" s="1"/>
      <c r="T17" s="1"/>
      <c r="U17" s="1"/>
      <c r="V17" s="1"/>
      <c r="W17" s="1"/>
    </row>
    <row r="18">
      <c r="A18" s="1"/>
      <c r="B18" s="327" t="s">
        <v>156</v>
      </c>
      <c r="C18" s="327"/>
      <c r="D18" s="327"/>
      <c r="E18" s="39"/>
      <c r="F18" s="39"/>
      <c r="G18" s="39"/>
      <c r="H18" s="46"/>
      <c r="I18" s="46"/>
      <c r="J18" s="46"/>
      <c r="K18" s="46"/>
      <c r="L18" s="46"/>
      <c r="M18" s="46"/>
      <c r="N18" s="46"/>
      <c r="O18" s="46"/>
      <c r="P18" s="46"/>
      <c r="Q18" s="46"/>
      <c r="R18" s="46"/>
      <c r="S18" s="46"/>
      <c r="T18" s="46"/>
      <c r="U18" s="46"/>
      <c r="V18" s="46"/>
      <c r="W18" s="46"/>
    </row>
    <row r="19">
      <c r="A19" s="1"/>
      <c r="B19" s="327" t="s">
        <v>163</v>
      </c>
      <c r="C19" s="327"/>
      <c r="D19" s="327"/>
      <c r="E19" s="1"/>
      <c r="F19" s="328"/>
      <c r="G19" s="327"/>
      <c r="H19" s="328"/>
      <c r="I19" s="327"/>
      <c r="J19" s="329"/>
      <c r="K19" s="329"/>
      <c r="L19" s="329"/>
      <c r="M19" s="329"/>
      <c r="N19" s="329"/>
      <c r="O19" s="329"/>
      <c r="P19" s="329"/>
      <c r="Q19" s="329"/>
      <c r="R19" s="329"/>
      <c r="S19" s="329"/>
      <c r="T19" s="329"/>
      <c r="U19" s="329"/>
      <c r="V19" s="329"/>
      <c r="W19" s="329"/>
    </row>
    <row r="20">
      <c r="A20" s="1"/>
      <c r="B20" s="327" t="s">
        <v>170</v>
      </c>
      <c r="C20" s="327"/>
      <c r="D20" s="327"/>
      <c r="E20" s="1"/>
      <c r="F20" s="1"/>
      <c r="G20" s="1"/>
      <c r="H20" s="1"/>
      <c r="I20" s="1"/>
      <c r="J20" s="1"/>
      <c r="K20" s="1"/>
      <c r="L20" s="1"/>
      <c r="M20" s="1"/>
      <c r="N20" s="1"/>
      <c r="O20" s="1"/>
      <c r="P20" s="1"/>
      <c r="Q20" s="1"/>
      <c r="R20" s="1"/>
      <c r="S20" s="1"/>
      <c r="T20" s="1"/>
      <c r="U20" s="1"/>
      <c r="V20" s="1"/>
      <c r="W20" s="1"/>
    </row>
    <row r="21">
      <c r="A21" s="1"/>
      <c r="B21" s="327" t="s">
        <v>177</v>
      </c>
      <c r="C21" s="327"/>
      <c r="D21" s="327"/>
      <c r="E21" s="1"/>
      <c r="F21" s="1"/>
      <c r="G21" s="1"/>
      <c r="H21" s="1"/>
      <c r="I21" s="1"/>
      <c r="J21" s="1"/>
      <c r="K21" s="1"/>
      <c r="L21" s="1"/>
      <c r="M21" s="1"/>
      <c r="N21" s="1"/>
      <c r="O21" s="1"/>
      <c r="P21" s="1"/>
      <c r="Q21" s="1"/>
      <c r="R21" s="1"/>
      <c r="S21" s="1"/>
      <c r="T21" s="1"/>
      <c r="U21" s="1"/>
      <c r="V21" s="1"/>
      <c r="W21" s="1"/>
    </row>
    <row r="22">
      <c r="A22" s="327"/>
      <c r="B22" s="327" t="s">
        <v>184</v>
      </c>
      <c r="C22" s="327"/>
      <c r="D22" s="327"/>
      <c r="E22" s="1"/>
      <c r="F22" s="1"/>
      <c r="G22" s="1"/>
      <c r="H22" s="1"/>
      <c r="I22" s="1"/>
      <c r="J22" s="1"/>
      <c r="K22" s="1"/>
      <c r="L22" s="1"/>
      <c r="M22" s="1"/>
      <c r="N22" s="1"/>
      <c r="O22" s="1"/>
      <c r="P22" s="1"/>
      <c r="Q22" s="1"/>
      <c r="R22" s="1"/>
      <c r="S22" s="1"/>
      <c r="T22" s="1"/>
      <c r="U22" s="1"/>
      <c r="V22" s="1"/>
      <c r="W22" s="1"/>
    </row>
    <row r="23">
      <c r="A23" s="327"/>
      <c r="B23" s="327" t="s">
        <v>191</v>
      </c>
      <c r="C23" s="327"/>
      <c r="D23" s="1"/>
      <c r="E23" s="1"/>
      <c r="F23" s="1"/>
      <c r="G23" s="1"/>
      <c r="H23" s="1"/>
      <c r="I23" s="1"/>
      <c r="J23" s="1"/>
      <c r="K23" s="1"/>
      <c r="L23" s="1"/>
      <c r="M23" s="1"/>
      <c r="N23" s="1"/>
      <c r="O23" s="1"/>
      <c r="P23" s="1"/>
      <c r="Q23" s="1"/>
      <c r="R23" s="1"/>
      <c r="S23" s="1"/>
      <c r="T23" s="1"/>
      <c r="U23" s="1"/>
      <c r="V23" s="1"/>
      <c r="W23" s="1"/>
    </row>
    <row r="24">
      <c r="A24" s="327"/>
      <c r="B24" s="327" t="s">
        <v>198</v>
      </c>
      <c r="C24" s="327"/>
      <c r="D24" s="1"/>
      <c r="E24" s="1"/>
      <c r="F24" s="1"/>
      <c r="G24" s="1"/>
      <c r="H24" s="1"/>
      <c r="I24" s="1"/>
      <c r="J24" s="1"/>
      <c r="K24" s="1"/>
      <c r="L24" s="1"/>
      <c r="M24" s="1"/>
      <c r="N24" s="1"/>
      <c r="O24" s="1"/>
      <c r="P24" s="1"/>
      <c r="Q24" s="1"/>
      <c r="R24" s="1"/>
      <c r="S24" s="1"/>
      <c r="T24" s="1"/>
      <c r="U24" s="1"/>
      <c r="V24" s="1"/>
      <c r="W24" s="1"/>
    </row>
    <row r="25">
      <c r="A25" s="327"/>
      <c r="B25" s="327" t="s">
        <v>205</v>
      </c>
      <c r="C25" s="327"/>
      <c r="D25" s="1"/>
      <c r="E25" s="1"/>
      <c r="F25" s="1"/>
      <c r="G25" s="1"/>
      <c r="H25" s="1"/>
      <c r="I25" s="1"/>
      <c r="J25" s="1"/>
      <c r="K25" s="1"/>
      <c r="L25" s="1"/>
      <c r="M25" s="1"/>
      <c r="N25" s="1"/>
      <c r="O25" s="1"/>
      <c r="P25" s="1"/>
      <c r="Q25" s="1"/>
      <c r="R25" s="1"/>
      <c r="S25" s="1"/>
      <c r="T25" s="1"/>
      <c r="U25" s="1"/>
      <c r="V25" s="1"/>
      <c r="W25" s="1"/>
    </row>
    <row r="26">
      <c r="A26" s="327"/>
      <c r="B26" s="327" t="s">
        <v>212</v>
      </c>
      <c r="C26" s="327"/>
      <c r="D26" s="1"/>
      <c r="E26" s="1"/>
      <c r="F26" s="1"/>
      <c r="G26" s="1"/>
      <c r="H26" s="1"/>
      <c r="I26" s="1"/>
      <c r="J26" s="1"/>
      <c r="K26" s="1"/>
      <c r="L26" s="1"/>
      <c r="M26" s="1"/>
      <c r="N26" s="1"/>
      <c r="O26" s="1"/>
      <c r="P26" s="1"/>
      <c r="Q26" s="1"/>
      <c r="R26" s="1"/>
      <c r="S26" s="1"/>
      <c r="T26" s="1"/>
      <c r="U26" s="1"/>
      <c r="V26" s="1"/>
      <c r="W26" s="1"/>
    </row>
    <row r="27">
      <c r="A27" s="327"/>
      <c r="B27" s="327" t="s">
        <v>218</v>
      </c>
      <c r="C27" s="327"/>
      <c r="D27" s="1"/>
      <c r="E27" s="1"/>
      <c r="F27" s="1"/>
      <c r="G27" s="1"/>
      <c r="H27" s="1"/>
      <c r="I27" s="1"/>
      <c r="J27" s="1"/>
      <c r="K27" s="1"/>
      <c r="L27" s="1"/>
      <c r="M27" s="1"/>
      <c r="N27" s="1"/>
      <c r="O27" s="1"/>
      <c r="P27" s="1"/>
      <c r="Q27" s="1"/>
      <c r="R27" s="1"/>
      <c r="S27" s="1"/>
      <c r="T27" s="1"/>
      <c r="U27" s="1"/>
      <c r="V27" s="1"/>
      <c r="W27" s="1"/>
    </row>
    <row r="28">
      <c r="A28" s="327"/>
      <c r="B28" s="327" t="s">
        <v>224</v>
      </c>
      <c r="C28" s="327"/>
      <c r="D28" s="1"/>
      <c r="E28" s="1"/>
      <c r="F28" s="1"/>
      <c r="G28" s="1"/>
      <c r="H28" s="1"/>
      <c r="I28" s="1"/>
      <c r="J28" s="1"/>
      <c r="K28" s="1"/>
      <c r="L28" s="1"/>
      <c r="M28" s="1"/>
      <c r="N28" s="1"/>
      <c r="O28" s="1"/>
      <c r="P28" s="1"/>
      <c r="Q28" s="1"/>
      <c r="R28" s="1"/>
      <c r="S28" s="1"/>
      <c r="T28" s="1"/>
      <c r="U28" s="1"/>
      <c r="V28" s="1"/>
      <c r="W28" s="1"/>
    </row>
    <row r="29">
      <c r="A29" s="327"/>
      <c r="B29" s="327" t="s">
        <v>228</v>
      </c>
      <c r="C29" s="327"/>
      <c r="D29" s="1"/>
      <c r="E29" s="1"/>
      <c r="F29" s="1"/>
      <c r="G29" s="1"/>
      <c r="H29" s="1"/>
      <c r="I29" s="1"/>
      <c r="J29" s="1"/>
      <c r="K29" s="1"/>
      <c r="L29" s="1"/>
      <c r="M29" s="1"/>
      <c r="N29" s="1"/>
      <c r="O29" s="1"/>
      <c r="P29" s="1"/>
      <c r="Q29" s="1"/>
      <c r="R29" s="1"/>
      <c r="S29" s="1"/>
      <c r="T29" s="1"/>
      <c r="U29" s="1"/>
      <c r="V29" s="1"/>
      <c r="W29" s="1"/>
    </row>
    <row r="30">
      <c r="A30" s="327"/>
      <c r="B30" s="327" t="s">
        <v>231</v>
      </c>
      <c r="C30" s="327"/>
      <c r="D30" s="1"/>
      <c r="E30" s="1"/>
      <c r="F30" s="1"/>
      <c r="G30" s="1"/>
      <c r="H30" s="1"/>
      <c r="I30" s="1"/>
      <c r="J30" s="1"/>
      <c r="K30" s="1"/>
      <c r="L30" s="1"/>
      <c r="M30" s="1"/>
      <c r="N30" s="1"/>
      <c r="O30" s="1"/>
      <c r="P30" s="1"/>
      <c r="Q30" s="1"/>
      <c r="R30" s="1"/>
      <c r="S30" s="1"/>
      <c r="T30" s="1"/>
      <c r="U30" s="1"/>
      <c r="V30" s="1"/>
      <c r="W30" s="1"/>
    </row>
    <row r="31">
      <c r="A31" s="1"/>
      <c r="B31" s="327" t="s">
        <v>234</v>
      </c>
      <c r="C31" s="327"/>
      <c r="D31" s="1"/>
      <c r="E31" s="1"/>
      <c r="F31" s="1"/>
      <c r="G31" s="1"/>
      <c r="H31" s="1"/>
      <c r="I31" s="1"/>
      <c r="J31" s="1"/>
      <c r="K31" s="1"/>
      <c r="L31" s="1"/>
      <c r="M31" s="1"/>
      <c r="N31" s="1"/>
      <c r="O31" s="1"/>
      <c r="P31" s="1"/>
      <c r="Q31" s="1"/>
      <c r="R31" s="1"/>
      <c r="S31" s="1"/>
      <c r="T31" s="1"/>
      <c r="U31" s="1"/>
      <c r="V31" s="1"/>
      <c r="W31" s="1"/>
    </row>
    <row r="32">
      <c r="A32" s="1"/>
      <c r="B32" s="327" t="s">
        <v>235</v>
      </c>
      <c r="C32" s="327"/>
      <c r="D32" s="1"/>
      <c r="E32" s="1"/>
      <c r="F32" s="1"/>
      <c r="G32" s="1"/>
      <c r="H32" s="1"/>
      <c r="I32" s="1"/>
      <c r="J32" s="1"/>
      <c r="K32" s="1"/>
      <c r="L32" s="1"/>
      <c r="M32" s="1"/>
      <c r="N32" s="1"/>
      <c r="O32" s="1"/>
      <c r="P32" s="1"/>
      <c r="Q32" s="1"/>
      <c r="R32" s="1"/>
      <c r="S32" s="1"/>
      <c r="T32" s="1"/>
      <c r="U32" s="1"/>
      <c r="V32" s="1"/>
      <c r="W32" s="1"/>
    </row>
    <row r="33">
      <c r="A33" s="1"/>
      <c r="B33" s="327"/>
      <c r="C33" s="327"/>
      <c r="D33" s="1"/>
      <c r="E33" s="1"/>
      <c r="F33" s="1"/>
      <c r="G33" s="1"/>
      <c r="H33" s="1"/>
      <c r="I33" s="1"/>
      <c r="J33" s="1"/>
      <c r="K33" s="1"/>
      <c r="L33" s="1"/>
      <c r="M33" s="1"/>
      <c r="N33" s="1"/>
      <c r="O33" s="1"/>
      <c r="P33" s="1"/>
      <c r="Q33" s="1"/>
      <c r="R33" s="1"/>
      <c r="S33" s="1"/>
      <c r="T33" s="1"/>
      <c r="U33" s="1"/>
      <c r="V33" s="1"/>
      <c r="W33" s="1"/>
    </row>
    <row r="34">
      <c r="A34" s="1"/>
      <c r="B34" s="327"/>
      <c r="C34" s="327"/>
      <c r="D34" s="1"/>
      <c r="E34" s="1"/>
      <c r="F34" s="1"/>
      <c r="G34" s="1"/>
      <c r="H34" s="1"/>
      <c r="I34" s="1"/>
      <c r="J34" s="1"/>
      <c r="K34" s="1"/>
      <c r="L34" s="1"/>
      <c r="M34" s="1"/>
      <c r="N34" s="1"/>
      <c r="O34" s="1"/>
      <c r="P34" s="1"/>
      <c r="Q34" s="1"/>
      <c r="R34" s="1"/>
      <c r="S34" s="1"/>
      <c r="T34" s="1"/>
      <c r="U34" s="1"/>
      <c r="V34" s="1"/>
      <c r="W34" s="1"/>
    </row>
    <row r="35">
      <c r="A35" s="1"/>
      <c r="B35" s="327"/>
      <c r="C35" s="327"/>
      <c r="D35" s="1"/>
      <c r="E35" s="1"/>
      <c r="F35" s="1"/>
      <c r="G35" s="1"/>
      <c r="H35" s="1"/>
      <c r="I35" s="1"/>
      <c r="J35" s="1"/>
      <c r="K35" s="1"/>
      <c r="L35" s="1"/>
      <c r="M35" s="1"/>
      <c r="N35" s="1"/>
      <c r="O35" s="1"/>
      <c r="P35" s="1"/>
      <c r="Q35" s="1"/>
      <c r="R35" s="1"/>
      <c r="S35" s="1"/>
      <c r="T35" s="1"/>
      <c r="U35" s="1"/>
      <c r="V35" s="1"/>
      <c r="W35" s="1"/>
    </row>
    <row r="36">
      <c r="A36" s="1"/>
      <c r="B36" s="327"/>
      <c r="C36" s="327"/>
      <c r="D36" s="1"/>
      <c r="E36" s="1"/>
      <c r="F36" s="1"/>
      <c r="G36" s="1"/>
      <c r="H36" s="1"/>
      <c r="I36" s="1"/>
      <c r="J36" s="1"/>
      <c r="K36" s="1"/>
      <c r="L36" s="1"/>
      <c r="M36" s="1"/>
      <c r="N36" s="1"/>
      <c r="O36" s="1"/>
      <c r="P36" s="1"/>
      <c r="Q36" s="1"/>
      <c r="R36" s="1"/>
      <c r="S36" s="1"/>
      <c r="T36" s="1"/>
      <c r="U36" s="1"/>
      <c r="V36" s="1"/>
      <c r="W36" s="1"/>
    </row>
    <row r="37">
      <c r="A37" s="1"/>
      <c r="B37" s="327"/>
      <c r="C37" s="327"/>
      <c r="D37" s="1"/>
      <c r="E37" s="1"/>
      <c r="F37" s="1"/>
      <c r="G37" s="1"/>
      <c r="H37" s="1"/>
      <c r="I37" s="1"/>
      <c r="J37" s="1"/>
      <c r="K37" s="1"/>
      <c r="L37" s="1"/>
      <c r="M37" s="1"/>
      <c r="N37" s="1"/>
      <c r="O37" s="1"/>
      <c r="P37" s="1"/>
      <c r="Q37" s="1"/>
      <c r="R37" s="1"/>
      <c r="S37" s="1"/>
      <c r="T37" s="1"/>
      <c r="U37" s="1"/>
      <c r="V37" s="1"/>
      <c r="W37" s="1"/>
    </row>
    <row r="38">
      <c r="A38" s="1"/>
      <c r="B38" s="327"/>
      <c r="C38" s="327"/>
      <c r="D38" s="1"/>
      <c r="E38" s="1"/>
      <c r="F38" s="1"/>
      <c r="G38" s="1"/>
      <c r="H38" s="1"/>
      <c r="I38" s="1"/>
      <c r="J38" s="1"/>
      <c r="K38" s="1"/>
      <c r="L38" s="1"/>
      <c r="M38" s="1"/>
      <c r="N38" s="1"/>
      <c r="O38" s="1"/>
      <c r="P38" s="1"/>
      <c r="Q38" s="1"/>
      <c r="R38" s="1"/>
      <c r="S38" s="1"/>
      <c r="T38" s="1"/>
      <c r="U38" s="1"/>
      <c r="V38" s="1"/>
      <c r="W38" s="1"/>
    </row>
    <row r="39">
      <c r="A39" s="1"/>
      <c r="B39" s="327"/>
      <c r="C39" s="327"/>
      <c r="D39" s="1"/>
      <c r="E39" s="1"/>
      <c r="F39" s="1"/>
      <c r="G39" s="1"/>
      <c r="H39" s="1"/>
      <c r="I39" s="1"/>
      <c r="J39" s="1"/>
      <c r="K39" s="1"/>
      <c r="L39" s="1"/>
      <c r="M39" s="1"/>
      <c r="N39" s="1"/>
      <c r="O39" s="1"/>
      <c r="P39" s="1"/>
      <c r="Q39" s="1"/>
      <c r="R39" s="1"/>
      <c r="S39" s="1"/>
      <c r="T39" s="1"/>
      <c r="U39" s="1"/>
      <c r="V39" s="1"/>
      <c r="W39" s="1"/>
    </row>
    <row r="40">
      <c r="A40" s="1"/>
      <c r="B40" s="327"/>
      <c r="C40" s="327"/>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sheetData>
  <mergeCells count="8">
    <mergeCell ref="B2:E2"/>
    <mergeCell ref="F2:H2"/>
    <mergeCell ref="I2:K2"/>
    <mergeCell ref="L2:N2"/>
    <mergeCell ref="O2:Q2"/>
    <mergeCell ref="R2:T2"/>
    <mergeCell ref="U2:W2"/>
    <mergeCell ref="C4:C6"/>
  </mergeCells>
  <hyperlinks>
    <hyperlink r:id="rId1" ref="A4"/>
    <hyperlink r:id="rId2" ref="D4"/>
    <hyperlink r:id="rId3" ref="A5"/>
    <hyperlink r:id="rId4" location="slide=id.g276acca4f5a_0_66" ref="D5"/>
    <hyperlink r:id="rId5" ref="A6"/>
    <hyperlink r:id="rId6" ref="A7"/>
    <hyperlink r:id="rId7" ref="A8"/>
    <hyperlink r:id="rId8" location="gid=920699583" ref="A9"/>
    <hyperlink r:id="rId9" location="gid=950662777" ref="A10"/>
    <hyperlink r:id="rId10" ref="B11"/>
    <hyperlink r:id="rId11" ref="F11"/>
    <hyperlink r:id="rId12" ref="I11"/>
  </hyperlinks>
  <drawing r:id="rId13"/>
  <tableParts count="2">
    <tablePart r:id="rId16"/>
    <tablePart r:id="rId17"/>
  </tableParts>
</worksheet>
</file>